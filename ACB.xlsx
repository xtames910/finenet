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6EC1B38-4593-4E27-B24A-BBCA1B67B912}" xr6:coauthVersionLast="47" xr6:coauthVersionMax="47" xr10:uidLastSave="{00000000-0000-0000-0000-000000000000}"/>
  <bookViews>
    <workbookView xWindow="-120" yWindow="-120" windowWidth="20730" windowHeight="11160" xr2:uid="{1CA1D395-C246-48A4-86E4-F17129676D71}"/>
  </bookViews>
  <sheets>
    <sheet name="ACB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6" l="1"/>
  <c r="R8" i="6"/>
  <c r="R9" i="6" s="1"/>
  <c r="R10" i="6" s="1"/>
  <c r="R11" i="6" s="1"/>
  <c r="R12" i="6"/>
  <c r="R13" i="6" s="1"/>
  <c r="R14" i="6" s="1"/>
  <c r="R15" i="6" s="1"/>
  <c r="R16" i="6" s="1"/>
  <c r="R17" i="6"/>
  <c r="R18" i="6"/>
  <c r="R19" i="6" s="1"/>
  <c r="R20" i="6" s="1"/>
  <c r="R21" i="6" s="1"/>
  <c r="R22" i="6"/>
  <c r="R23" i="6"/>
  <c r="R24" i="6"/>
  <c r="R25" i="6" s="1"/>
  <c r="R26" i="6" s="1"/>
  <c r="R27" i="6"/>
  <c r="R28" i="6"/>
  <c r="R29" i="6" s="1"/>
  <c r="R30" i="6" s="1"/>
  <c r="R31" i="6" s="1"/>
  <c r="R32" i="6"/>
  <c r="R33" i="6" s="1"/>
  <c r="R34" i="6"/>
  <c r="R35" i="6" s="1"/>
  <c r="R36" i="6" s="1"/>
  <c r="R37" i="6"/>
  <c r="R38" i="6" s="1"/>
  <c r="R39" i="6" s="1"/>
  <c r="R40" i="6" s="1"/>
  <c r="R41" i="6" s="1"/>
  <c r="R42" i="6"/>
  <c r="R43" i="6" s="1"/>
  <c r="R44" i="6" s="1"/>
  <c r="R45" i="6" s="1"/>
  <c r="R46" i="6" s="1"/>
  <c r="R47" i="6"/>
  <c r="R48" i="6" s="1"/>
  <c r="R49" i="6" s="1"/>
  <c r="R50" i="6" s="1"/>
  <c r="R51" i="6" s="1"/>
  <c r="R52" i="6"/>
  <c r="R53" i="6" s="1"/>
  <c r="R54" i="6" s="1"/>
  <c r="R55" i="6" s="1"/>
  <c r="R56" i="6" s="1"/>
  <c r="R57" i="6"/>
  <c r="R58" i="6" s="1"/>
  <c r="R59" i="6" s="1"/>
  <c r="R60" i="6" s="1"/>
  <c r="R61" i="6" s="1"/>
  <c r="R62" i="6"/>
  <c r="R63" i="6" s="1"/>
  <c r="R64" i="6" s="1"/>
  <c r="R65" i="6" s="1"/>
  <c r="R66" i="6" s="1"/>
  <c r="R67" i="6"/>
  <c r="R68" i="6"/>
  <c r="R69" i="6" s="1"/>
  <c r="R70" i="6" s="1"/>
  <c r="R71" i="6" s="1"/>
  <c r="R72" i="6"/>
  <c r="R73" i="6" s="1"/>
  <c r="R74" i="6" s="1"/>
  <c r="R75" i="6" s="1"/>
  <c r="R76" i="6" s="1"/>
  <c r="R77" i="6"/>
  <c r="R78" i="6" s="1"/>
  <c r="R79" i="6" s="1"/>
  <c r="R80" i="6" s="1"/>
  <c r="R81" i="6" s="1"/>
  <c r="R82" i="6"/>
  <c r="R83" i="6" s="1"/>
  <c r="R84" i="6" s="1"/>
  <c r="R85" i="6" s="1"/>
  <c r="R86" i="6" s="1"/>
  <c r="R87" i="6"/>
  <c r="R88" i="6" s="1"/>
  <c r="R89" i="6" s="1"/>
  <c r="R90" i="6" s="1"/>
  <c r="R91" i="6" s="1"/>
  <c r="R92" i="6"/>
  <c r="R93" i="6" s="1"/>
  <c r="R94" i="6" s="1"/>
  <c r="R95" i="6" s="1"/>
  <c r="R96" i="6" s="1"/>
  <c r="R97" i="6"/>
  <c r="R98" i="6" s="1"/>
  <c r="R99" i="6" s="1"/>
  <c r="R100" i="6" s="1"/>
  <c r="R101" i="6" s="1"/>
  <c r="R102" i="6"/>
  <c r="R103" i="6"/>
  <c r="R104" i="6" s="1"/>
  <c r="R105" i="6" s="1"/>
  <c r="R106" i="6" s="1"/>
  <c r="R107" i="6"/>
  <c r="R108" i="6"/>
  <c r="R109" i="6" s="1"/>
  <c r="R110" i="6" s="1"/>
  <c r="R111" i="6" s="1"/>
  <c r="R112" i="6"/>
  <c r="R113" i="6" s="1"/>
  <c r="R114" i="6" s="1"/>
  <c r="R115" i="6" s="1"/>
  <c r="R116" i="6" s="1"/>
  <c r="R117" i="6"/>
  <c r="R118" i="6" s="1"/>
  <c r="R119" i="6" s="1"/>
  <c r="R120" i="6" s="1"/>
  <c r="R121" i="6" s="1"/>
  <c r="R122" i="6"/>
  <c r="R123" i="6" s="1"/>
  <c r="R124" i="6" s="1"/>
  <c r="R125" i="6" s="1"/>
  <c r="R126" i="6" s="1"/>
  <c r="R127" i="6"/>
  <c r="R128" i="6"/>
  <c r="R129" i="6" s="1"/>
  <c r="R130" i="6" s="1"/>
  <c r="R131" i="6" s="1"/>
  <c r="R132" i="6"/>
  <c r="R133" i="6" s="1"/>
  <c r="R134" i="6" s="1"/>
  <c r="R135" i="6" s="1"/>
  <c r="R136" i="6" s="1"/>
  <c r="R137" i="6"/>
  <c r="R138" i="6"/>
  <c r="R139" i="6" s="1"/>
  <c r="R140" i="6" s="1"/>
  <c r="R141" i="6" s="1"/>
  <c r="R142" i="6"/>
  <c r="R143" i="6" s="1"/>
  <c r="R144" i="6" s="1"/>
  <c r="R145" i="6" s="1"/>
  <c r="R146" i="6" s="1"/>
  <c r="R147" i="6"/>
  <c r="R148" i="6" s="1"/>
  <c r="R149" i="6" s="1"/>
  <c r="R150" i="6" s="1"/>
  <c r="R151" i="6" s="1"/>
  <c r="R152" i="6"/>
  <c r="R153" i="6" s="1"/>
  <c r="R154" i="6" s="1"/>
  <c r="R155" i="6" s="1"/>
  <c r="R156" i="6" s="1"/>
  <c r="R157" i="6"/>
  <c r="R158" i="6" s="1"/>
  <c r="R159" i="6" s="1"/>
  <c r="R160" i="6" s="1"/>
  <c r="R161" i="6" s="1"/>
  <c r="R162" i="6"/>
  <c r="R163" i="6" s="1"/>
  <c r="R164" i="6" s="1"/>
  <c r="R165" i="6" s="1"/>
  <c r="R166" i="6" s="1"/>
  <c r="R167" i="6"/>
  <c r="R168" i="6" s="1"/>
  <c r="R169" i="6" s="1"/>
  <c r="R170" i="6" s="1"/>
  <c r="R171" i="6" s="1"/>
  <c r="R172" i="6"/>
  <c r="R173" i="6" s="1"/>
  <c r="R174" i="6" s="1"/>
  <c r="R175" i="6" s="1"/>
  <c r="R176" i="6" s="1"/>
  <c r="R177" i="6"/>
  <c r="R178" i="6"/>
  <c r="R179" i="6" s="1"/>
  <c r="R180" i="6" s="1"/>
  <c r="R181" i="6" s="1"/>
  <c r="R182" i="6"/>
  <c r="R183" i="6"/>
  <c r="R184" i="6"/>
  <c r="R185" i="6" s="1"/>
  <c r="R186" i="6" s="1"/>
  <c r="R187" i="6"/>
  <c r="R188" i="6"/>
  <c r="R189" i="6" s="1"/>
  <c r="R190" i="6" s="1"/>
  <c r="R191" i="6" s="1"/>
  <c r="R192" i="6"/>
  <c r="R193" i="6" s="1"/>
  <c r="R194" i="6"/>
  <c r="R195" i="6" s="1"/>
  <c r="R196" i="6" s="1"/>
  <c r="R197" i="6"/>
  <c r="R198" i="6" s="1"/>
  <c r="R199" i="6" s="1"/>
  <c r="R200" i="6" s="1"/>
  <c r="R201" i="6" s="1"/>
  <c r="R202" i="6"/>
  <c r="R203" i="6" s="1"/>
  <c r="R204" i="6" s="1"/>
  <c r="R205" i="6" s="1"/>
  <c r="R206" i="6" s="1"/>
  <c r="R207" i="6"/>
  <c r="R208" i="6" s="1"/>
  <c r="R209" i="6" s="1"/>
  <c r="R210" i="6" s="1"/>
  <c r="R211" i="6" s="1"/>
  <c r="R212" i="6"/>
  <c r="R213" i="6" s="1"/>
  <c r="R214" i="6" s="1"/>
  <c r="R215" i="6" s="1"/>
  <c r="R216" i="6" s="1"/>
  <c r="R217" i="6"/>
  <c r="R218" i="6" s="1"/>
  <c r="R219" i="6" s="1"/>
  <c r="R220" i="6" s="1"/>
  <c r="R221" i="6" s="1"/>
  <c r="R222" i="6"/>
  <c r="R223" i="6" s="1"/>
  <c r="R224" i="6" s="1"/>
  <c r="R225" i="6" s="1"/>
  <c r="R226" i="6" s="1"/>
  <c r="R227" i="6"/>
  <c r="R228" i="6" s="1"/>
  <c r="R229" i="6" s="1"/>
  <c r="R230" i="6" s="1"/>
  <c r="R231" i="6" s="1"/>
  <c r="R232" i="6"/>
  <c r="R233" i="6" s="1"/>
  <c r="R234" i="6"/>
  <c r="R235" i="6" s="1"/>
  <c r="R236" i="6" s="1"/>
  <c r="R237" i="6"/>
  <c r="R238" i="6" s="1"/>
  <c r="R239" i="6" s="1"/>
  <c r="R240" i="6" s="1"/>
  <c r="R241" i="6" s="1"/>
  <c r="R242" i="6"/>
  <c r="R243" i="6" s="1"/>
  <c r="R244" i="6" s="1"/>
  <c r="R245" i="6" s="1"/>
  <c r="R246" i="6" s="1"/>
  <c r="R247" i="6"/>
  <c r="R248" i="6" s="1"/>
  <c r="R249" i="6" s="1"/>
  <c r="R250" i="6" s="1"/>
  <c r="R251" i="6" s="1"/>
  <c r="R252" i="6"/>
  <c r="R253" i="6" s="1"/>
  <c r="R254" i="6" s="1"/>
  <c r="R255" i="6" s="1"/>
  <c r="R256" i="6" s="1"/>
  <c r="R257" i="6"/>
  <c r="R258" i="6" s="1"/>
  <c r="R259" i="6" s="1"/>
  <c r="R260" i="6" s="1"/>
  <c r="R261" i="6" s="1"/>
  <c r="R262" i="6"/>
  <c r="R263" i="6" s="1"/>
  <c r="R264" i="6" s="1"/>
  <c r="R265" i="6" s="1"/>
  <c r="R266" i="6"/>
  <c r="R267" i="6"/>
  <c r="R268" i="6"/>
  <c r="R269" i="6" s="1"/>
  <c r="R270" i="6" s="1"/>
  <c r="R271" i="6" s="1"/>
  <c r="R272" i="6"/>
  <c r="R273" i="6" s="1"/>
  <c r="R274" i="6"/>
  <c r="R275" i="6" s="1"/>
  <c r="R276" i="6" s="1"/>
  <c r="R277" i="6"/>
  <c r="R278" i="6" s="1"/>
  <c r="R279" i="6" s="1"/>
  <c r="R280" i="6" s="1"/>
  <c r="R281" i="6" s="1"/>
  <c r="R282" i="6"/>
  <c r="R283" i="6" s="1"/>
  <c r="R284" i="6" s="1"/>
  <c r="R285" i="6" s="1"/>
  <c r="R286" i="6" s="1"/>
  <c r="R287" i="6"/>
  <c r="R288" i="6"/>
  <c r="R289" i="6" s="1"/>
  <c r="R290" i="6" s="1"/>
  <c r="R291" i="6" s="1"/>
  <c r="R292" i="6"/>
  <c r="R293" i="6" s="1"/>
  <c r="R294" i="6" s="1"/>
  <c r="R295" i="6" s="1"/>
  <c r="R296" i="6" s="1"/>
  <c r="R297" i="6"/>
  <c r="R298" i="6" s="1"/>
  <c r="R299" i="6" s="1"/>
  <c r="R300" i="6" s="1"/>
  <c r="R301" i="6" s="1"/>
  <c r="R302" i="6"/>
  <c r="R303" i="6" s="1"/>
  <c r="R304" i="6" s="1"/>
  <c r="R305" i="6" s="1"/>
  <c r="R306" i="6" s="1"/>
  <c r="R307" i="6"/>
  <c r="R308" i="6" s="1"/>
  <c r="R309" i="6" s="1"/>
  <c r="R310" i="6" s="1"/>
  <c r="R311" i="6" s="1"/>
  <c r="R312" i="6"/>
  <c r="R313" i="6" s="1"/>
  <c r="R314" i="6" s="1"/>
  <c r="R315" i="6" s="1"/>
  <c r="R316" i="6" s="1"/>
  <c r="R317" i="6"/>
  <c r="R318" i="6" s="1"/>
  <c r="R319" i="6" s="1"/>
  <c r="R320" i="6" s="1"/>
  <c r="R321" i="6" s="1"/>
  <c r="R322" i="6"/>
  <c r="R323" i="6" s="1"/>
  <c r="R324" i="6" s="1"/>
  <c r="R325" i="6" s="1"/>
  <c r="R326" i="6" s="1"/>
  <c r="R327" i="6"/>
  <c r="R328" i="6" s="1"/>
  <c r="R329" i="6" s="1"/>
  <c r="R330" i="6" s="1"/>
  <c r="R331" i="6" s="1"/>
  <c r="R332" i="6"/>
  <c r="R333" i="6" s="1"/>
  <c r="R334" i="6" s="1"/>
  <c r="R335" i="6" s="1"/>
  <c r="R336" i="6" s="1"/>
  <c r="R337" i="6"/>
  <c r="R338" i="6"/>
  <c r="R339" i="6" s="1"/>
  <c r="R340" i="6" s="1"/>
  <c r="R341" i="6" s="1"/>
  <c r="R342" i="6"/>
  <c r="R343" i="6" s="1"/>
  <c r="R344" i="6" s="1"/>
  <c r="R345" i="6" s="1"/>
  <c r="R346" i="6"/>
  <c r="R347" i="6"/>
  <c r="R348" i="6" s="1"/>
  <c r="R349" i="6" s="1"/>
  <c r="R350" i="6" s="1"/>
  <c r="R351" i="6" s="1"/>
  <c r="R352" i="6"/>
  <c r="R353" i="6" s="1"/>
  <c r="R354" i="6"/>
  <c r="R355" i="6" s="1"/>
  <c r="R356" i="6" s="1"/>
  <c r="R357" i="6"/>
  <c r="R358" i="6" s="1"/>
  <c r="R359" i="6" s="1"/>
  <c r="R360" i="6" s="1"/>
  <c r="R361" i="6" s="1"/>
  <c r="R362" i="6"/>
  <c r="R363" i="6" s="1"/>
  <c r="R364" i="6" s="1"/>
  <c r="R365" i="6" s="1"/>
  <c r="R366" i="6" s="1"/>
  <c r="R367" i="6"/>
  <c r="R368" i="6" s="1"/>
  <c r="R369" i="6" s="1"/>
  <c r="R370" i="6"/>
  <c r="R371" i="6" s="1"/>
  <c r="R372" i="6"/>
  <c r="R373" i="6" s="1"/>
  <c r="R374" i="6" s="1"/>
  <c r="R375" i="6" s="1"/>
  <c r="R376" i="6" s="1"/>
  <c r="R377" i="6"/>
  <c r="R378" i="6" s="1"/>
  <c r="R379" i="6" s="1"/>
  <c r="R380" i="6" s="1"/>
  <c r="R381" i="6" s="1"/>
  <c r="R382" i="6"/>
  <c r="R383" i="6" s="1"/>
  <c r="R384" i="6" s="1"/>
  <c r="R385" i="6" s="1"/>
  <c r="R386" i="6" s="1"/>
  <c r="R387" i="6"/>
  <c r="R388" i="6"/>
  <c r="R389" i="6" s="1"/>
  <c r="R390" i="6" s="1"/>
  <c r="R391" i="6" s="1"/>
  <c r="R392" i="6"/>
  <c r="R393" i="6" s="1"/>
  <c r="R394" i="6" s="1"/>
  <c r="R395" i="6" s="1"/>
  <c r="R396" i="6" s="1"/>
  <c r="R397" i="6"/>
  <c r="R398" i="6" s="1"/>
  <c r="R399" i="6" s="1"/>
  <c r="R400" i="6" s="1"/>
  <c r="R401" i="6" s="1"/>
  <c r="R402" i="6"/>
  <c r="R403" i="6" s="1"/>
  <c r="R404" i="6" s="1"/>
  <c r="R405" i="6" s="1"/>
  <c r="R406" i="6" s="1"/>
  <c r="R407" i="6"/>
  <c r="R408" i="6" s="1"/>
  <c r="R409" i="6" s="1"/>
  <c r="R410" i="6"/>
  <c r="R411" i="6" s="1"/>
  <c r="R412" i="6"/>
  <c r="R413" i="6" s="1"/>
  <c r="R414" i="6" s="1"/>
  <c r="R415" i="6" s="1"/>
  <c r="R416" i="6" s="1"/>
  <c r="R417" i="6"/>
  <c r="R418" i="6" s="1"/>
  <c r="R419" i="6" s="1"/>
  <c r="R420" i="6" s="1"/>
  <c r="R421" i="6" s="1"/>
  <c r="R422" i="6"/>
  <c r="R423" i="6"/>
  <c r="R424" i="6" s="1"/>
  <c r="R425" i="6" s="1"/>
  <c r="R426" i="6"/>
  <c r="R427" i="6"/>
  <c r="R428" i="6"/>
  <c r="R429" i="6" s="1"/>
  <c r="R430" i="6" s="1"/>
  <c r="R431" i="6" s="1"/>
  <c r="R432" i="6"/>
  <c r="R433" i="6" s="1"/>
  <c r="R434" i="6"/>
  <c r="R435" i="6" s="1"/>
  <c r="R436" i="6" s="1"/>
  <c r="R437" i="6"/>
  <c r="R438" i="6" s="1"/>
  <c r="R439" i="6" s="1"/>
  <c r="R440" i="6" s="1"/>
  <c r="R441" i="6" s="1"/>
  <c r="R442" i="6"/>
  <c r="R443" i="6" s="1"/>
  <c r="R444" i="6" s="1"/>
  <c r="R445" i="6" s="1"/>
  <c r="R446" i="6" s="1"/>
  <c r="R447" i="6"/>
  <c r="R448" i="6" s="1"/>
  <c r="R449" i="6" s="1"/>
  <c r="R450" i="6"/>
  <c r="R451" i="6" s="1"/>
  <c r="R452" i="6"/>
  <c r="R453" i="6" s="1"/>
  <c r="R454" i="6" s="1"/>
  <c r="R455" i="6" s="1"/>
  <c r="R456" i="6" s="1"/>
  <c r="R457" i="6"/>
  <c r="R458" i="6" s="1"/>
  <c r="R459" i="6" s="1"/>
  <c r="R460" i="6" s="1"/>
  <c r="R461" i="6" s="1"/>
  <c r="R462" i="6"/>
  <c r="R463" i="6" s="1"/>
  <c r="R464" i="6" s="1"/>
  <c r="R465" i="6" s="1"/>
  <c r="R466" i="6" s="1"/>
  <c r="R467" i="6"/>
  <c r="R468" i="6" s="1"/>
  <c r="R469" i="6" s="1"/>
  <c r="R470" i="6" s="1"/>
  <c r="R471" i="6" s="1"/>
  <c r="R472" i="6"/>
  <c r="R473" i="6" s="1"/>
  <c r="R474" i="6" s="1"/>
  <c r="R475" i="6" s="1"/>
  <c r="R476" i="6" s="1"/>
  <c r="R477" i="6"/>
  <c r="R478" i="6" s="1"/>
  <c r="R479" i="6" s="1"/>
  <c r="R480" i="6" s="1"/>
  <c r="R481" i="6" s="1"/>
  <c r="R482" i="6"/>
  <c r="R483" i="6" s="1"/>
  <c r="R484" i="6" s="1"/>
  <c r="R485" i="6" s="1"/>
  <c r="R486" i="6" s="1"/>
  <c r="R487" i="6"/>
  <c r="R488" i="6" s="1"/>
  <c r="R489" i="6" s="1"/>
  <c r="R490" i="6" s="1"/>
  <c r="R491" i="6" s="1"/>
  <c r="R492" i="6"/>
  <c r="R493" i="6" s="1"/>
  <c r="R494" i="6" s="1"/>
  <c r="R495" i="6" s="1"/>
  <c r="R496" i="6" s="1"/>
  <c r="R497" i="6"/>
  <c r="R498" i="6" s="1"/>
  <c r="R499" i="6" s="1"/>
  <c r="R500" i="6" s="1"/>
  <c r="R501" i="6" s="1"/>
  <c r="R502" i="6"/>
  <c r="R503" i="6" s="1"/>
  <c r="R504" i="6" s="1"/>
  <c r="R505" i="6" s="1"/>
  <c r="R506" i="6" s="1"/>
  <c r="R507" i="6"/>
  <c r="R508" i="6" s="1"/>
  <c r="R509" i="6" s="1"/>
  <c r="R510" i="6" s="1"/>
  <c r="R511" i="6" s="1"/>
  <c r="R512" i="6"/>
  <c r="R513" i="6" s="1"/>
  <c r="R514" i="6" s="1"/>
  <c r="R515" i="6" s="1"/>
  <c r="R516" i="6" s="1"/>
  <c r="R517" i="6"/>
  <c r="R518" i="6" s="1"/>
  <c r="R519" i="6" s="1"/>
  <c r="R520" i="6" s="1"/>
  <c r="R521" i="6" s="1"/>
  <c r="R522" i="6"/>
  <c r="R523" i="6" s="1"/>
  <c r="R524" i="6" s="1"/>
  <c r="R525" i="6" s="1"/>
  <c r="R526" i="6" s="1"/>
  <c r="R527" i="6"/>
  <c r="R528" i="6" s="1"/>
  <c r="R529" i="6" s="1"/>
  <c r="R530" i="6" s="1"/>
  <c r="R531" i="6" s="1"/>
  <c r="R532" i="6"/>
  <c r="R533" i="6" s="1"/>
  <c r="R534" i="6" s="1"/>
  <c r="R535" i="6" s="1"/>
  <c r="R536" i="6" s="1"/>
  <c r="R537" i="6"/>
  <c r="R538" i="6"/>
  <c r="R539" i="6" s="1"/>
  <c r="R540" i="6" s="1"/>
  <c r="R541" i="6" s="1"/>
  <c r="R542" i="6"/>
  <c r="R543" i="6" s="1"/>
  <c r="R544" i="6" s="1"/>
  <c r="R545" i="6" s="1"/>
  <c r="R546" i="6" s="1"/>
  <c r="R547" i="6"/>
  <c r="R548" i="6" s="1"/>
  <c r="R549" i="6" s="1"/>
  <c r="R550" i="6" s="1"/>
  <c r="R551" i="6" s="1"/>
  <c r="R552" i="6"/>
  <c r="R553" i="6" s="1"/>
  <c r="R554" i="6" s="1"/>
  <c r="R555" i="6" s="1"/>
  <c r="R556" i="6" s="1"/>
  <c r="R557" i="6"/>
  <c r="R558" i="6" s="1"/>
  <c r="R559" i="6" s="1"/>
  <c r="R560" i="6" s="1"/>
  <c r="R561" i="6" s="1"/>
  <c r="R562" i="6"/>
  <c r="R563" i="6" s="1"/>
  <c r="R564" i="6" s="1"/>
  <c r="R565" i="6" s="1"/>
  <c r="R566" i="6" s="1"/>
  <c r="R567" i="6"/>
  <c r="R568" i="6" s="1"/>
  <c r="R569" i="6" s="1"/>
  <c r="R570" i="6" s="1"/>
  <c r="R571" i="6" s="1"/>
  <c r="R572" i="6"/>
  <c r="R573" i="6" s="1"/>
  <c r="R574" i="6" s="1"/>
  <c r="R575" i="6" s="1"/>
  <c r="R576" i="6" s="1"/>
  <c r="R577" i="6"/>
  <c r="R578" i="6"/>
  <c r="R579" i="6" s="1"/>
  <c r="R580" i="6" s="1"/>
  <c r="R581" i="6" s="1"/>
  <c r="R582" i="6"/>
  <c r="R583" i="6" s="1"/>
  <c r="R584" i="6" s="1"/>
  <c r="R585" i="6" s="1"/>
  <c r="R586" i="6" s="1"/>
  <c r="R587" i="6"/>
  <c r="R588" i="6"/>
  <c r="R589" i="6" s="1"/>
  <c r="R590" i="6" s="1"/>
  <c r="R591" i="6" s="1"/>
  <c r="R592" i="6"/>
  <c r="R593" i="6" s="1"/>
  <c r="R594" i="6"/>
  <c r="R595" i="6" s="1"/>
  <c r="R596" i="6" s="1"/>
  <c r="R597" i="6"/>
  <c r="R598" i="6" s="1"/>
  <c r="R599" i="6" s="1"/>
  <c r="R600" i="6" s="1"/>
  <c r="R601" i="6" s="1"/>
  <c r="R602" i="6"/>
  <c r="R603" i="6" s="1"/>
  <c r="R604" i="6" s="1"/>
  <c r="R605" i="6" s="1"/>
  <c r="R606" i="6" s="1"/>
  <c r="R607" i="6"/>
  <c r="R608" i="6" s="1"/>
  <c r="R609" i="6" s="1"/>
  <c r="R610" i="6" s="1"/>
  <c r="R611" i="6" s="1"/>
  <c r="R612" i="6"/>
  <c r="R613" i="6" s="1"/>
  <c r="R614" i="6" s="1"/>
  <c r="R615" i="6" s="1"/>
  <c r="R616" i="6" s="1"/>
  <c r="R617" i="6"/>
  <c r="R618" i="6" s="1"/>
  <c r="R619" i="6" s="1"/>
  <c r="R620" i="6" s="1"/>
  <c r="R621" i="6" s="1"/>
  <c r="R622" i="6"/>
  <c r="R623" i="6" s="1"/>
  <c r="R624" i="6" s="1"/>
  <c r="R625" i="6" s="1"/>
  <c r="R626" i="6" s="1"/>
  <c r="R627" i="6"/>
  <c r="R628" i="6" s="1"/>
  <c r="R629" i="6" s="1"/>
  <c r="R630" i="6" s="1"/>
  <c r="R631" i="6" s="1"/>
  <c r="R632" i="6"/>
  <c r="R633" i="6" s="1"/>
  <c r="R634" i="6" s="1"/>
  <c r="R635" i="6" s="1"/>
  <c r="R636" i="6" s="1"/>
  <c r="R637" i="6"/>
  <c r="R638" i="6" s="1"/>
  <c r="R639" i="6" s="1"/>
  <c r="R640" i="6" s="1"/>
  <c r="R641" i="6" s="1"/>
  <c r="R642" i="6"/>
  <c r="R643" i="6" s="1"/>
  <c r="R644" i="6" s="1"/>
  <c r="R645" i="6" s="1"/>
  <c r="R646" i="6" s="1"/>
  <c r="R647" i="6"/>
  <c r="R648" i="6" s="1"/>
  <c r="R649" i="6" s="1"/>
  <c r="R650" i="6" s="1"/>
  <c r="R651" i="6" s="1"/>
  <c r="R652" i="6"/>
  <c r="R653" i="6" s="1"/>
  <c r="R654" i="6" s="1"/>
  <c r="R655" i="6" s="1"/>
  <c r="R656" i="6" s="1"/>
  <c r="R657" i="6"/>
  <c r="R658" i="6" s="1"/>
  <c r="R659" i="6" s="1"/>
  <c r="R660" i="6" s="1"/>
  <c r="R661" i="6" s="1"/>
  <c r="R662" i="6"/>
  <c r="R663" i="6"/>
  <c r="R664" i="6" s="1"/>
  <c r="R665" i="6" s="1"/>
  <c r="R666" i="6" s="1"/>
  <c r="R667" i="6"/>
  <c r="R668" i="6"/>
  <c r="R669" i="6" s="1"/>
  <c r="R670" i="6" s="1"/>
  <c r="R671" i="6" s="1"/>
  <c r="R672" i="6"/>
  <c r="R673" i="6" s="1"/>
  <c r="R674" i="6" s="1"/>
  <c r="R675" i="6" s="1"/>
  <c r="R676" i="6" s="1"/>
  <c r="R677" i="6"/>
  <c r="R678" i="6" s="1"/>
  <c r="R679" i="6" s="1"/>
  <c r="R680" i="6" s="1"/>
  <c r="R681" i="6" s="1"/>
  <c r="R682" i="6"/>
  <c r="R683" i="6" s="1"/>
  <c r="R684" i="6" s="1"/>
  <c r="R685" i="6" s="1"/>
  <c r="R686" i="6" s="1"/>
  <c r="R687" i="6"/>
  <c r="R688" i="6"/>
  <c r="R689" i="6" s="1"/>
  <c r="R690" i="6" s="1"/>
  <c r="R691" i="6" s="1"/>
  <c r="R692" i="6"/>
  <c r="R693" i="6" s="1"/>
  <c r="R694" i="6" s="1"/>
  <c r="R695" i="6" s="1"/>
  <c r="R696" i="6" s="1"/>
  <c r="R697" i="6"/>
  <c r="R698" i="6" s="1"/>
  <c r="R699" i="6" s="1"/>
  <c r="R700" i="6" s="1"/>
  <c r="R701" i="6" s="1"/>
  <c r="R702" i="6"/>
  <c r="R703" i="6" s="1"/>
  <c r="R704" i="6" s="1"/>
  <c r="R705" i="6" s="1"/>
  <c r="R706" i="6" s="1"/>
  <c r="R707" i="6"/>
  <c r="R708" i="6" s="1"/>
  <c r="R709" i="6" s="1"/>
  <c r="R710" i="6" s="1"/>
  <c r="R711" i="6" s="1"/>
  <c r="R712" i="6"/>
  <c r="R713" i="6" s="1"/>
  <c r="R714" i="6" s="1"/>
  <c r="R715" i="6" s="1"/>
  <c r="R716" i="6" s="1"/>
  <c r="R717" i="6"/>
  <c r="R718" i="6" s="1"/>
  <c r="R719" i="6" s="1"/>
  <c r="R720" i="6" s="1"/>
  <c r="R721" i="6" s="1"/>
  <c r="R722" i="6"/>
  <c r="R723" i="6" s="1"/>
  <c r="R724" i="6" s="1"/>
  <c r="R725" i="6" s="1"/>
  <c r="R726" i="6" s="1"/>
  <c r="R727" i="6"/>
  <c r="R728" i="6" s="1"/>
  <c r="R729" i="6" s="1"/>
  <c r="R730" i="6" s="1"/>
  <c r="R731" i="6" s="1"/>
  <c r="R732" i="6"/>
  <c r="R733" i="6" s="1"/>
  <c r="R734" i="6" s="1"/>
  <c r="R735" i="6" s="1"/>
  <c r="R736" i="6" s="1"/>
  <c r="R737" i="6"/>
  <c r="R738" i="6"/>
  <c r="R739" i="6" s="1"/>
  <c r="R740" i="6" s="1"/>
  <c r="R741" i="6" s="1"/>
  <c r="R742" i="6"/>
  <c r="R743" i="6" s="1"/>
  <c r="R744" i="6" s="1"/>
  <c r="R745" i="6" s="1"/>
  <c r="R746" i="6"/>
  <c r="R747" i="6"/>
  <c r="R748" i="6" s="1"/>
  <c r="R749" i="6" s="1"/>
  <c r="R750" i="6" s="1"/>
  <c r="R751" i="6" s="1"/>
  <c r="R752" i="6"/>
  <c r="R753" i="6" s="1"/>
  <c r="R754" i="6" s="1"/>
  <c r="R755" i="6" s="1"/>
  <c r="R756" i="6" s="1"/>
  <c r="R757" i="6"/>
  <c r="R758" i="6" s="1"/>
  <c r="R759" i="6" s="1"/>
  <c r="R760" i="6" s="1"/>
  <c r="R761" i="6" s="1"/>
  <c r="R762" i="6"/>
  <c r="R763" i="6" s="1"/>
  <c r="R764" i="6" s="1"/>
  <c r="R765" i="6" s="1"/>
  <c r="R766" i="6" s="1"/>
  <c r="R767" i="6"/>
  <c r="R768" i="6"/>
  <c r="R769" i="6" s="1"/>
  <c r="R770" i="6" s="1"/>
  <c r="R771" i="6" s="1"/>
  <c r="R772" i="6"/>
  <c r="R773" i="6" s="1"/>
  <c r="R774" i="6" s="1"/>
  <c r="R775" i="6" s="1"/>
  <c r="R776" i="6" s="1"/>
  <c r="R777" i="6"/>
  <c r="R778" i="6" s="1"/>
  <c r="R779" i="6" s="1"/>
  <c r="R780" i="6" s="1"/>
  <c r="R781" i="6" s="1"/>
  <c r="R782" i="6"/>
  <c r="R783" i="6"/>
  <c r="R784" i="6" s="1"/>
  <c r="R785" i="6" s="1"/>
  <c r="R786" i="6" s="1"/>
  <c r="R787" i="6"/>
  <c r="R788" i="6" s="1"/>
  <c r="R789" i="6" s="1"/>
  <c r="R790" i="6" s="1"/>
  <c r="R791" i="6" s="1"/>
  <c r="R792" i="6"/>
  <c r="R793" i="6" s="1"/>
  <c r="R794" i="6"/>
  <c r="R795" i="6" s="1"/>
  <c r="R796" i="6" s="1"/>
  <c r="R797" i="6"/>
  <c r="R798" i="6" s="1"/>
  <c r="R799" i="6" s="1"/>
  <c r="R800" i="6" s="1"/>
  <c r="R801" i="6" s="1"/>
  <c r="R802" i="6"/>
  <c r="R803" i="6" s="1"/>
  <c r="R804" i="6" s="1"/>
  <c r="R805" i="6" s="1"/>
  <c r="R806" i="6" s="1"/>
  <c r="R807" i="6"/>
  <c r="R808" i="6"/>
  <c r="R809" i="6" s="1"/>
  <c r="R810" i="6" s="1"/>
  <c r="R811" i="6" s="1"/>
  <c r="R812" i="6"/>
  <c r="R813" i="6" s="1"/>
  <c r="R814" i="6" s="1"/>
  <c r="R815" i="6" s="1"/>
  <c r="R816" i="6" s="1"/>
  <c r="R817" i="6"/>
  <c r="R818" i="6" s="1"/>
  <c r="R819" i="6" s="1"/>
  <c r="R820" i="6" s="1"/>
  <c r="R821" i="6" s="1"/>
  <c r="R822" i="6"/>
  <c r="R823" i="6" s="1"/>
  <c r="R824" i="6" s="1"/>
  <c r="R825" i="6" s="1"/>
  <c r="R826" i="6" s="1"/>
  <c r="R827" i="6"/>
  <c r="R828" i="6" s="1"/>
  <c r="R829" i="6" s="1"/>
  <c r="R830" i="6" s="1"/>
  <c r="R831" i="6" s="1"/>
  <c r="R832" i="6"/>
  <c r="R833" i="6" s="1"/>
  <c r="R834" i="6" s="1"/>
  <c r="R835" i="6" s="1"/>
  <c r="R836" i="6" s="1"/>
  <c r="R837" i="6"/>
  <c r="R838" i="6" s="1"/>
  <c r="R839" i="6" s="1"/>
  <c r="R840" i="6" s="1"/>
  <c r="R841" i="6" s="1"/>
  <c r="R842" i="6"/>
  <c r="R843" i="6" s="1"/>
  <c r="R844" i="6" s="1"/>
  <c r="R845" i="6" s="1"/>
  <c r="R846" i="6" s="1"/>
  <c r="R847" i="6"/>
  <c r="R848" i="6" s="1"/>
  <c r="R849" i="6" s="1"/>
  <c r="R850" i="6" s="1"/>
  <c r="R851" i="6" s="1"/>
  <c r="R852" i="6"/>
  <c r="R853" i="6" s="1"/>
  <c r="R854" i="6" s="1"/>
  <c r="R855" i="6" s="1"/>
  <c r="R856" i="6" s="1"/>
  <c r="R857" i="6"/>
  <c r="R858" i="6" s="1"/>
  <c r="R859" i="6" s="1"/>
  <c r="R860" i="6" s="1"/>
  <c r="R861" i="6" s="1"/>
  <c r="R862" i="6"/>
  <c r="R863" i="6" s="1"/>
  <c r="R864" i="6" s="1"/>
  <c r="R865" i="6" s="1"/>
  <c r="R866" i="6" s="1"/>
  <c r="R867" i="6"/>
  <c r="R868" i="6"/>
  <c r="R869" i="6" s="1"/>
  <c r="R870" i="6" s="1"/>
  <c r="R871" i="6" s="1"/>
  <c r="R872" i="6"/>
  <c r="R873" i="6" s="1"/>
  <c r="R874" i="6" s="1"/>
  <c r="R875" i="6" s="1"/>
  <c r="R876" i="6" s="1"/>
  <c r="R877" i="6"/>
  <c r="R878" i="6"/>
  <c r="R879" i="6" s="1"/>
  <c r="R880" i="6" s="1"/>
  <c r="R881" i="6" s="1"/>
  <c r="R882" i="6"/>
  <c r="R883" i="6" s="1"/>
  <c r="R884" i="6"/>
  <c r="R885" i="6" s="1"/>
  <c r="R886" i="6" s="1"/>
  <c r="R887" i="6"/>
  <c r="R888" i="6"/>
  <c r="R889" i="6" s="1"/>
  <c r="R890" i="6" s="1"/>
  <c r="R891" i="6" s="1"/>
  <c r="R892" i="6"/>
  <c r="R893" i="6" s="1"/>
  <c r="R894" i="6" s="1"/>
  <c r="R895" i="6" s="1"/>
  <c r="R896" i="6" s="1"/>
  <c r="R897" i="6"/>
  <c r="R898" i="6" s="1"/>
  <c r="R899" i="6" s="1"/>
  <c r="R900" i="6" s="1"/>
  <c r="R901" i="6" s="1"/>
  <c r="R902" i="6"/>
  <c r="R903" i="6" s="1"/>
  <c r="R904" i="6" s="1"/>
  <c r="R905" i="6" s="1"/>
  <c r="R906" i="6" s="1"/>
  <c r="R907" i="6"/>
  <c r="R908" i="6" s="1"/>
  <c r="R909" i="6" s="1"/>
  <c r="R910" i="6" s="1"/>
  <c r="R911" i="6" s="1"/>
  <c r="R912" i="6"/>
  <c r="R913" i="6" s="1"/>
  <c r="R914" i="6" s="1"/>
  <c r="R915" i="6" s="1"/>
  <c r="R916" i="6" s="1"/>
  <c r="R917" i="6"/>
  <c r="R918" i="6" s="1"/>
  <c r="R919" i="6" s="1"/>
  <c r="R920" i="6" s="1"/>
  <c r="R921" i="6" s="1"/>
  <c r="R922" i="6"/>
  <c r="R923" i="6" s="1"/>
  <c r="R924" i="6" s="1"/>
  <c r="R925" i="6" s="1"/>
  <c r="R926" i="6" s="1"/>
  <c r="R927" i="6"/>
  <c r="R928" i="6"/>
  <c r="R929" i="6" s="1"/>
  <c r="R930" i="6" s="1"/>
  <c r="R931" i="6" s="1"/>
  <c r="R932" i="6"/>
  <c r="R933" i="6" s="1"/>
  <c r="R934" i="6" s="1"/>
  <c r="R935" i="6" s="1"/>
  <c r="R936" i="6" s="1"/>
  <c r="R937" i="6"/>
  <c r="R938" i="6" s="1"/>
  <c r="R939" i="6" s="1"/>
  <c r="R940" i="6" s="1"/>
  <c r="R941" i="6" s="1"/>
  <c r="R942" i="6"/>
  <c r="R943" i="6" s="1"/>
  <c r="R944" i="6" s="1"/>
  <c r="R945" i="6" s="1"/>
  <c r="R946" i="6" s="1"/>
  <c r="R947" i="6"/>
  <c r="R948" i="6"/>
  <c r="R949" i="6" s="1"/>
  <c r="R950" i="6" s="1"/>
  <c r="R951" i="6" s="1"/>
  <c r="R952" i="6"/>
  <c r="R953" i="6" s="1"/>
  <c r="R954" i="6" s="1"/>
  <c r="R955" i="6" s="1"/>
  <c r="R956" i="6" s="1"/>
  <c r="R957" i="6"/>
  <c r="R958" i="6" s="1"/>
  <c r="R959" i="6" s="1"/>
  <c r="R960" i="6" s="1"/>
  <c r="R961" i="6" s="1"/>
  <c r="R962" i="6"/>
  <c r="R963" i="6" s="1"/>
  <c r="R964" i="6" s="1"/>
  <c r="R965" i="6" s="1"/>
  <c r="R966" i="6" s="1"/>
  <c r="R967" i="6"/>
  <c r="R968" i="6" s="1"/>
  <c r="R969" i="6" s="1"/>
  <c r="R970" i="6" s="1"/>
  <c r="R971" i="6" s="1"/>
  <c r="R972" i="6"/>
  <c r="R973" i="6" s="1"/>
  <c r="R974" i="6" s="1"/>
  <c r="R975" i="6" s="1"/>
  <c r="R976" i="6" s="1"/>
  <c r="R977" i="6"/>
  <c r="R978" i="6"/>
  <c r="R979" i="6" s="1"/>
  <c r="R980" i="6" s="1"/>
  <c r="R981" i="6" s="1"/>
  <c r="R982" i="6"/>
  <c r="R983" i="6" s="1"/>
  <c r="R984" i="6" s="1"/>
  <c r="R985" i="6" s="1"/>
  <c r="R986" i="6" s="1"/>
  <c r="R987" i="6"/>
  <c r="R988" i="6" s="1"/>
  <c r="R989" i="6" s="1"/>
  <c r="R990" i="6" s="1"/>
  <c r="R991" i="6" s="1"/>
  <c r="R992" i="6"/>
  <c r="R993" i="6" s="1"/>
  <c r="R994" i="6" s="1"/>
  <c r="R995" i="6" s="1"/>
  <c r="R996" i="6" s="1"/>
  <c r="R997" i="6"/>
  <c r="R998" i="6" s="1"/>
  <c r="R999" i="6" s="1"/>
  <c r="R1000" i="6" s="1"/>
  <c r="R1001" i="6" s="1"/>
  <c r="R1002" i="6"/>
  <c r="R1003" i="6" s="1"/>
  <c r="R1004" i="6" s="1"/>
  <c r="R1005" i="6" s="1"/>
  <c r="R1006" i="6" s="1"/>
  <c r="R1007" i="6"/>
  <c r="R1008" i="6"/>
  <c r="R1009" i="6" s="1"/>
  <c r="R1010" i="6" s="1"/>
  <c r="R1011" i="6" s="1"/>
  <c r="R1012" i="6"/>
  <c r="R1013" i="6" s="1"/>
  <c r="R1014" i="6" s="1"/>
  <c r="R1015" i="6" s="1"/>
  <c r="R1016" i="6" s="1"/>
  <c r="R1017" i="6"/>
  <c r="R1018" i="6"/>
  <c r="R1019" i="6" s="1"/>
  <c r="R1020" i="6"/>
  <c r="R1021" i="6" s="1"/>
  <c r="R1022" i="6"/>
  <c r="R1023" i="6" s="1"/>
  <c r="R1024" i="6" s="1"/>
  <c r="R1025" i="6" s="1"/>
  <c r="R1026" i="6" s="1"/>
  <c r="R1027" i="6"/>
  <c r="R1028" i="6" s="1"/>
  <c r="R1029" i="6" s="1"/>
  <c r="R1030" i="6" s="1"/>
  <c r="R1031" i="6" s="1"/>
  <c r="R1032" i="6"/>
  <c r="R1033" i="6" s="1"/>
  <c r="R1034" i="6" s="1"/>
  <c r="R1035" i="6" s="1"/>
  <c r="R1036" i="6" s="1"/>
  <c r="R1037" i="6"/>
  <c r="R1038" i="6" s="1"/>
  <c r="R1039" i="6" s="1"/>
  <c r="R1040" i="6" s="1"/>
  <c r="R1041" i="6" s="1"/>
  <c r="R1042" i="6"/>
  <c r="R1043" i="6" s="1"/>
  <c r="R1044" i="6" s="1"/>
  <c r="R1045" i="6" s="1"/>
  <c r="R1046" i="6" s="1"/>
  <c r="R1047" i="6"/>
  <c r="R1048" i="6" s="1"/>
  <c r="R1049" i="6" s="1"/>
  <c r="R1050" i="6" s="1"/>
  <c r="R1051" i="6" s="1"/>
  <c r="R1052" i="6"/>
  <c r="R1053" i="6" s="1"/>
  <c r="R1054" i="6" s="1"/>
  <c r="R1055" i="6" s="1"/>
  <c r="R1056" i="6" s="1"/>
  <c r="R1057" i="6"/>
  <c r="R1058" i="6" s="1"/>
  <c r="R1059" i="6" s="1"/>
  <c r="R1060" i="6" s="1"/>
  <c r="R1061" i="6" s="1"/>
  <c r="R1062" i="6"/>
  <c r="R1063" i="6" s="1"/>
  <c r="R1064" i="6" s="1"/>
  <c r="R1065" i="6" s="1"/>
  <c r="R1066" i="6" s="1"/>
  <c r="R1067" i="6"/>
  <c r="R1068" i="6" s="1"/>
  <c r="R1069" i="6" s="1"/>
  <c r="R1070" i="6" s="1"/>
  <c r="R1071" i="6" s="1"/>
  <c r="R1072" i="6"/>
  <c r="R1073" i="6" s="1"/>
  <c r="R1074" i="6" s="1"/>
  <c r="R1075" i="6" s="1"/>
  <c r="R1076" i="6" s="1"/>
  <c r="R1077" i="6"/>
  <c r="R1078" i="6"/>
  <c r="R1079" i="6" s="1"/>
  <c r="R1080" i="6" s="1"/>
  <c r="R1081" i="6" s="1"/>
  <c r="R1082" i="6"/>
  <c r="R1083" i="6" s="1"/>
  <c r="R1084" i="6" s="1"/>
  <c r="R1085" i="6" s="1"/>
  <c r="R1086" i="6" s="1"/>
  <c r="R1087" i="6"/>
  <c r="R1088" i="6"/>
  <c r="R1089" i="6" s="1"/>
  <c r="R1090" i="6" s="1"/>
  <c r="R1091" i="6" s="1"/>
  <c r="R1092" i="6"/>
  <c r="R1093" i="6" s="1"/>
  <c r="R1094" i="6" s="1"/>
  <c r="R1095" i="6" s="1"/>
  <c r="R1096" i="6" s="1"/>
  <c r="R1097" i="6"/>
  <c r="R1098" i="6" s="1"/>
  <c r="R1099" i="6" s="1"/>
  <c r="R1100" i="6" s="1"/>
  <c r="R1101" i="6" s="1"/>
  <c r="R1102" i="6"/>
  <c r="R1103" i="6" s="1"/>
  <c r="R1104" i="6" s="1"/>
  <c r="R1105" i="6" s="1"/>
  <c r="R1106" i="6" s="1"/>
  <c r="R1107" i="6"/>
  <c r="R1108" i="6" s="1"/>
  <c r="R1109" i="6" s="1"/>
  <c r="R1110" i="6" s="1"/>
  <c r="R1111" i="6" s="1"/>
  <c r="R1112" i="6"/>
  <c r="R1113" i="6" s="1"/>
  <c r="R1114" i="6" s="1"/>
  <c r="R1115" i="6" s="1"/>
  <c r="R1116" i="6"/>
  <c r="R1117" i="6"/>
  <c r="R1118" i="6"/>
  <c r="R1119" i="6" s="1"/>
  <c r="R1120" i="6" s="1"/>
  <c r="R1121" i="6" s="1"/>
  <c r="R1122" i="6"/>
  <c r="R1123" i="6" s="1"/>
  <c r="R1124" i="6" s="1"/>
  <c r="R1125" i="6" s="1"/>
  <c r="R1126" i="6" s="1"/>
  <c r="R1127" i="6"/>
  <c r="R1128" i="6" s="1"/>
  <c r="R1129" i="6" s="1"/>
  <c r="R1130" i="6" s="1"/>
  <c r="R1131" i="6" s="1"/>
  <c r="R1132" i="6"/>
  <c r="R1133" i="6" s="1"/>
  <c r="R1134" i="6" s="1"/>
  <c r="R1135" i="6" s="1"/>
  <c r="R1136" i="6" s="1"/>
  <c r="R1137" i="6"/>
  <c r="R1138" i="6"/>
  <c r="R1139" i="6" s="1"/>
  <c r="R1140" i="6" s="1"/>
  <c r="R1141" i="6" s="1"/>
  <c r="R1142" i="6"/>
  <c r="R1143" i="6" s="1"/>
  <c r="R1144" i="6" s="1"/>
  <c r="R1145" i="6" s="1"/>
  <c r="R1146" i="6" s="1"/>
  <c r="R1147" i="6"/>
  <c r="R1148" i="6"/>
  <c r="R1149" i="6" s="1"/>
  <c r="R1150" i="6" s="1"/>
  <c r="R1151" i="6" s="1"/>
  <c r="R1152" i="6"/>
  <c r="R1153" i="6" s="1"/>
  <c r="R1154" i="6" s="1"/>
  <c r="R1155" i="6" s="1"/>
  <c r="R1156" i="6" s="1"/>
  <c r="R1157" i="6"/>
  <c r="R1158" i="6"/>
  <c r="R1159" i="6" s="1"/>
  <c r="R1160" i="6" s="1"/>
  <c r="R1161" i="6" s="1"/>
  <c r="R1162" i="6"/>
  <c r="R1163" i="6" s="1"/>
  <c r="R1164" i="6" s="1"/>
  <c r="R1165" i="6" s="1"/>
  <c r="R1166" i="6" s="1"/>
  <c r="R1167" i="6"/>
  <c r="R1168" i="6" s="1"/>
  <c r="R1169" i="6" s="1"/>
  <c r="R1170" i="6" s="1"/>
  <c r="R1171" i="6" s="1"/>
  <c r="R1172" i="6"/>
  <c r="R1173" i="6" s="1"/>
  <c r="R1174" i="6" s="1"/>
  <c r="R1175" i="6" s="1"/>
  <c r="R1176" i="6" s="1"/>
  <c r="R1177" i="6"/>
  <c r="R1178" i="6" s="1"/>
  <c r="R1179" i="6" s="1"/>
  <c r="R1180" i="6" s="1"/>
  <c r="R1181" i="6" s="1"/>
  <c r="R1182" i="6"/>
  <c r="R1183" i="6" s="1"/>
  <c r="R1184" i="6" s="1"/>
  <c r="R1185" i="6" s="1"/>
  <c r="R1186" i="6" s="1"/>
  <c r="R1187" i="6"/>
  <c r="R1188" i="6" s="1"/>
  <c r="R1189" i="6" s="1"/>
  <c r="R1190" i="6" s="1"/>
  <c r="R1191" i="6" s="1"/>
  <c r="R1192" i="6"/>
  <c r="R1193" i="6" s="1"/>
  <c r="R1194" i="6" s="1"/>
  <c r="R1195" i="6" s="1"/>
  <c r="R1196" i="6" s="1"/>
  <c r="R1197" i="6"/>
  <c r="R1198" i="6" s="1"/>
  <c r="R1199" i="6" s="1"/>
  <c r="R1200" i="6" s="1"/>
  <c r="R1201" i="6" s="1"/>
  <c r="R1202" i="6"/>
  <c r="R1203" i="6" s="1"/>
  <c r="R1204" i="6"/>
  <c r="R1205" i="6" s="1"/>
  <c r="R1206" i="6" s="1"/>
  <c r="R1207" i="6"/>
  <c r="R1208" i="6" s="1"/>
  <c r="R1209" i="6" s="1"/>
  <c r="R1210" i="6" s="1"/>
  <c r="R1211" i="6" s="1"/>
  <c r="R1212" i="6"/>
  <c r="R1213" i="6" s="1"/>
  <c r="R1214" i="6" s="1"/>
  <c r="R1215" i="6" s="1"/>
  <c r="R1216" i="6" s="1"/>
  <c r="R1217" i="6"/>
  <c r="R1218" i="6" s="1"/>
  <c r="R1219" i="6" s="1"/>
  <c r="R1220" i="6" s="1"/>
  <c r="R1221" i="6" s="1"/>
  <c r="R1222" i="6"/>
  <c r="R1223" i="6" s="1"/>
  <c r="R1224" i="6" s="1"/>
  <c r="R1225" i="6" s="1"/>
  <c r="R1226" i="6" s="1"/>
  <c r="R1227" i="6"/>
  <c r="R1228" i="6"/>
  <c r="R1229" i="6" s="1"/>
  <c r="R1230" i="6" s="1"/>
  <c r="R1231" i="6" s="1"/>
  <c r="R1232" i="6"/>
  <c r="R1233" i="6" s="1"/>
  <c r="R1234" i="6" s="1"/>
  <c r="R1235" i="6" s="1"/>
  <c r="R1236" i="6"/>
  <c r="R1237" i="6"/>
  <c r="R1238" i="6" s="1"/>
  <c r="R1239" i="6" s="1"/>
  <c r="R1240" i="6" s="1"/>
  <c r="R1241" i="6" s="1"/>
  <c r="R1242" i="6"/>
  <c r="R1243" i="6" s="1"/>
  <c r="R1244" i="6" s="1"/>
  <c r="R1245" i="6" s="1"/>
  <c r="R1246" i="6" s="1"/>
  <c r="R1247" i="6"/>
  <c r="R1248" i="6" s="1"/>
  <c r="R1249" i="6" s="1"/>
  <c r="R1250" i="6" s="1"/>
  <c r="R1251" i="6" s="1"/>
  <c r="R1252" i="6"/>
  <c r="R1253" i="6" s="1"/>
  <c r="R1254" i="6" s="1"/>
  <c r="R1255" i="6" s="1"/>
  <c r="R1256" i="6" s="1"/>
  <c r="R1257" i="6"/>
  <c r="R1258" i="6"/>
  <c r="R1259" i="6" s="1"/>
  <c r="R1260" i="6" s="1"/>
  <c r="R1261" i="6" s="1"/>
  <c r="R1262" i="6"/>
  <c r="R1263" i="6" s="1"/>
  <c r="R1264" i="6" s="1"/>
  <c r="R1265" i="6" s="1"/>
  <c r="R1266" i="6" s="1"/>
  <c r="R1267" i="6"/>
  <c r="R1268" i="6" s="1"/>
  <c r="R1269" i="6" s="1"/>
  <c r="R1270" i="6" s="1"/>
  <c r="R1271" i="6" s="1"/>
  <c r="R1272" i="6"/>
  <c r="R1273" i="6" s="1"/>
  <c r="R1274" i="6" s="1"/>
  <c r="R1275" i="6" s="1"/>
  <c r="R1276" i="6" s="1"/>
  <c r="R1277" i="6"/>
  <c r="R1278" i="6"/>
  <c r="R1279" i="6" s="1"/>
  <c r="R1280" i="6" s="1"/>
  <c r="R1281" i="6" s="1"/>
  <c r="R1282" i="6"/>
  <c r="R1283" i="6" s="1"/>
  <c r="R1284" i="6"/>
  <c r="R1285" i="6" s="1"/>
  <c r="R1286" i="6" s="1"/>
  <c r="R1287" i="6"/>
  <c r="R1288" i="6" s="1"/>
  <c r="R1289" i="6" s="1"/>
  <c r="R1290" i="6" s="1"/>
  <c r="R1291" i="6" s="1"/>
  <c r="R1292" i="6"/>
  <c r="R1293" i="6" s="1"/>
  <c r="R1294" i="6" s="1"/>
  <c r="R1295" i="6" s="1"/>
  <c r="R1296" i="6" s="1"/>
  <c r="R1297" i="6"/>
  <c r="R1298" i="6" s="1"/>
  <c r="R1299" i="6" s="1"/>
  <c r="R1300" i="6" s="1"/>
  <c r="R1301" i="6" s="1"/>
  <c r="R1302" i="6"/>
  <c r="R1303" i="6" s="1"/>
  <c r="R1304" i="6" s="1"/>
  <c r="R1305" i="6" s="1"/>
  <c r="R1306" i="6" s="1"/>
  <c r="R1307" i="6"/>
  <c r="R1308" i="6" s="1"/>
  <c r="R1309" i="6" s="1"/>
  <c r="R1310" i="6" s="1"/>
  <c r="R1311" i="6" s="1"/>
  <c r="R1312" i="6"/>
  <c r="R1313" i="6" s="1"/>
  <c r="R1314" i="6" s="1"/>
  <c r="R1315" i="6" s="1"/>
  <c r="R1316" i="6" s="1"/>
  <c r="R1317" i="6"/>
  <c r="R1318" i="6" s="1"/>
  <c r="R1319" i="6" s="1"/>
  <c r="R1320" i="6" s="1"/>
  <c r="R1321" i="6" s="1"/>
  <c r="R1322" i="6"/>
  <c r="R1323" i="6" s="1"/>
  <c r="R1324" i="6" s="1"/>
  <c r="R1325" i="6" s="1"/>
  <c r="R1326" i="6" s="1"/>
  <c r="R1327" i="6"/>
  <c r="R1328" i="6" s="1"/>
  <c r="R1329" i="6" s="1"/>
  <c r="R1330" i="6" s="1"/>
  <c r="R1331" i="6" s="1"/>
  <c r="R1332" i="6"/>
  <c r="R1333" i="6" s="1"/>
  <c r="R1334" i="6" s="1"/>
  <c r="R1335" i="6" s="1"/>
  <c r="R1336" i="6" s="1"/>
  <c r="R1337" i="6"/>
  <c r="R1338" i="6" s="1"/>
  <c r="R1339" i="6" s="1"/>
  <c r="R1340" i="6" s="1"/>
  <c r="R1341" i="6" s="1"/>
  <c r="R1342" i="6"/>
  <c r="R1343" i="6" s="1"/>
  <c r="R1344" i="6" s="1"/>
  <c r="R1345" i="6" s="1"/>
  <c r="R1346" i="6" s="1"/>
  <c r="R1347" i="6"/>
  <c r="R1348" i="6" s="1"/>
  <c r="R1349" i="6" s="1"/>
  <c r="R1350" i="6" s="1"/>
  <c r="R1351" i="6" s="1"/>
  <c r="R1352" i="6"/>
  <c r="R1353" i="6" s="1"/>
  <c r="R1354" i="6" s="1"/>
  <c r="R1355" i="6" s="1"/>
  <c r="R1356" i="6"/>
  <c r="R1357" i="6"/>
  <c r="R1358" i="6"/>
  <c r="R1359" i="6" s="1"/>
  <c r="R1360" i="6" s="1"/>
  <c r="R1361" i="6" s="1"/>
  <c r="R1362" i="6"/>
  <c r="R1363" i="6" s="1"/>
  <c r="R1364" i="6" s="1"/>
  <c r="R1365" i="6" s="1"/>
  <c r="R1366" i="6" s="1"/>
  <c r="R1367" i="6"/>
  <c r="R1368" i="6" s="1"/>
  <c r="R1369" i="6" s="1"/>
  <c r="R1370" i="6" s="1"/>
  <c r="R1371" i="6" s="1"/>
  <c r="R1372" i="6"/>
  <c r="R1373" i="6" s="1"/>
  <c r="R1374" i="6" s="1"/>
  <c r="R1375" i="6" s="1"/>
  <c r="R1376" i="6" s="1"/>
  <c r="R1377" i="6"/>
  <c r="R1378" i="6" s="1"/>
  <c r="R1379" i="6" s="1"/>
  <c r="R1380" i="6" s="1"/>
  <c r="R1381" i="6" s="1"/>
  <c r="R1382" i="6"/>
  <c r="R1383" i="6" s="1"/>
  <c r="R1384" i="6" s="1"/>
  <c r="R1385" i="6" s="1"/>
  <c r="R1386" i="6" s="1"/>
  <c r="R1387" i="6"/>
  <c r="R1388" i="6"/>
  <c r="R1389" i="6" s="1"/>
  <c r="R1390" i="6" s="1"/>
  <c r="R1391" i="6" s="1"/>
  <c r="R1392" i="6"/>
  <c r="R1393" i="6" s="1"/>
  <c r="R1394" i="6" s="1"/>
  <c r="R1395" i="6" s="1"/>
  <c r="R1396" i="6" s="1"/>
  <c r="R1397" i="6"/>
  <c r="R1398" i="6"/>
  <c r="R1399" i="6" s="1"/>
  <c r="R1400" i="6" s="1"/>
  <c r="R1401" i="6" s="1"/>
  <c r="R1402" i="6"/>
  <c r="R1403" i="6" s="1"/>
  <c r="R1404" i="6"/>
  <c r="R1405" i="6" s="1"/>
  <c r="R1406" i="6" s="1"/>
  <c r="R1407" i="6"/>
  <c r="R1408" i="6"/>
  <c r="R1409" i="6" s="1"/>
  <c r="R1410" i="6" s="1"/>
  <c r="R1411" i="6" s="1"/>
  <c r="R1412" i="6"/>
  <c r="R1413" i="6" s="1"/>
  <c r="R1414" i="6" s="1"/>
  <c r="R1415" i="6" s="1"/>
  <c r="R1416" i="6" s="1"/>
  <c r="R1417" i="6"/>
  <c r="R1418" i="6" s="1"/>
  <c r="R1419" i="6" s="1"/>
  <c r="R1420" i="6" s="1"/>
  <c r="R1421" i="6" s="1"/>
  <c r="R1422" i="6"/>
  <c r="R1423" i="6" s="1"/>
  <c r="R1424" i="6" s="1"/>
  <c r="R1425" i="6" s="1"/>
  <c r="R1426" i="6" s="1"/>
  <c r="R1427" i="6"/>
  <c r="R1428" i="6" s="1"/>
  <c r="R1429" i="6" s="1"/>
  <c r="R1430" i="6" s="1"/>
  <c r="R1431" i="6" s="1"/>
  <c r="R1432" i="6"/>
  <c r="R1433" i="6" s="1"/>
  <c r="R1434" i="6" s="1"/>
  <c r="R1435" i="6" s="1"/>
  <c r="R1436" i="6" s="1"/>
  <c r="R1437" i="6"/>
  <c r="R1438" i="6"/>
  <c r="R1439" i="6" s="1"/>
  <c r="R1440" i="6" s="1"/>
  <c r="R1441" i="6" s="1"/>
  <c r="R1442" i="6"/>
  <c r="R1443" i="6" s="1"/>
  <c r="R1444" i="6" s="1"/>
  <c r="R1445" i="6" s="1"/>
  <c r="R1446" i="6" s="1"/>
  <c r="R1447" i="6"/>
  <c r="R1448" i="6" s="1"/>
  <c r="R1449" i="6" s="1"/>
  <c r="R1450" i="6" s="1"/>
  <c r="R1451" i="6" s="1"/>
  <c r="R1452" i="6"/>
  <c r="R1453" i="6" s="1"/>
  <c r="R1454" i="6" s="1"/>
  <c r="R1455" i="6" s="1"/>
  <c r="R1456" i="6" s="1"/>
  <c r="R1457" i="6"/>
  <c r="R1458" i="6" s="1"/>
  <c r="R1459" i="6" s="1"/>
  <c r="R1460" i="6" s="1"/>
  <c r="R1461" i="6" s="1"/>
  <c r="R1462" i="6"/>
  <c r="R1463" i="6" s="1"/>
  <c r="R1464" i="6" s="1"/>
  <c r="R1465" i="6" s="1"/>
  <c r="R1466" i="6" s="1"/>
  <c r="R1467" i="6"/>
  <c r="R1468" i="6" s="1"/>
  <c r="R1469" i="6" s="1"/>
  <c r="R1470" i="6" s="1"/>
  <c r="R1471" i="6" s="1"/>
  <c r="R1472" i="6"/>
  <c r="R1473" i="6" s="1"/>
  <c r="R1474" i="6" s="1"/>
  <c r="R1475" i="6" s="1"/>
  <c r="R1476" i="6" s="1"/>
  <c r="R1477" i="6"/>
  <c r="R1478" i="6" s="1"/>
  <c r="R1479" i="6" s="1"/>
  <c r="R1480" i="6" s="1"/>
  <c r="R1481" i="6" s="1"/>
  <c r="R1482" i="6"/>
  <c r="R1483" i="6" s="1"/>
  <c r="R1484" i="6" s="1"/>
  <c r="R1485" i="6" s="1"/>
  <c r="R1486" i="6" s="1"/>
  <c r="R1487" i="6"/>
  <c r="R1488" i="6" s="1"/>
  <c r="R1489" i="6" s="1"/>
  <c r="R1490" i="6" s="1"/>
  <c r="R1491" i="6" s="1"/>
  <c r="R1492" i="6"/>
  <c r="R1493" i="6" s="1"/>
  <c r="R1494" i="6" s="1"/>
  <c r="R1495" i="6" s="1"/>
  <c r="R1496" i="6" s="1"/>
  <c r="R1497" i="6"/>
  <c r="R1498" i="6" s="1"/>
  <c r="R1499" i="6" s="1"/>
  <c r="R1500" i="6" s="1"/>
  <c r="R1501" i="6" s="1"/>
  <c r="R1502" i="6"/>
  <c r="R1503" i="6" s="1"/>
  <c r="R1504" i="6" s="1"/>
  <c r="R1505" i="6" s="1"/>
  <c r="R1506" i="6" s="1"/>
  <c r="R1507" i="6"/>
  <c r="R1508" i="6" s="1"/>
  <c r="R1509" i="6" s="1"/>
  <c r="R1510" i="6" s="1"/>
  <c r="R1511" i="6" s="1"/>
  <c r="R1512" i="6"/>
  <c r="R1513" i="6" s="1"/>
  <c r="R1514" i="6" s="1"/>
  <c r="R1515" i="6" s="1"/>
  <c r="R1516" i="6" s="1"/>
  <c r="R1517" i="6"/>
  <c r="R1518" i="6" s="1"/>
  <c r="R1519" i="6" s="1"/>
  <c r="R1520" i="6" s="1"/>
  <c r="R1521" i="6" s="1"/>
  <c r="R1522" i="6"/>
  <c r="R1523" i="6" s="1"/>
  <c r="R1524" i="6" s="1"/>
  <c r="R1525" i="6" s="1"/>
  <c r="R1526" i="6" s="1"/>
  <c r="R1527" i="6"/>
  <c r="R1528" i="6"/>
  <c r="R1529" i="6" s="1"/>
  <c r="R1530" i="6" s="1"/>
  <c r="R1531" i="6" s="1"/>
  <c r="R1532" i="6"/>
  <c r="R1533" i="6" s="1"/>
  <c r="R1534" i="6" s="1"/>
  <c r="R1535" i="6" s="1"/>
  <c r="R1536" i="6" s="1"/>
  <c r="R1537" i="6"/>
  <c r="R1538" i="6" s="1"/>
  <c r="R1539" i="6" s="1"/>
  <c r="R1540" i="6" s="1"/>
  <c r="R1541" i="6" s="1"/>
  <c r="R1542" i="6"/>
  <c r="R1543" i="6" s="1"/>
  <c r="R1544" i="6" s="1"/>
  <c r="R1545" i="6" s="1"/>
  <c r="R1546" i="6" s="1"/>
  <c r="R1547" i="6"/>
  <c r="R1548" i="6" s="1"/>
  <c r="R1549" i="6" s="1"/>
  <c r="R1550" i="6" s="1"/>
  <c r="R1551" i="6" s="1"/>
  <c r="R1552" i="6"/>
  <c r="R1553" i="6" s="1"/>
  <c r="R1554" i="6" s="1"/>
  <c r="R1555" i="6" s="1"/>
  <c r="R1556" i="6" s="1"/>
  <c r="R1557" i="6"/>
  <c r="R1558" i="6"/>
  <c r="R1559" i="6" s="1"/>
  <c r="R1560" i="6" s="1"/>
  <c r="R1561" i="6" s="1"/>
  <c r="R1562" i="6"/>
  <c r="R1563" i="6" s="1"/>
  <c r="R1564" i="6" s="1"/>
  <c r="R1565" i="6" s="1"/>
  <c r="R1566" i="6" s="1"/>
  <c r="R1567" i="6"/>
  <c r="R1568" i="6" s="1"/>
  <c r="R1569" i="6" s="1"/>
  <c r="R1570" i="6" s="1"/>
  <c r="R1571" i="6" s="1"/>
  <c r="R1572" i="6"/>
  <c r="R1573" i="6" s="1"/>
  <c r="R1574" i="6" s="1"/>
  <c r="R1575" i="6" s="1"/>
  <c r="R1576" i="6" s="1"/>
  <c r="R1577" i="6"/>
  <c r="R1578" i="6" s="1"/>
  <c r="R1579" i="6" s="1"/>
  <c r="R1580" i="6"/>
  <c r="R1581" i="6" s="1"/>
  <c r="R1582" i="6"/>
  <c r="R1583" i="6" s="1"/>
  <c r="R1584" i="6" s="1"/>
  <c r="R1585" i="6" s="1"/>
  <c r="R1586" i="6" s="1"/>
  <c r="R1587" i="6"/>
  <c r="R1588" i="6" s="1"/>
  <c r="R1589" i="6" s="1"/>
  <c r="R1590" i="6" s="1"/>
  <c r="R1591" i="6" s="1"/>
  <c r="R1592" i="6"/>
  <c r="R1593" i="6" s="1"/>
  <c r="R1594" i="6" s="1"/>
  <c r="R1595" i="6" s="1"/>
  <c r="R1596" i="6" s="1"/>
  <c r="R1597" i="6"/>
  <c r="R1598" i="6"/>
  <c r="R1599" i="6" s="1"/>
  <c r="R1600" i="6" s="1"/>
  <c r="R1601" i="6" s="1"/>
  <c r="R1602" i="6"/>
  <c r="R1603" i="6" s="1"/>
  <c r="R1604" i="6"/>
  <c r="R1605" i="6" s="1"/>
  <c r="R1606" i="6" s="1"/>
  <c r="R1607" i="6"/>
  <c r="R1608" i="6" s="1"/>
  <c r="R1609" i="6" s="1"/>
  <c r="R1610" i="6" s="1"/>
  <c r="R1611" i="6" s="1"/>
  <c r="R1612" i="6"/>
  <c r="R1613" i="6" s="1"/>
  <c r="R1614" i="6" s="1"/>
  <c r="R1615" i="6" s="1"/>
  <c r="R1616" i="6" s="1"/>
  <c r="R1617" i="6"/>
  <c r="R1618" i="6" s="1"/>
  <c r="R1619" i="6" s="1"/>
  <c r="R1620" i="6" s="1"/>
  <c r="R1621" i="6" s="1"/>
  <c r="R1622" i="6"/>
  <c r="R1623" i="6" s="1"/>
  <c r="R1624" i="6" s="1"/>
  <c r="R1625" i="6" s="1"/>
  <c r="R1626" i="6" s="1"/>
  <c r="R1627" i="6"/>
  <c r="R1628" i="6" s="1"/>
  <c r="R1629" i="6" s="1"/>
  <c r="R1630" i="6" s="1"/>
  <c r="R1631" i="6" s="1"/>
  <c r="R1632" i="6"/>
  <c r="R1633" i="6" s="1"/>
  <c r="R1634" i="6" s="1"/>
  <c r="R1635" i="6" s="1"/>
  <c r="R1636" i="6" s="1"/>
  <c r="R1637" i="6"/>
  <c r="R1638" i="6" s="1"/>
  <c r="R1639" i="6" s="1"/>
  <c r="R1640" i="6" s="1"/>
  <c r="R1641" i="6" s="1"/>
  <c r="R1642" i="6"/>
  <c r="R1643" i="6" s="1"/>
  <c r="R1644" i="6" s="1"/>
  <c r="R1645" i="6" s="1"/>
  <c r="R1646" i="6" s="1"/>
  <c r="R1647" i="6"/>
  <c r="R1648" i="6" s="1"/>
  <c r="R1649" i="6" s="1"/>
  <c r="R1650" i="6" s="1"/>
  <c r="R1651" i="6" s="1"/>
  <c r="R1652" i="6"/>
  <c r="R1653" i="6" s="1"/>
  <c r="R1654" i="6" s="1"/>
  <c r="R1655" i="6" s="1"/>
  <c r="R1656" i="6" s="1"/>
  <c r="R1657" i="6"/>
  <c r="R1658" i="6" s="1"/>
  <c r="R1659" i="6" s="1"/>
  <c r="R1660" i="6" s="1"/>
  <c r="R1661" i="6" s="1"/>
  <c r="R1662" i="6"/>
  <c r="R1663" i="6" s="1"/>
  <c r="R1664" i="6" s="1"/>
  <c r="R1665" i="6" s="1"/>
  <c r="R1666" i="6" s="1"/>
  <c r="R1667" i="6"/>
  <c r="R1668" i="6" s="1"/>
  <c r="R1669" i="6" s="1"/>
  <c r="R1670" i="6" s="1"/>
  <c r="R1671" i="6" s="1"/>
  <c r="R1672" i="6"/>
  <c r="R1673" i="6" s="1"/>
  <c r="R1674" i="6" s="1"/>
  <c r="R1675" i="6" s="1"/>
  <c r="R1676" i="6" s="1"/>
  <c r="R1677" i="6"/>
  <c r="R1678" i="6" s="1"/>
  <c r="R1679" i="6" s="1"/>
  <c r="R1680" i="6" s="1"/>
  <c r="R1681" i="6" s="1"/>
  <c r="R1682" i="6"/>
  <c r="R1683" i="6" s="1"/>
  <c r="R1684" i="6" s="1"/>
  <c r="R1685" i="6" s="1"/>
  <c r="R1686" i="6" s="1"/>
  <c r="R1687" i="6"/>
  <c r="R1688" i="6" s="1"/>
  <c r="R1689" i="6" s="1"/>
  <c r="R1690" i="6" s="1"/>
  <c r="R1691" i="6" s="1"/>
  <c r="R1692" i="6"/>
  <c r="R1693" i="6" s="1"/>
  <c r="R1694" i="6" s="1"/>
  <c r="R1695" i="6" s="1"/>
  <c r="R1696" i="6" s="1"/>
  <c r="R1697" i="6"/>
  <c r="R1698" i="6" s="1"/>
  <c r="R1699" i="6" s="1"/>
  <c r="R1700" i="6" s="1"/>
  <c r="R1701" i="6" s="1"/>
  <c r="R1702" i="6"/>
  <c r="R1703" i="6" s="1"/>
  <c r="R1704" i="6" s="1"/>
  <c r="R1705" i="6" s="1"/>
  <c r="R1706" i="6" s="1"/>
  <c r="R1707" i="6"/>
  <c r="R1708" i="6" s="1"/>
  <c r="R1709" i="6" s="1"/>
  <c r="R1710" i="6" s="1"/>
  <c r="R1711" i="6" s="1"/>
  <c r="R1712" i="6"/>
  <c r="R1713" i="6"/>
  <c r="R1714" i="6" s="1"/>
  <c r="R1715" i="6" s="1"/>
  <c r="R1716" i="6" s="1"/>
  <c r="R1717" i="6"/>
  <c r="R1718" i="6" s="1"/>
  <c r="R1719" i="6" s="1"/>
  <c r="R1720" i="6" s="1"/>
  <c r="R1721" i="6" s="1"/>
  <c r="R1722" i="6"/>
  <c r="R1723" i="6" s="1"/>
  <c r="R1724" i="6" s="1"/>
  <c r="R1725" i="6" s="1"/>
  <c r="R1726" i="6" s="1"/>
  <c r="R1727" i="6"/>
  <c r="R1728" i="6" s="1"/>
  <c r="R1729" i="6" s="1"/>
  <c r="R1730" i="6" s="1"/>
  <c r="R1731" i="6" s="1"/>
  <c r="R1732" i="6"/>
  <c r="R1733" i="6" s="1"/>
  <c r="R1734" i="6" s="1"/>
  <c r="R1735" i="6" s="1"/>
  <c r="R1736" i="6" s="1"/>
  <c r="R1737" i="6"/>
  <c r="R1738" i="6" s="1"/>
  <c r="R1739" i="6" s="1"/>
  <c r="R1740" i="6" s="1"/>
  <c r="R1741" i="6" s="1"/>
  <c r="R1742" i="6"/>
  <c r="R1743" i="6"/>
  <c r="R1744" i="6" s="1"/>
  <c r="R1745" i="6" s="1"/>
  <c r="R1746" i="6" s="1"/>
  <c r="R1747" i="6"/>
  <c r="R1748" i="6" s="1"/>
  <c r="R1749" i="6" s="1"/>
  <c r="R1750" i="6" s="1"/>
  <c r="R1751" i="6" s="1"/>
  <c r="R1752" i="6"/>
  <c r="R1753" i="6"/>
  <c r="R1754" i="6" s="1"/>
  <c r="R1755" i="6" s="1"/>
  <c r="R1756" i="6" s="1"/>
  <c r="R1757" i="6"/>
  <c r="R1758" i="6" s="1"/>
  <c r="R1759" i="6" s="1"/>
  <c r="R1760" i="6" s="1"/>
  <c r="R1761" i="6" s="1"/>
  <c r="R1762" i="6"/>
  <c r="R1763" i="6" s="1"/>
  <c r="R1764" i="6" s="1"/>
  <c r="R1765" i="6" s="1"/>
  <c r="R1766" i="6" s="1"/>
  <c r="R1767" i="6"/>
  <c r="R1768" i="6" s="1"/>
  <c r="R1769" i="6" s="1"/>
  <c r="R1770" i="6" s="1"/>
  <c r="R1771" i="6" s="1"/>
  <c r="R1772" i="6"/>
  <c r="R1773" i="6"/>
  <c r="R1774" i="6" s="1"/>
  <c r="R1775" i="6" s="1"/>
  <c r="R1776" i="6" s="1"/>
  <c r="R1777" i="6"/>
  <c r="R1778" i="6" s="1"/>
  <c r="R1779" i="6" s="1"/>
  <c r="R1780" i="6" s="1"/>
  <c r="R1781" i="6" s="1"/>
  <c r="R1782" i="6"/>
  <c r="R1783" i="6"/>
  <c r="R1784" i="6" s="1"/>
  <c r="R1785" i="6" s="1"/>
  <c r="R1786" i="6" s="1"/>
  <c r="R1787" i="6"/>
  <c r="R1788" i="6" s="1"/>
  <c r="R1789" i="6" s="1"/>
  <c r="R1790" i="6" s="1"/>
  <c r="R1791" i="6" s="1"/>
  <c r="R1792" i="6"/>
  <c r="R1793" i="6"/>
  <c r="R1794" i="6" s="1"/>
  <c r="R1795" i="6" s="1"/>
  <c r="R1796" i="6" s="1"/>
  <c r="R1797" i="6"/>
  <c r="R1798" i="6" s="1"/>
  <c r="R1799" i="6" s="1"/>
  <c r="R1800" i="6" s="1"/>
  <c r="R1801" i="6" s="1"/>
  <c r="R1802" i="6"/>
  <c r="R1803" i="6" s="1"/>
  <c r="R1804" i="6" s="1"/>
  <c r="R1805" i="6" s="1"/>
  <c r="R1806" i="6" s="1"/>
  <c r="R1807" i="6"/>
  <c r="R1808" i="6" s="1"/>
  <c r="R1809" i="6" s="1"/>
  <c r="R1810" i="6" s="1"/>
  <c r="R1811" i="6" s="1"/>
  <c r="R1812" i="6"/>
  <c r="R1813" i="6"/>
  <c r="R1814" i="6" s="1"/>
  <c r="R1815" i="6" s="1"/>
  <c r="R1816" i="6" s="1"/>
  <c r="R1817" i="6"/>
  <c r="R1818" i="6" s="1"/>
  <c r="R1819" i="6" s="1"/>
  <c r="R1820" i="6" s="1"/>
  <c r="R1821" i="6" s="1"/>
  <c r="R1822" i="6"/>
  <c r="R1823" i="6"/>
  <c r="R1824" i="6" s="1"/>
  <c r="R1825" i="6" s="1"/>
  <c r="R1826" i="6" s="1"/>
  <c r="R1827" i="6"/>
  <c r="R1828" i="6" s="1"/>
  <c r="R1829" i="6" s="1"/>
  <c r="R1830" i="6" s="1"/>
  <c r="R1831" i="6" s="1"/>
  <c r="R1832" i="6"/>
  <c r="R1833" i="6" s="1"/>
  <c r="R1834" i="6" s="1"/>
  <c r="R1835" i="6" s="1"/>
  <c r="R1836" i="6" s="1"/>
  <c r="R1837" i="6"/>
  <c r="R1838" i="6" s="1"/>
  <c r="R1839" i="6" s="1"/>
  <c r="R1840" i="6" s="1"/>
  <c r="R1841" i="6" s="1"/>
  <c r="R1842" i="6"/>
  <c r="R1843" i="6" s="1"/>
  <c r="R1844" i="6" s="1"/>
  <c r="R1845" i="6" s="1"/>
  <c r="R1846" i="6" s="1"/>
  <c r="R1847" i="6"/>
  <c r="R1848" i="6" s="1"/>
  <c r="R1849" i="6" s="1"/>
  <c r="R1850" i="6" s="1"/>
  <c r="R1851" i="6" s="1"/>
  <c r="R1852" i="6"/>
  <c r="R1853" i="6"/>
  <c r="R1854" i="6" s="1"/>
  <c r="R1855" i="6" s="1"/>
  <c r="R1856" i="6" s="1"/>
  <c r="R1857" i="6"/>
  <c r="R1858" i="6" s="1"/>
  <c r="R1859" i="6" s="1"/>
  <c r="R1860" i="6" s="1"/>
  <c r="R1861" i="6" s="1"/>
  <c r="R1862" i="6"/>
  <c r="R1863" i="6"/>
  <c r="R1864" i="6" s="1"/>
  <c r="R1865" i="6" s="1"/>
  <c r="R1866" i="6" s="1"/>
  <c r="R1867" i="6"/>
  <c r="R1868" i="6" s="1"/>
  <c r="R1869" i="6" s="1"/>
  <c r="R1870" i="6" s="1"/>
  <c r="R1871" i="6" s="1"/>
  <c r="R1872" i="6"/>
  <c r="R1873" i="6"/>
  <c r="R1874" i="6" s="1"/>
  <c r="R1875" i="6" s="1"/>
  <c r="R1876" i="6" s="1"/>
  <c r="R1877" i="6"/>
  <c r="R1878" i="6"/>
  <c r="R1879" i="6" s="1"/>
  <c r="R1880" i="6" s="1"/>
  <c r="R1881" i="6" s="1"/>
  <c r="R1882" i="6"/>
  <c r="R1883" i="6" s="1"/>
  <c r="R1884" i="6" s="1"/>
  <c r="R1885" i="6" s="1"/>
  <c r="R1886" i="6" s="1"/>
  <c r="R1887" i="6"/>
  <c r="R1888" i="6" s="1"/>
  <c r="R1889" i="6" s="1"/>
  <c r="R1890" i="6" s="1"/>
  <c r="R1891" i="6" s="1"/>
  <c r="R1892" i="6"/>
  <c r="R1893" i="6" s="1"/>
  <c r="R1894" i="6" s="1"/>
  <c r="R1895" i="6" s="1"/>
  <c r="R1896" i="6" s="1"/>
  <c r="R1897" i="6"/>
  <c r="R1898" i="6" s="1"/>
  <c r="R1899" i="6" s="1"/>
  <c r="R1900" i="6" s="1"/>
  <c r="R1901" i="6" s="1"/>
  <c r="R1902" i="6"/>
  <c r="R1903" i="6" s="1"/>
  <c r="R1904" i="6" s="1"/>
  <c r="R1905" i="6" s="1"/>
  <c r="R1906" i="6" s="1"/>
  <c r="R1907" i="6"/>
  <c r="R1908" i="6" s="1"/>
  <c r="R1909" i="6" s="1"/>
  <c r="R1910" i="6" s="1"/>
  <c r="R1911" i="6" s="1"/>
  <c r="R1912" i="6"/>
  <c r="R1913" i="6" s="1"/>
  <c r="R1914" i="6" s="1"/>
  <c r="R1915" i="6" s="1"/>
  <c r="R1916" i="6" s="1"/>
  <c r="R2" i="6"/>
  <c r="R3" i="6" s="1"/>
  <c r="R4" i="6" s="1"/>
  <c r="R5" i="6" s="1"/>
  <c r="R6" i="6" s="1"/>
  <c r="Q3" i="6"/>
  <c r="Q4" i="6"/>
  <c r="Q5" i="6" s="1"/>
  <c r="Q6" i="6" s="1"/>
  <c r="Q7" i="6"/>
  <c r="Q8" i="6"/>
  <c r="Q9" i="6" s="1"/>
  <c r="Q10" i="6" s="1"/>
  <c r="Q11" i="6" s="1"/>
  <c r="Q12" i="6"/>
  <c r="Q13" i="6" s="1"/>
  <c r="Q14" i="6" s="1"/>
  <c r="Q15" i="6" s="1"/>
  <c r="Q16" i="6" s="1"/>
  <c r="Q17" i="6"/>
  <c r="Q18" i="6"/>
  <c r="Q19" i="6" s="1"/>
  <c r="Q20" i="6" s="1"/>
  <c r="Q21" i="6" s="1"/>
  <c r="Q22" i="6"/>
  <c r="Q23" i="6"/>
  <c r="Q24" i="6"/>
  <c r="Q25" i="6" s="1"/>
  <c r="Q26" i="6"/>
  <c r="Q27" i="6"/>
  <c r="Q28" i="6"/>
  <c r="Q29" i="6" s="1"/>
  <c r="Q30" i="6" s="1"/>
  <c r="Q31" i="6" s="1"/>
  <c r="Q32" i="6"/>
  <c r="Q33" i="6" s="1"/>
  <c r="Q34" i="6"/>
  <c r="Q35" i="6" s="1"/>
  <c r="Q36" i="6" s="1"/>
  <c r="Q37" i="6"/>
  <c r="Q38" i="6" s="1"/>
  <c r="Q39" i="6" s="1"/>
  <c r="Q40" i="6" s="1"/>
  <c r="Q41" i="6" s="1"/>
  <c r="Q42" i="6"/>
  <c r="Q43" i="6" s="1"/>
  <c r="Q44" i="6" s="1"/>
  <c r="Q45" i="6" s="1"/>
  <c r="Q46" i="6" s="1"/>
  <c r="Q47" i="6"/>
  <c r="Q48" i="6"/>
  <c r="Q49" i="6" s="1"/>
  <c r="Q50" i="6" s="1"/>
  <c r="Q51" i="6" s="1"/>
  <c r="Q52" i="6"/>
  <c r="Q53" i="6" s="1"/>
  <c r="Q54" i="6" s="1"/>
  <c r="Q55" i="6" s="1"/>
  <c r="Q56" i="6" s="1"/>
  <c r="Q57" i="6"/>
  <c r="Q58" i="6"/>
  <c r="Q59" i="6" s="1"/>
  <c r="Q60" i="6" s="1"/>
  <c r="Q61" i="6" s="1"/>
  <c r="Q62" i="6"/>
  <c r="Q63" i="6"/>
  <c r="Q64" i="6"/>
  <c r="Q65" i="6" s="1"/>
  <c r="Q66" i="6"/>
  <c r="Q67" i="6"/>
  <c r="Q68" i="6"/>
  <c r="Q69" i="6" s="1"/>
  <c r="Q70" i="6" s="1"/>
  <c r="Q71" i="6" s="1"/>
  <c r="Q72" i="6"/>
  <c r="Q73" i="6" s="1"/>
  <c r="Q74" i="6"/>
  <c r="Q75" i="6" s="1"/>
  <c r="Q76" i="6" s="1"/>
  <c r="Q77" i="6"/>
  <c r="Q78" i="6" s="1"/>
  <c r="Q79" i="6" s="1"/>
  <c r="Q80" i="6" s="1"/>
  <c r="Q81" i="6" s="1"/>
  <c r="Q82" i="6"/>
  <c r="Q83" i="6" s="1"/>
  <c r="Q84" i="6" s="1"/>
  <c r="Q85" i="6" s="1"/>
  <c r="Q86" i="6" s="1"/>
  <c r="Q87" i="6"/>
  <c r="Q88" i="6"/>
  <c r="Q89" i="6" s="1"/>
  <c r="Q90" i="6" s="1"/>
  <c r="Q91" i="6" s="1"/>
  <c r="Q92" i="6"/>
  <c r="Q93" i="6" s="1"/>
  <c r="Q94" i="6" s="1"/>
  <c r="Q95" i="6" s="1"/>
  <c r="Q96" i="6" s="1"/>
  <c r="Q97" i="6"/>
  <c r="Q98" i="6"/>
  <c r="Q99" i="6" s="1"/>
  <c r="Q100" i="6" s="1"/>
  <c r="Q101" i="6" s="1"/>
  <c r="Q102" i="6"/>
  <c r="Q103" i="6"/>
  <c r="Q104" i="6"/>
  <c r="Q105" i="6" s="1"/>
  <c r="Q106" i="6"/>
  <c r="Q107" i="6"/>
  <c r="Q108" i="6"/>
  <c r="Q109" i="6" s="1"/>
  <c r="Q110" i="6" s="1"/>
  <c r="Q111" i="6" s="1"/>
  <c r="Q112" i="6"/>
  <c r="Q113" i="6" s="1"/>
  <c r="Q114" i="6"/>
  <c r="Q115" i="6" s="1"/>
  <c r="Q116" i="6" s="1"/>
  <c r="Q117" i="6"/>
  <c r="Q118" i="6" s="1"/>
  <c r="Q119" i="6" s="1"/>
  <c r="Q120" i="6" s="1"/>
  <c r="Q121" i="6" s="1"/>
  <c r="Q122" i="6"/>
  <c r="Q123" i="6" s="1"/>
  <c r="Q124" i="6" s="1"/>
  <c r="Q125" i="6" s="1"/>
  <c r="Q126" i="6" s="1"/>
  <c r="Q127" i="6"/>
  <c r="Q128" i="6"/>
  <c r="Q129" i="6" s="1"/>
  <c r="Q130" i="6" s="1"/>
  <c r="Q131" i="6" s="1"/>
  <c r="Q132" i="6"/>
  <c r="Q133" i="6" s="1"/>
  <c r="Q134" i="6" s="1"/>
  <c r="Q135" i="6" s="1"/>
  <c r="Q136" i="6" s="1"/>
  <c r="Q137" i="6"/>
  <c r="Q138" i="6"/>
  <c r="Q139" i="6" s="1"/>
  <c r="Q140" i="6" s="1"/>
  <c r="Q141" i="6" s="1"/>
  <c r="Q142" i="6"/>
  <c r="Q143" i="6"/>
  <c r="Q144" i="6"/>
  <c r="Q145" i="6" s="1"/>
  <c r="Q146" i="6"/>
  <c r="Q147" i="6"/>
  <c r="Q148" i="6"/>
  <c r="Q149" i="6" s="1"/>
  <c r="Q150" i="6" s="1"/>
  <c r="Q151" i="6" s="1"/>
  <c r="Q152" i="6"/>
  <c r="Q153" i="6" s="1"/>
  <c r="Q154" i="6"/>
  <c r="Q155" i="6" s="1"/>
  <c r="Q156" i="6" s="1"/>
  <c r="Q157" i="6"/>
  <c r="Q158" i="6" s="1"/>
  <c r="Q159" i="6" s="1"/>
  <c r="Q160" i="6" s="1"/>
  <c r="Q161" i="6" s="1"/>
  <c r="Q162" i="6"/>
  <c r="Q163" i="6" s="1"/>
  <c r="Q164" i="6" s="1"/>
  <c r="Q165" i="6" s="1"/>
  <c r="Q166" i="6" s="1"/>
  <c r="Q167" i="6"/>
  <c r="Q168" i="6"/>
  <c r="Q169" i="6" s="1"/>
  <c r="Q170" i="6" s="1"/>
  <c r="Q171" i="6" s="1"/>
  <c r="Q172" i="6"/>
  <c r="Q173" i="6" s="1"/>
  <c r="Q174" i="6" s="1"/>
  <c r="Q175" i="6" s="1"/>
  <c r="Q176" i="6" s="1"/>
  <c r="Q177" i="6"/>
  <c r="Q178" i="6"/>
  <c r="Q179" i="6" s="1"/>
  <c r="Q180" i="6" s="1"/>
  <c r="Q181" i="6" s="1"/>
  <c r="Q182" i="6"/>
  <c r="Q183" i="6"/>
  <c r="Q184" i="6"/>
  <c r="Q185" i="6" s="1"/>
  <c r="Q186" i="6"/>
  <c r="Q187" i="6"/>
  <c r="Q188" i="6"/>
  <c r="Q189" i="6" s="1"/>
  <c r="Q190" i="6" s="1"/>
  <c r="Q191" i="6" s="1"/>
  <c r="Q192" i="6"/>
  <c r="Q193" i="6" s="1"/>
  <c r="Q194" i="6"/>
  <c r="Q195" i="6" s="1"/>
  <c r="Q196" i="6" s="1"/>
  <c r="Q197" i="6"/>
  <c r="Q198" i="6" s="1"/>
  <c r="Q199" i="6" s="1"/>
  <c r="Q200" i="6" s="1"/>
  <c r="Q201" i="6" s="1"/>
  <c r="Q202" i="6"/>
  <c r="Q203" i="6" s="1"/>
  <c r="Q204" i="6" s="1"/>
  <c r="Q205" i="6" s="1"/>
  <c r="Q206" i="6" s="1"/>
  <c r="Q207" i="6"/>
  <c r="Q208" i="6"/>
  <c r="Q209" i="6" s="1"/>
  <c r="Q210" i="6" s="1"/>
  <c r="Q211" i="6" s="1"/>
  <c r="Q212" i="6"/>
  <c r="Q213" i="6" s="1"/>
  <c r="Q214" i="6" s="1"/>
  <c r="Q215" i="6" s="1"/>
  <c r="Q216" i="6" s="1"/>
  <c r="Q217" i="6"/>
  <c r="Q218" i="6"/>
  <c r="Q219" i="6" s="1"/>
  <c r="Q220" i="6" s="1"/>
  <c r="Q221" i="6" s="1"/>
  <c r="Q222" i="6"/>
  <c r="Q223" i="6"/>
  <c r="Q224" i="6"/>
  <c r="Q225" i="6" s="1"/>
  <c r="Q226" i="6"/>
  <c r="Q227" i="6"/>
  <c r="Q228" i="6"/>
  <c r="Q229" i="6" s="1"/>
  <c r="Q230" i="6" s="1"/>
  <c r="Q231" i="6" s="1"/>
  <c r="Q232" i="6"/>
  <c r="Q233" i="6" s="1"/>
  <c r="Q234" i="6"/>
  <c r="Q235" i="6" s="1"/>
  <c r="Q236" i="6" s="1"/>
  <c r="Q237" i="6"/>
  <c r="Q238" i="6" s="1"/>
  <c r="Q239" i="6" s="1"/>
  <c r="Q240" i="6" s="1"/>
  <c r="Q241" i="6" s="1"/>
  <c r="Q242" i="6"/>
  <c r="Q243" i="6" s="1"/>
  <c r="Q244" i="6" s="1"/>
  <c r="Q245" i="6" s="1"/>
  <c r="Q246" i="6" s="1"/>
  <c r="Q247" i="6"/>
  <c r="Q248" i="6"/>
  <c r="Q249" i="6" s="1"/>
  <c r="Q250" i="6" s="1"/>
  <c r="Q251" i="6" s="1"/>
  <c r="Q252" i="6"/>
  <c r="Q253" i="6" s="1"/>
  <c r="Q254" i="6" s="1"/>
  <c r="Q255" i="6" s="1"/>
  <c r="Q256" i="6" s="1"/>
  <c r="Q257" i="6"/>
  <c r="Q258" i="6"/>
  <c r="Q259" i="6" s="1"/>
  <c r="Q260" i="6" s="1"/>
  <c r="Q261" i="6" s="1"/>
  <c r="Q262" i="6"/>
  <c r="Q263" i="6"/>
  <c r="Q264" i="6"/>
  <c r="Q265" i="6" s="1"/>
  <c r="Q266" i="6"/>
  <c r="Q267" i="6"/>
  <c r="Q268" i="6"/>
  <c r="Q269" i="6" s="1"/>
  <c r="Q270" i="6" s="1"/>
  <c r="Q271" i="6" s="1"/>
  <c r="Q272" i="6"/>
  <c r="Q273" i="6" s="1"/>
  <c r="Q274" i="6"/>
  <c r="Q275" i="6" s="1"/>
  <c r="Q276" i="6" s="1"/>
  <c r="Q277" i="6"/>
  <c r="Q278" i="6" s="1"/>
  <c r="Q279" i="6" s="1"/>
  <c r="Q280" i="6" s="1"/>
  <c r="Q281" i="6" s="1"/>
  <c r="Q282" i="6"/>
  <c r="Q283" i="6" s="1"/>
  <c r="Q284" i="6" s="1"/>
  <c r="Q285" i="6" s="1"/>
  <c r="Q286" i="6" s="1"/>
  <c r="Q287" i="6"/>
  <c r="Q288" i="6"/>
  <c r="Q289" i="6" s="1"/>
  <c r="Q290" i="6" s="1"/>
  <c r="Q291" i="6" s="1"/>
  <c r="Q292" i="6"/>
  <c r="Q293" i="6" s="1"/>
  <c r="Q294" i="6" s="1"/>
  <c r="Q295" i="6" s="1"/>
  <c r="Q296" i="6" s="1"/>
  <c r="Q297" i="6"/>
  <c r="Q298" i="6"/>
  <c r="Q299" i="6" s="1"/>
  <c r="Q300" i="6" s="1"/>
  <c r="Q301" i="6" s="1"/>
  <c r="Q302" i="6"/>
  <c r="Q303" i="6"/>
  <c r="Q304" i="6"/>
  <c r="Q305" i="6" s="1"/>
  <c r="Q306" i="6"/>
  <c r="Q307" i="6"/>
  <c r="Q308" i="6"/>
  <c r="Q309" i="6" s="1"/>
  <c r="Q310" i="6" s="1"/>
  <c r="Q311" i="6" s="1"/>
  <c r="Q312" i="6"/>
  <c r="Q313" i="6" s="1"/>
  <c r="Q314" i="6"/>
  <c r="Q315" i="6" s="1"/>
  <c r="Q316" i="6" s="1"/>
  <c r="Q317" i="6"/>
  <c r="Q318" i="6" s="1"/>
  <c r="Q319" i="6" s="1"/>
  <c r="Q320" i="6" s="1"/>
  <c r="Q321" i="6" s="1"/>
  <c r="Q322" i="6"/>
  <c r="Q323" i="6" s="1"/>
  <c r="Q324" i="6" s="1"/>
  <c r="Q325" i="6" s="1"/>
  <c r="Q326" i="6" s="1"/>
  <c r="Q327" i="6"/>
  <c r="Q328" i="6"/>
  <c r="Q329" i="6" s="1"/>
  <c r="Q330" i="6" s="1"/>
  <c r="Q331" i="6" s="1"/>
  <c r="Q332" i="6"/>
  <c r="Q333" i="6" s="1"/>
  <c r="Q334" i="6" s="1"/>
  <c r="Q335" i="6" s="1"/>
  <c r="Q336" i="6" s="1"/>
  <c r="Q337" i="6"/>
  <c r="Q338" i="6"/>
  <c r="Q339" i="6" s="1"/>
  <c r="Q340" i="6" s="1"/>
  <c r="Q341" i="6" s="1"/>
  <c r="Q342" i="6"/>
  <c r="Q343" i="6"/>
  <c r="Q344" i="6"/>
  <c r="Q345" i="6" s="1"/>
  <c r="Q346" i="6"/>
  <c r="Q347" i="6"/>
  <c r="Q348" i="6"/>
  <c r="Q349" i="6" s="1"/>
  <c r="Q350" i="6" s="1"/>
  <c r="Q351" i="6" s="1"/>
  <c r="Q352" i="6"/>
  <c r="Q353" i="6" s="1"/>
  <c r="Q354" i="6"/>
  <c r="Q355" i="6" s="1"/>
  <c r="Q356" i="6" s="1"/>
  <c r="Q357" i="6"/>
  <c r="Q358" i="6" s="1"/>
  <c r="Q359" i="6" s="1"/>
  <c r="Q360" i="6" s="1"/>
  <c r="Q361" i="6" s="1"/>
  <c r="Q362" i="6"/>
  <c r="Q363" i="6" s="1"/>
  <c r="Q364" i="6" s="1"/>
  <c r="Q365" i="6" s="1"/>
  <c r="Q366" i="6" s="1"/>
  <c r="Q367" i="6"/>
  <c r="Q368" i="6"/>
  <c r="Q369" i="6" s="1"/>
  <c r="Q370" i="6" s="1"/>
  <c r="Q371" i="6" s="1"/>
  <c r="Q372" i="6"/>
  <c r="Q373" i="6" s="1"/>
  <c r="Q374" i="6" s="1"/>
  <c r="Q375" i="6" s="1"/>
  <c r="Q376" i="6" s="1"/>
  <c r="Q377" i="6"/>
  <c r="Q378" i="6"/>
  <c r="Q379" i="6" s="1"/>
  <c r="Q380" i="6" s="1"/>
  <c r="Q381" i="6" s="1"/>
  <c r="Q382" i="6"/>
  <c r="Q383" i="6"/>
  <c r="Q384" i="6"/>
  <c r="Q385" i="6" s="1"/>
  <c r="Q386" i="6"/>
  <c r="Q387" i="6"/>
  <c r="Q388" i="6" s="1"/>
  <c r="Q389" i="6" s="1"/>
  <c r="Q390" i="6" s="1"/>
  <c r="Q391" i="6" s="1"/>
  <c r="Q392" i="6"/>
  <c r="Q393" i="6" s="1"/>
  <c r="Q394" i="6" s="1"/>
  <c r="Q395" i="6" s="1"/>
  <c r="Q396" i="6" s="1"/>
  <c r="Q397" i="6"/>
  <c r="Q398" i="6" s="1"/>
  <c r="Q399" i="6" s="1"/>
  <c r="Q400" i="6" s="1"/>
  <c r="Q401" i="6" s="1"/>
  <c r="Q402" i="6"/>
  <c r="Q403" i="6" s="1"/>
  <c r="Q404" i="6" s="1"/>
  <c r="Q405" i="6" s="1"/>
  <c r="Q406" i="6" s="1"/>
  <c r="Q407" i="6"/>
  <c r="Q408" i="6"/>
  <c r="Q409" i="6" s="1"/>
  <c r="Q410" i="6"/>
  <c r="Q411" i="6" s="1"/>
  <c r="Q412" i="6"/>
  <c r="Q413" i="6" s="1"/>
  <c r="Q414" i="6" s="1"/>
  <c r="Q415" i="6" s="1"/>
  <c r="Q416" i="6" s="1"/>
  <c r="Q417" i="6"/>
  <c r="Q418" i="6"/>
  <c r="Q419" i="6" s="1"/>
  <c r="Q420" i="6" s="1"/>
  <c r="Q421" i="6" s="1"/>
  <c r="Q422" i="6"/>
  <c r="Q423" i="6"/>
  <c r="Q424" i="6"/>
  <c r="Q425" i="6" s="1"/>
  <c r="Q426" i="6" s="1"/>
  <c r="Q427" i="6"/>
  <c r="Q428" i="6" s="1"/>
  <c r="Q429" i="6" s="1"/>
  <c r="Q430" i="6" s="1"/>
  <c r="Q431" i="6" s="1"/>
  <c r="Q432" i="6"/>
  <c r="Q433" i="6" s="1"/>
  <c r="Q434" i="6"/>
  <c r="Q435" i="6" s="1"/>
  <c r="Q436" i="6" s="1"/>
  <c r="Q437" i="6"/>
  <c r="Q438" i="6" s="1"/>
  <c r="Q439" i="6" s="1"/>
  <c r="Q440" i="6" s="1"/>
  <c r="Q441" i="6" s="1"/>
  <c r="Q442" i="6"/>
  <c r="Q443" i="6" s="1"/>
  <c r="Q444" i="6" s="1"/>
  <c r="Q445" i="6" s="1"/>
  <c r="Q446" i="6" s="1"/>
  <c r="Q447" i="6"/>
  <c r="Q448" i="6"/>
  <c r="Q449" i="6" s="1"/>
  <c r="Q450" i="6" s="1"/>
  <c r="Q451" i="6" s="1"/>
  <c r="Q452" i="6"/>
  <c r="Q453" i="6" s="1"/>
  <c r="Q454" i="6" s="1"/>
  <c r="Q455" i="6" s="1"/>
  <c r="Q456" i="6" s="1"/>
  <c r="Q457" i="6"/>
  <c r="Q458" i="6"/>
  <c r="Q459" i="6" s="1"/>
  <c r="Q460" i="6" s="1"/>
  <c r="Q461" i="6" s="1"/>
  <c r="Q462" i="6"/>
  <c r="Q463" i="6"/>
  <c r="Q464" i="6"/>
  <c r="Q465" i="6" s="1"/>
  <c r="Q466" i="6"/>
  <c r="Q467" i="6"/>
  <c r="Q468" i="6" s="1"/>
  <c r="Q469" i="6" s="1"/>
  <c r="Q470" i="6" s="1"/>
  <c r="Q471" i="6" s="1"/>
  <c r="Q472" i="6"/>
  <c r="Q473" i="6" s="1"/>
  <c r="Q474" i="6" s="1"/>
  <c r="Q475" i="6" s="1"/>
  <c r="Q476" i="6" s="1"/>
  <c r="Q477" i="6"/>
  <c r="Q478" i="6" s="1"/>
  <c r="Q479" i="6" s="1"/>
  <c r="Q480" i="6" s="1"/>
  <c r="Q481" i="6" s="1"/>
  <c r="Q482" i="6"/>
  <c r="Q483" i="6" s="1"/>
  <c r="Q484" i="6" s="1"/>
  <c r="Q485" i="6" s="1"/>
  <c r="Q486" i="6" s="1"/>
  <c r="Q487" i="6"/>
  <c r="Q488" i="6"/>
  <c r="Q489" i="6" s="1"/>
  <c r="Q490" i="6"/>
  <c r="Q491" i="6" s="1"/>
  <c r="Q492" i="6"/>
  <c r="Q493" i="6" s="1"/>
  <c r="Q494" i="6" s="1"/>
  <c r="Q495" i="6" s="1"/>
  <c r="Q496" i="6" s="1"/>
  <c r="Q497" i="6"/>
  <c r="Q498" i="6"/>
  <c r="Q499" i="6" s="1"/>
  <c r="Q500" i="6" s="1"/>
  <c r="Q501" i="6" s="1"/>
  <c r="Q502" i="6"/>
  <c r="Q503" i="6"/>
  <c r="Q504" i="6"/>
  <c r="Q505" i="6" s="1"/>
  <c r="Q506" i="6" s="1"/>
  <c r="Q507" i="6"/>
  <c r="Q508" i="6" s="1"/>
  <c r="Q509" i="6" s="1"/>
  <c r="Q510" i="6" s="1"/>
  <c r="Q511" i="6" s="1"/>
  <c r="Q512" i="6"/>
  <c r="Q513" i="6" s="1"/>
  <c r="Q514" i="6"/>
  <c r="Q515" i="6" s="1"/>
  <c r="Q516" i="6" s="1"/>
  <c r="Q517" i="6"/>
  <c r="Q518" i="6" s="1"/>
  <c r="Q519" i="6" s="1"/>
  <c r="Q520" i="6" s="1"/>
  <c r="Q521" i="6" s="1"/>
  <c r="Q522" i="6"/>
  <c r="Q523" i="6" s="1"/>
  <c r="Q524" i="6" s="1"/>
  <c r="Q525" i="6" s="1"/>
  <c r="Q526" i="6" s="1"/>
  <c r="Q527" i="6"/>
  <c r="Q528" i="6"/>
  <c r="Q529" i="6" s="1"/>
  <c r="Q530" i="6" s="1"/>
  <c r="Q531" i="6" s="1"/>
  <c r="Q532" i="6"/>
  <c r="Q533" i="6" s="1"/>
  <c r="Q534" i="6" s="1"/>
  <c r="Q535" i="6" s="1"/>
  <c r="Q536" i="6" s="1"/>
  <c r="Q537" i="6"/>
  <c r="Q538" i="6"/>
  <c r="Q539" i="6" s="1"/>
  <c r="Q540" i="6" s="1"/>
  <c r="Q541" i="6" s="1"/>
  <c r="Q542" i="6"/>
  <c r="Q543" i="6"/>
  <c r="Q544" i="6"/>
  <c r="Q545" i="6" s="1"/>
  <c r="Q546" i="6"/>
  <c r="Q547" i="6"/>
  <c r="Q548" i="6" s="1"/>
  <c r="Q549" i="6" s="1"/>
  <c r="Q550" i="6" s="1"/>
  <c r="Q551" i="6" s="1"/>
  <c r="Q552" i="6"/>
  <c r="Q553" i="6" s="1"/>
  <c r="Q554" i="6" s="1"/>
  <c r="Q555" i="6" s="1"/>
  <c r="Q556" i="6" s="1"/>
  <c r="Q557" i="6"/>
  <c r="Q558" i="6" s="1"/>
  <c r="Q559" i="6" s="1"/>
  <c r="Q560" i="6" s="1"/>
  <c r="Q561" i="6" s="1"/>
  <c r="Q562" i="6"/>
  <c r="Q563" i="6" s="1"/>
  <c r="Q564" i="6" s="1"/>
  <c r="Q565" i="6" s="1"/>
  <c r="Q566" i="6" s="1"/>
  <c r="Q567" i="6"/>
  <c r="Q568" i="6"/>
  <c r="Q569" i="6" s="1"/>
  <c r="Q570" i="6"/>
  <c r="Q571" i="6" s="1"/>
  <c r="Q572" i="6"/>
  <c r="Q573" i="6" s="1"/>
  <c r="Q574" i="6" s="1"/>
  <c r="Q575" i="6" s="1"/>
  <c r="Q576" i="6" s="1"/>
  <c r="Q577" i="6"/>
  <c r="Q578" i="6"/>
  <c r="Q579" i="6" s="1"/>
  <c r="Q580" i="6" s="1"/>
  <c r="Q581" i="6" s="1"/>
  <c r="Q582" i="6"/>
  <c r="Q583" i="6"/>
  <c r="Q584" i="6"/>
  <c r="Q585" i="6" s="1"/>
  <c r="Q586" i="6" s="1"/>
  <c r="Q587" i="6"/>
  <c r="Q588" i="6" s="1"/>
  <c r="Q589" i="6" s="1"/>
  <c r="Q590" i="6" s="1"/>
  <c r="Q591" i="6" s="1"/>
  <c r="Q592" i="6"/>
  <c r="Q593" i="6" s="1"/>
  <c r="Q594" i="6"/>
  <c r="Q595" i="6" s="1"/>
  <c r="Q596" i="6" s="1"/>
  <c r="Q597" i="6"/>
  <c r="Q598" i="6" s="1"/>
  <c r="Q599" i="6" s="1"/>
  <c r="Q600" i="6" s="1"/>
  <c r="Q601" i="6" s="1"/>
  <c r="Q602" i="6"/>
  <c r="Q603" i="6" s="1"/>
  <c r="Q604" i="6" s="1"/>
  <c r="Q605" i="6" s="1"/>
  <c r="Q606" i="6" s="1"/>
  <c r="Q607" i="6"/>
  <c r="Q608" i="6"/>
  <c r="Q609" i="6" s="1"/>
  <c r="Q610" i="6" s="1"/>
  <c r="Q611" i="6" s="1"/>
  <c r="Q612" i="6"/>
  <c r="Q613" i="6" s="1"/>
  <c r="Q614" i="6" s="1"/>
  <c r="Q615" i="6" s="1"/>
  <c r="Q616" i="6" s="1"/>
  <c r="Q617" i="6"/>
  <c r="Q618" i="6"/>
  <c r="Q619" i="6" s="1"/>
  <c r="Q620" i="6" s="1"/>
  <c r="Q621" i="6" s="1"/>
  <c r="Q622" i="6"/>
  <c r="Q623" i="6"/>
  <c r="Q624" i="6"/>
  <c r="Q625" i="6" s="1"/>
  <c r="Q626" i="6"/>
  <c r="Q627" i="6"/>
  <c r="Q628" i="6" s="1"/>
  <c r="Q629" i="6" s="1"/>
  <c r="Q630" i="6" s="1"/>
  <c r="Q631" i="6" s="1"/>
  <c r="Q632" i="6"/>
  <c r="Q633" i="6" s="1"/>
  <c r="Q634" i="6" s="1"/>
  <c r="Q635" i="6" s="1"/>
  <c r="Q636" i="6" s="1"/>
  <c r="Q637" i="6"/>
  <c r="Q638" i="6" s="1"/>
  <c r="Q639" i="6" s="1"/>
  <c r="Q640" i="6" s="1"/>
  <c r="Q641" i="6" s="1"/>
  <c r="Q642" i="6"/>
  <c r="Q643" i="6" s="1"/>
  <c r="Q644" i="6" s="1"/>
  <c r="Q645" i="6" s="1"/>
  <c r="Q646" i="6" s="1"/>
  <c r="Q647" i="6"/>
  <c r="Q648" i="6"/>
  <c r="Q649" i="6" s="1"/>
  <c r="Q650" i="6"/>
  <c r="Q651" i="6" s="1"/>
  <c r="Q652" i="6"/>
  <c r="Q653" i="6" s="1"/>
  <c r="Q654" i="6" s="1"/>
  <c r="Q655" i="6" s="1"/>
  <c r="Q656" i="6" s="1"/>
  <c r="Q657" i="6"/>
  <c r="Q658" i="6"/>
  <c r="Q659" i="6" s="1"/>
  <c r="Q660" i="6" s="1"/>
  <c r="Q661" i="6" s="1"/>
  <c r="Q662" i="6"/>
  <c r="Q663" i="6"/>
  <c r="Q664" i="6"/>
  <c r="Q665" i="6" s="1"/>
  <c r="Q666" i="6" s="1"/>
  <c r="Q667" i="6"/>
  <c r="Q668" i="6" s="1"/>
  <c r="Q669" i="6" s="1"/>
  <c r="Q670" i="6" s="1"/>
  <c r="Q671" i="6" s="1"/>
  <c r="Q672" i="6"/>
  <c r="Q673" i="6" s="1"/>
  <c r="Q674" i="6"/>
  <c r="Q675" i="6" s="1"/>
  <c r="Q676" i="6" s="1"/>
  <c r="Q677" i="6"/>
  <c r="Q678" i="6" s="1"/>
  <c r="Q679" i="6" s="1"/>
  <c r="Q680" i="6" s="1"/>
  <c r="Q681" i="6" s="1"/>
  <c r="Q682" i="6"/>
  <c r="Q683" i="6" s="1"/>
  <c r="Q684" i="6" s="1"/>
  <c r="Q685" i="6" s="1"/>
  <c r="Q686" i="6" s="1"/>
  <c r="Q687" i="6"/>
  <c r="Q688" i="6"/>
  <c r="Q689" i="6" s="1"/>
  <c r="Q690" i="6" s="1"/>
  <c r="Q691" i="6" s="1"/>
  <c r="Q692" i="6"/>
  <c r="Q693" i="6" s="1"/>
  <c r="Q694" i="6" s="1"/>
  <c r="Q695" i="6" s="1"/>
  <c r="Q696" i="6" s="1"/>
  <c r="Q697" i="6"/>
  <c r="Q698" i="6"/>
  <c r="Q699" i="6" s="1"/>
  <c r="Q700" i="6" s="1"/>
  <c r="Q701" i="6" s="1"/>
  <c r="Q702" i="6"/>
  <c r="Q703" i="6"/>
  <c r="Q704" i="6"/>
  <c r="Q705" i="6" s="1"/>
  <c r="Q706" i="6"/>
  <c r="Q707" i="6"/>
  <c r="Q708" i="6" s="1"/>
  <c r="Q709" i="6" s="1"/>
  <c r="Q710" i="6" s="1"/>
  <c r="Q711" i="6" s="1"/>
  <c r="Q712" i="6"/>
  <c r="Q713" i="6" s="1"/>
  <c r="Q714" i="6" s="1"/>
  <c r="Q715" i="6" s="1"/>
  <c r="Q716" i="6" s="1"/>
  <c r="Q717" i="6"/>
  <c r="Q718" i="6" s="1"/>
  <c r="Q719" i="6" s="1"/>
  <c r="Q720" i="6" s="1"/>
  <c r="Q721" i="6" s="1"/>
  <c r="Q722" i="6"/>
  <c r="Q723" i="6" s="1"/>
  <c r="Q724" i="6" s="1"/>
  <c r="Q725" i="6" s="1"/>
  <c r="Q726" i="6" s="1"/>
  <c r="Q727" i="6"/>
  <c r="Q728" i="6"/>
  <c r="Q729" i="6" s="1"/>
  <c r="Q730" i="6"/>
  <c r="Q731" i="6" s="1"/>
  <c r="Q732" i="6"/>
  <c r="Q733" i="6" s="1"/>
  <c r="Q734" i="6" s="1"/>
  <c r="Q735" i="6" s="1"/>
  <c r="Q736" i="6" s="1"/>
  <c r="Q737" i="6"/>
  <c r="Q738" i="6"/>
  <c r="Q739" i="6" s="1"/>
  <c r="Q740" i="6" s="1"/>
  <c r="Q741" i="6" s="1"/>
  <c r="Q742" i="6"/>
  <c r="Q743" i="6"/>
  <c r="Q744" i="6"/>
  <c r="Q745" i="6" s="1"/>
  <c r="Q746" i="6" s="1"/>
  <c r="Q747" i="6"/>
  <c r="Q748" i="6" s="1"/>
  <c r="Q749" i="6" s="1"/>
  <c r="Q750" i="6" s="1"/>
  <c r="Q751" i="6" s="1"/>
  <c r="Q752" i="6"/>
  <c r="Q753" i="6" s="1"/>
  <c r="Q754" i="6"/>
  <c r="Q755" i="6" s="1"/>
  <c r="Q756" i="6" s="1"/>
  <c r="Q757" i="6"/>
  <c r="Q758" i="6" s="1"/>
  <c r="Q759" i="6" s="1"/>
  <c r="Q760" i="6" s="1"/>
  <c r="Q761" i="6" s="1"/>
  <c r="Q762" i="6"/>
  <c r="Q763" i="6"/>
  <c r="Q764" i="6" s="1"/>
  <c r="Q765" i="6" s="1"/>
  <c r="Q766" i="6" s="1"/>
  <c r="Q767" i="6"/>
  <c r="Q768" i="6"/>
  <c r="Q769" i="6" s="1"/>
  <c r="Q770" i="6" s="1"/>
  <c r="Q771" i="6"/>
  <c r="Q772" i="6"/>
  <c r="Q773" i="6" s="1"/>
  <c r="Q774" i="6" s="1"/>
  <c r="Q775" i="6" s="1"/>
  <c r="Q776" i="6"/>
  <c r="Q777" i="6"/>
  <c r="Q778" i="6"/>
  <c r="Q779" i="6" s="1"/>
  <c r="Q780" i="6" s="1"/>
  <c r="Q781" i="6" s="1"/>
  <c r="Q782" i="6"/>
  <c r="Q783" i="6"/>
  <c r="Q784" i="6"/>
  <c r="Q785" i="6" s="1"/>
  <c r="Q786" i="6" s="1"/>
  <c r="Q787" i="6"/>
  <c r="Q788" i="6" s="1"/>
  <c r="Q789" i="6" s="1"/>
  <c r="Q790" i="6" s="1"/>
  <c r="Q791" i="6" s="1"/>
  <c r="Q792" i="6"/>
  <c r="Q793" i="6" s="1"/>
  <c r="Q794" i="6"/>
  <c r="Q795" i="6" s="1"/>
  <c r="Q796" i="6" s="1"/>
  <c r="Q797" i="6"/>
  <c r="Q798" i="6" s="1"/>
  <c r="Q799" i="6" s="1"/>
  <c r="Q800" i="6" s="1"/>
  <c r="Q801" i="6" s="1"/>
  <c r="Q802" i="6"/>
  <c r="Q803" i="6" s="1"/>
  <c r="Q804" i="6" s="1"/>
  <c r="Q805" i="6" s="1"/>
  <c r="Q806" i="6" s="1"/>
  <c r="Q807" i="6"/>
  <c r="Q808" i="6"/>
  <c r="Q809" i="6" s="1"/>
  <c r="Q810" i="6"/>
  <c r="Q811" i="6" s="1"/>
  <c r="Q812" i="6"/>
  <c r="Q813" i="6" s="1"/>
  <c r="Q814" i="6" s="1"/>
  <c r="Q815" i="6" s="1"/>
  <c r="Q816" i="6" s="1"/>
  <c r="Q817" i="6"/>
  <c r="Q818" i="6"/>
  <c r="Q819" i="6" s="1"/>
  <c r="Q820" i="6" s="1"/>
  <c r="Q821" i="6" s="1"/>
  <c r="Q822" i="6"/>
  <c r="Q823" i="6"/>
  <c r="Q824" i="6"/>
  <c r="Q825" i="6" s="1"/>
  <c r="Q826" i="6" s="1"/>
  <c r="Q827" i="6"/>
  <c r="Q828" i="6" s="1"/>
  <c r="Q829" i="6" s="1"/>
  <c r="Q830" i="6" s="1"/>
  <c r="Q831" i="6" s="1"/>
  <c r="Q832" i="6"/>
  <c r="Q833" i="6" s="1"/>
  <c r="Q834" i="6"/>
  <c r="Q835" i="6" s="1"/>
  <c r="Q836" i="6" s="1"/>
  <c r="Q837" i="6"/>
  <c r="Q838" i="6" s="1"/>
  <c r="Q839" i="6" s="1"/>
  <c r="Q840" i="6"/>
  <c r="Q841" i="6" s="1"/>
  <c r="Q842" i="6"/>
  <c r="Q843" i="6"/>
  <c r="Q844" i="6" s="1"/>
  <c r="Q845" i="6" s="1"/>
  <c r="Q846" i="6" s="1"/>
  <c r="Q847" i="6"/>
  <c r="Q848" i="6"/>
  <c r="Q849" i="6" s="1"/>
  <c r="Q850" i="6" s="1"/>
  <c r="Q851" i="6" s="1"/>
  <c r="Q852" i="6"/>
  <c r="Q853" i="6"/>
  <c r="Q854" i="6" s="1"/>
  <c r="Q855" i="6"/>
  <c r="Q856" i="6" s="1"/>
  <c r="Q857" i="6"/>
  <c r="Q858" i="6" s="1"/>
  <c r="Q859" i="6" s="1"/>
  <c r="Q860" i="6" s="1"/>
  <c r="Q861" i="6" s="1"/>
  <c r="Q862" i="6"/>
  <c r="Q863" i="6"/>
  <c r="Q864" i="6" s="1"/>
  <c r="Q865" i="6" s="1"/>
  <c r="Q866" i="6" s="1"/>
  <c r="Q867" i="6"/>
  <c r="Q868" i="6" s="1"/>
  <c r="Q869" i="6" s="1"/>
  <c r="Q870" i="6" s="1"/>
  <c r="Q871" i="6" s="1"/>
  <c r="Q872" i="6"/>
  <c r="Q873" i="6"/>
  <c r="Q874" i="6" s="1"/>
  <c r="Q875" i="6" s="1"/>
  <c r="Q876" i="6" s="1"/>
  <c r="Q877" i="6"/>
  <c r="Q878" i="6" s="1"/>
  <c r="Q879" i="6" s="1"/>
  <c r="Q880" i="6" s="1"/>
  <c r="Q881" i="6" s="1"/>
  <c r="Q882" i="6"/>
  <c r="Q883" i="6"/>
  <c r="Q884" i="6" s="1"/>
  <c r="Q885" i="6" s="1"/>
  <c r="Q886" i="6" s="1"/>
  <c r="Q887" i="6"/>
  <c r="Q888" i="6" s="1"/>
  <c r="Q889" i="6" s="1"/>
  <c r="Q890" i="6" s="1"/>
  <c r="Q891" i="6" s="1"/>
  <c r="Q892" i="6"/>
  <c r="Q893" i="6"/>
  <c r="Q894" i="6" s="1"/>
  <c r="Q895" i="6"/>
  <c r="Q896" i="6" s="1"/>
  <c r="Q897" i="6"/>
  <c r="Q898" i="6" s="1"/>
  <c r="Q899" i="6" s="1"/>
  <c r="Q900" i="6" s="1"/>
  <c r="Q901" i="6" s="1"/>
  <c r="Q902" i="6"/>
  <c r="Q903" i="6"/>
  <c r="Q904" i="6" s="1"/>
  <c r="Q905" i="6" s="1"/>
  <c r="Q906" i="6" s="1"/>
  <c r="Q907" i="6"/>
  <c r="Q908" i="6" s="1"/>
  <c r="Q909" i="6" s="1"/>
  <c r="Q910" i="6" s="1"/>
  <c r="Q911" i="6"/>
  <c r="Q912" i="6"/>
  <c r="Q913" i="6"/>
  <c r="Q914" i="6" s="1"/>
  <c r="Q915" i="6" s="1"/>
  <c r="Q916" i="6" s="1"/>
  <c r="Q917" i="6"/>
  <c r="Q918" i="6" s="1"/>
  <c r="Q919" i="6"/>
  <c r="Q920" i="6" s="1"/>
  <c r="Q921" i="6" s="1"/>
  <c r="Q922" i="6"/>
  <c r="Q923" i="6"/>
  <c r="Q924" i="6" s="1"/>
  <c r="Q925" i="6" s="1"/>
  <c r="Q926" i="6" s="1"/>
  <c r="Q927" i="6"/>
  <c r="Q928" i="6" s="1"/>
  <c r="Q929" i="6" s="1"/>
  <c r="Q930" i="6" s="1"/>
  <c r="Q931" i="6" s="1"/>
  <c r="Q932" i="6"/>
  <c r="Q933" i="6"/>
  <c r="Q934" i="6" s="1"/>
  <c r="Q935" i="6"/>
  <c r="Q936" i="6" s="1"/>
  <c r="Q937" i="6"/>
  <c r="Q938" i="6" s="1"/>
  <c r="Q939" i="6" s="1"/>
  <c r="Q940" i="6" s="1"/>
  <c r="Q941" i="6" s="1"/>
  <c r="Q942" i="6"/>
  <c r="Q943" i="6"/>
  <c r="Q944" i="6" s="1"/>
  <c r="Q945" i="6" s="1"/>
  <c r="Q946" i="6" s="1"/>
  <c r="Q947" i="6"/>
  <c r="Q948" i="6" s="1"/>
  <c r="Q949" i="6" s="1"/>
  <c r="Q950" i="6" s="1"/>
  <c r="Q951" i="6" s="1"/>
  <c r="Q952" i="6"/>
  <c r="Q953" i="6"/>
  <c r="Q954" i="6" s="1"/>
  <c r="Q955" i="6" s="1"/>
  <c r="Q956" i="6" s="1"/>
  <c r="Q957" i="6"/>
  <c r="Q958" i="6" s="1"/>
  <c r="Q959" i="6"/>
  <c r="Q960" i="6" s="1"/>
  <c r="Q961" i="6" s="1"/>
  <c r="Q962" i="6"/>
  <c r="Q963" i="6"/>
  <c r="Q964" i="6" s="1"/>
  <c r="Q965" i="6" s="1"/>
  <c r="Q966" i="6" s="1"/>
  <c r="Q967" i="6"/>
  <c r="Q968" i="6" s="1"/>
  <c r="Q969" i="6" s="1"/>
  <c r="Q970" i="6" s="1"/>
  <c r="Q971" i="6" s="1"/>
  <c r="Q972" i="6"/>
  <c r="Q973" i="6"/>
  <c r="Q974" i="6" s="1"/>
  <c r="Q975" i="6" s="1"/>
  <c r="Q976" i="6" s="1"/>
  <c r="Q977" i="6"/>
  <c r="Q978" i="6" s="1"/>
  <c r="Q979" i="6" s="1"/>
  <c r="Q980" i="6" s="1"/>
  <c r="Q981" i="6" s="1"/>
  <c r="Q982" i="6"/>
  <c r="Q983" i="6"/>
  <c r="Q984" i="6" s="1"/>
  <c r="Q985" i="6" s="1"/>
  <c r="Q986" i="6" s="1"/>
  <c r="Q987" i="6"/>
  <c r="Q988" i="6" s="1"/>
  <c r="Q989" i="6" s="1"/>
  <c r="Q990" i="6" s="1"/>
  <c r="Q991" i="6"/>
  <c r="Q992" i="6"/>
  <c r="Q993" i="6"/>
  <c r="Q994" i="6" s="1"/>
  <c r="Q995" i="6" s="1"/>
  <c r="Q996" i="6" s="1"/>
  <c r="Q997" i="6"/>
  <c r="Q998" i="6" s="1"/>
  <c r="Q999" i="6"/>
  <c r="Q1000" i="6" s="1"/>
  <c r="Q1001" i="6" s="1"/>
  <c r="Q1002" i="6"/>
  <c r="Q1003" i="6"/>
  <c r="Q1004" i="6" s="1"/>
  <c r="Q1005" i="6" s="1"/>
  <c r="Q1006" i="6" s="1"/>
  <c r="Q1007" i="6"/>
  <c r="Q1008" i="6" s="1"/>
  <c r="Q1009" i="6" s="1"/>
  <c r="Q1010" i="6" s="1"/>
  <c r="Q1011" i="6" s="1"/>
  <c r="Q1012" i="6"/>
  <c r="Q1013" i="6"/>
  <c r="Q1014" i="6" s="1"/>
  <c r="Q1015" i="6"/>
  <c r="Q1016" i="6" s="1"/>
  <c r="Q1017" i="6"/>
  <c r="Q1018" i="6" s="1"/>
  <c r="Q1019" i="6" s="1"/>
  <c r="Q1020" i="6" s="1"/>
  <c r="Q1021" i="6" s="1"/>
  <c r="Q1022" i="6"/>
  <c r="Q1023" i="6"/>
  <c r="Q1024" i="6" s="1"/>
  <c r="Q1025" i="6" s="1"/>
  <c r="Q1026" i="6" s="1"/>
  <c r="Q1027" i="6"/>
  <c r="Q1028" i="6" s="1"/>
  <c r="Q1029" i="6" s="1"/>
  <c r="Q1030" i="6" s="1"/>
  <c r="Q1031" i="6" s="1"/>
  <c r="Q1032" i="6"/>
  <c r="Q1033" i="6"/>
  <c r="Q1034" i="6" s="1"/>
  <c r="Q1035" i="6" s="1"/>
  <c r="Q1036" i="6" s="1"/>
  <c r="Q1037" i="6"/>
  <c r="Q1038" i="6" s="1"/>
  <c r="Q1039" i="6" s="1"/>
  <c r="Q1040" i="6" s="1"/>
  <c r="Q1041" i="6" s="1"/>
  <c r="Q1042" i="6"/>
  <c r="Q1043" i="6"/>
  <c r="Q1044" i="6" s="1"/>
  <c r="Q1045" i="6" s="1"/>
  <c r="Q1046" i="6" s="1"/>
  <c r="Q1047" i="6"/>
  <c r="Q1048" i="6" s="1"/>
  <c r="Q1049" i="6" s="1"/>
  <c r="Q1050" i="6" s="1"/>
  <c r="Q1051" i="6" s="1"/>
  <c r="Q1052" i="6"/>
  <c r="Q1053" i="6"/>
  <c r="Q1054" i="6" s="1"/>
  <c r="Q1055" i="6" s="1"/>
  <c r="Q1056" i="6" s="1"/>
  <c r="Q1057" i="6"/>
  <c r="Q1058" i="6" s="1"/>
  <c r="Q1059" i="6" s="1"/>
  <c r="Q1060" i="6" s="1"/>
  <c r="Q1061" i="6" s="1"/>
  <c r="Q1062" i="6"/>
  <c r="Q1063" i="6"/>
  <c r="Q1064" i="6" s="1"/>
  <c r="Q1065" i="6" s="1"/>
  <c r="Q1066" i="6" s="1"/>
  <c r="Q1067" i="6"/>
  <c r="Q1068" i="6" s="1"/>
  <c r="Q1069" i="6" s="1"/>
  <c r="Q1070" i="6" s="1"/>
  <c r="Q1071" i="6"/>
  <c r="Q1072" i="6"/>
  <c r="Q1073" i="6"/>
  <c r="Q1074" i="6" s="1"/>
  <c r="Q1075" i="6" s="1"/>
  <c r="Q1076" i="6" s="1"/>
  <c r="Q1077" i="6"/>
  <c r="Q1078" i="6" s="1"/>
  <c r="Q1079" i="6"/>
  <c r="Q1080" i="6" s="1"/>
  <c r="Q1081" i="6" s="1"/>
  <c r="Q1082" i="6"/>
  <c r="Q1083" i="6"/>
  <c r="Q1084" i="6" s="1"/>
  <c r="Q1085" i="6" s="1"/>
  <c r="Q1086" i="6" s="1"/>
  <c r="Q1087" i="6"/>
  <c r="Q1088" i="6" s="1"/>
  <c r="Q1089" i="6" s="1"/>
  <c r="Q1090" i="6" s="1"/>
  <c r="Q1091" i="6" s="1"/>
  <c r="Q1092" i="6"/>
  <c r="Q1093" i="6"/>
  <c r="Q1094" i="6" s="1"/>
  <c r="Q1095" i="6"/>
  <c r="Q1096" i="6" s="1"/>
  <c r="Q1097" i="6"/>
  <c r="Q1098" i="6" s="1"/>
  <c r="Q1099" i="6" s="1"/>
  <c r="Q1100" i="6" s="1"/>
  <c r="Q1101" i="6" s="1"/>
  <c r="Q1102" i="6"/>
  <c r="Q1103" i="6"/>
  <c r="Q1104" i="6" s="1"/>
  <c r="Q1105" i="6" s="1"/>
  <c r="Q1106" i="6" s="1"/>
  <c r="Q1107" i="6"/>
  <c r="Q1108" i="6" s="1"/>
  <c r="Q1109" i="6" s="1"/>
  <c r="Q1110" i="6" s="1"/>
  <c r="Q1111" i="6"/>
  <c r="Q1112" i="6"/>
  <c r="Q1113" i="6"/>
  <c r="Q1114" i="6" s="1"/>
  <c r="Q1115" i="6" s="1"/>
  <c r="Q1116" i="6" s="1"/>
  <c r="Q1117" i="6"/>
  <c r="Q1118" i="6" s="1"/>
  <c r="Q1119" i="6" s="1"/>
  <c r="Q1120" i="6" s="1"/>
  <c r="Q1121" i="6" s="1"/>
  <c r="Q1122" i="6"/>
  <c r="Q1123" i="6"/>
  <c r="Q1124" i="6" s="1"/>
  <c r="Q1125" i="6" s="1"/>
  <c r="Q1126" i="6" s="1"/>
  <c r="Q1127" i="6"/>
  <c r="Q1128" i="6" s="1"/>
  <c r="Q1129" i="6" s="1"/>
  <c r="Q1130" i="6" s="1"/>
  <c r="Q1131" i="6" s="1"/>
  <c r="Q1132" i="6"/>
  <c r="Q1133" i="6"/>
  <c r="Q1134" i="6" s="1"/>
  <c r="Q1135" i="6" s="1"/>
  <c r="Q1136" i="6" s="1"/>
  <c r="Q1137" i="6"/>
  <c r="Q1138" i="6" s="1"/>
  <c r="Q1139" i="6" s="1"/>
  <c r="Q1140" i="6" s="1"/>
  <c r="Q1141" i="6" s="1"/>
  <c r="Q1142" i="6"/>
  <c r="Q1143" i="6"/>
  <c r="Q1144" i="6" s="1"/>
  <c r="Q1145" i="6" s="1"/>
  <c r="Q1146" i="6" s="1"/>
  <c r="Q1147" i="6"/>
  <c r="Q1148" i="6" s="1"/>
  <c r="Q1149" i="6" s="1"/>
  <c r="Q1150" i="6" s="1"/>
  <c r="Q1151" i="6"/>
  <c r="Q1152" i="6"/>
  <c r="Q1153" i="6"/>
  <c r="Q1154" i="6" s="1"/>
  <c r="Q1155" i="6" s="1"/>
  <c r="Q1156" i="6" s="1"/>
  <c r="Q1157" i="6"/>
  <c r="Q1158" i="6" s="1"/>
  <c r="Q1159" i="6"/>
  <c r="Q1160" i="6" s="1"/>
  <c r="Q1161" i="6" s="1"/>
  <c r="Q1162" i="6"/>
  <c r="Q1163" i="6"/>
  <c r="Q1164" i="6" s="1"/>
  <c r="Q1165" i="6" s="1"/>
  <c r="Q1166" i="6" s="1"/>
  <c r="Q1167" i="6"/>
  <c r="Q1168" i="6" s="1"/>
  <c r="Q1169" i="6" s="1"/>
  <c r="Q1170" i="6" s="1"/>
  <c r="Q1171" i="6" s="1"/>
  <c r="Q1172" i="6"/>
  <c r="Q1173" i="6"/>
  <c r="Q1174" i="6" s="1"/>
  <c r="Q1175" i="6"/>
  <c r="Q1176" i="6" s="1"/>
  <c r="Q1177" i="6"/>
  <c r="Q1178" i="6" s="1"/>
  <c r="Q1179" i="6" s="1"/>
  <c r="Q1180" i="6" s="1"/>
  <c r="Q1181" i="6" s="1"/>
  <c r="Q1182" i="6"/>
  <c r="Q1183" i="6"/>
  <c r="Q1184" i="6" s="1"/>
  <c r="Q1185" i="6" s="1"/>
  <c r="Q1186" i="6" s="1"/>
  <c r="Q1187" i="6"/>
  <c r="Q1188" i="6" s="1"/>
  <c r="Q1189" i="6" s="1"/>
  <c r="Q1190" i="6" s="1"/>
  <c r="Q1191" i="6" s="1"/>
  <c r="Q1192" i="6"/>
  <c r="Q1193" i="6"/>
  <c r="Q1194" i="6" s="1"/>
  <c r="Q1195" i="6" s="1"/>
  <c r="Q1196" i="6" s="1"/>
  <c r="Q1197" i="6"/>
  <c r="Q1198" i="6" s="1"/>
  <c r="Q1199" i="6" s="1"/>
  <c r="Q1200" i="6" s="1"/>
  <c r="Q1201" i="6" s="1"/>
  <c r="Q1202" i="6"/>
  <c r="Q1203" i="6"/>
  <c r="Q1204" i="6" s="1"/>
  <c r="Q1205" i="6" s="1"/>
  <c r="Q1206" i="6" s="1"/>
  <c r="Q1207" i="6"/>
  <c r="Q1208" i="6" s="1"/>
  <c r="Q1209" i="6" s="1"/>
  <c r="Q1210" i="6" s="1"/>
  <c r="Q1211" i="6" s="1"/>
  <c r="Q1212" i="6"/>
  <c r="Q1213" i="6"/>
  <c r="Q1214" i="6" s="1"/>
  <c r="Q1215" i="6"/>
  <c r="Q1216" i="6" s="1"/>
  <c r="Q1217" i="6"/>
  <c r="Q1218" i="6" s="1"/>
  <c r="Q1219" i="6" s="1"/>
  <c r="Q1220" i="6" s="1"/>
  <c r="Q1221" i="6" s="1"/>
  <c r="Q1222" i="6"/>
  <c r="Q1223" i="6"/>
  <c r="Q1224" i="6" s="1"/>
  <c r="Q1225" i="6" s="1"/>
  <c r="Q1226" i="6" s="1"/>
  <c r="Q1227" i="6"/>
  <c r="Q1228" i="6" s="1"/>
  <c r="Q1229" i="6" s="1"/>
  <c r="Q1230" i="6" s="1"/>
  <c r="Q1231" i="6" s="1"/>
  <c r="Q1232" i="6"/>
  <c r="Q1233" i="6"/>
  <c r="Q1234" i="6" s="1"/>
  <c r="Q1235" i="6" s="1"/>
  <c r="Q1236" i="6" s="1"/>
  <c r="Q1237" i="6"/>
  <c r="Q1238" i="6" s="1"/>
  <c r="Q1239" i="6" s="1"/>
  <c r="Q1240" i="6" s="1"/>
  <c r="Q1241" i="6" s="1"/>
  <c r="Q1242" i="6"/>
  <c r="Q1243" i="6"/>
  <c r="Q1244" i="6" s="1"/>
  <c r="Q1245" i="6" s="1"/>
  <c r="Q1246" i="6" s="1"/>
  <c r="Q1247" i="6"/>
  <c r="Q1248" i="6" s="1"/>
  <c r="Q1249" i="6"/>
  <c r="Q1250" i="6" s="1"/>
  <c r="Q1251" i="6" s="1"/>
  <c r="Q1252" i="6"/>
  <c r="Q1253" i="6"/>
  <c r="Q1254" i="6" s="1"/>
  <c r="Q1255" i="6" s="1"/>
  <c r="Q1256" i="6" s="1"/>
  <c r="Q1257" i="6"/>
  <c r="Q1258" i="6" s="1"/>
  <c r="Q1259" i="6" s="1"/>
  <c r="Q1260" i="6" s="1"/>
  <c r="Q1261" i="6" s="1"/>
  <c r="Q1262" i="6"/>
  <c r="Q1263" i="6"/>
  <c r="Q1264" i="6" s="1"/>
  <c r="Q1265" i="6" s="1"/>
  <c r="Q1266" i="6" s="1"/>
  <c r="Q1267" i="6"/>
  <c r="Q1268" i="6" s="1"/>
  <c r="Q1269" i="6" s="1"/>
  <c r="Q1270" i="6" s="1"/>
  <c r="Q1271" i="6"/>
  <c r="Q1272" i="6"/>
  <c r="Q1273" i="6"/>
  <c r="Q1274" i="6" s="1"/>
  <c r="Q1275" i="6" s="1"/>
  <c r="Q1276" i="6" s="1"/>
  <c r="Q1277" i="6"/>
  <c r="Q1278" i="6" s="1"/>
  <c r="Q1279" i="6" s="1"/>
  <c r="Q1280" i="6" s="1"/>
  <c r="Q1281" i="6" s="1"/>
  <c r="Q1282" i="6"/>
  <c r="Q1283" i="6"/>
  <c r="Q1284" i="6" s="1"/>
  <c r="Q1285" i="6" s="1"/>
  <c r="Q1286" i="6" s="1"/>
  <c r="Q1287" i="6"/>
  <c r="Q1288" i="6" s="1"/>
  <c r="Q1289" i="6"/>
  <c r="Q1290" i="6" s="1"/>
  <c r="Q1291" i="6" s="1"/>
  <c r="Q1292" i="6"/>
  <c r="Q1293" i="6"/>
  <c r="Q1294" i="6" s="1"/>
  <c r="Q1295" i="6" s="1"/>
  <c r="Q1296" i="6" s="1"/>
  <c r="Q1297" i="6"/>
  <c r="Q1298" i="6" s="1"/>
  <c r="Q1299" i="6" s="1"/>
  <c r="Q1300" i="6" s="1"/>
  <c r="Q1301" i="6" s="1"/>
  <c r="Q1302" i="6"/>
  <c r="Q1303" i="6"/>
  <c r="Q1304" i="6" s="1"/>
  <c r="Q1305" i="6"/>
  <c r="Q1306" i="6" s="1"/>
  <c r="Q1307" i="6"/>
  <c r="Q1308" i="6" s="1"/>
  <c r="Q1309" i="6" s="1"/>
  <c r="Q1310" i="6" s="1"/>
  <c r="Q1311" i="6" s="1"/>
  <c r="Q1312" i="6"/>
  <c r="Q1313" i="6"/>
  <c r="Q1314" i="6" s="1"/>
  <c r="Q1315" i="6"/>
  <c r="Q1316" i="6" s="1"/>
  <c r="Q1317" i="6"/>
  <c r="Q1318" i="6" s="1"/>
  <c r="Q1319" i="6"/>
  <c r="Q1320" i="6" s="1"/>
  <c r="Q1321" i="6"/>
  <c r="Q1322" i="6"/>
  <c r="Q1323" i="6"/>
  <c r="Q1324" i="6" s="1"/>
  <c r="Q1325" i="6" s="1"/>
  <c r="Q1326" i="6" s="1"/>
  <c r="Q1327" i="6"/>
  <c r="Q1328" i="6" s="1"/>
  <c r="Q1329" i="6" s="1"/>
  <c r="Q1330" i="6" s="1"/>
  <c r="Q1331" i="6" s="1"/>
  <c r="Q1332" i="6"/>
  <c r="Q1333" i="6"/>
  <c r="Q1334" i="6" s="1"/>
  <c r="Q1335" i="6"/>
  <c r="Q1336" i="6" s="1"/>
  <c r="Q1337" i="6"/>
  <c r="Q1338" i="6" s="1"/>
  <c r="Q1339" i="6" s="1"/>
  <c r="Q1340" i="6" s="1"/>
  <c r="Q1341" i="6" s="1"/>
  <c r="Q1342" i="6"/>
  <c r="Q1343" i="6"/>
  <c r="Q1344" i="6" s="1"/>
  <c r="Q1345" i="6"/>
  <c r="Q1346" i="6" s="1"/>
  <c r="Q1347" i="6"/>
  <c r="Q1348" i="6" s="1"/>
  <c r="Q1349" i="6" s="1"/>
  <c r="Q1350" i="6" s="1"/>
  <c r="Q1351" i="6"/>
  <c r="Q1352" i="6"/>
  <c r="Q1353" i="6"/>
  <c r="Q1354" i="6" s="1"/>
  <c r="Q1355" i="6" s="1"/>
  <c r="Q1356" i="6" s="1"/>
  <c r="Q1357" i="6"/>
  <c r="Q1358" i="6" s="1"/>
  <c r="Q1359" i="6" s="1"/>
  <c r="Q1360" i="6" s="1"/>
  <c r="Q1361" i="6" s="1"/>
  <c r="Q1362" i="6"/>
  <c r="Q1363" i="6"/>
  <c r="Q1364" i="6" s="1"/>
  <c r="Q1365" i="6" s="1"/>
  <c r="Q1366" i="6" s="1"/>
  <c r="Q1367" i="6"/>
  <c r="Q1368" i="6" s="1"/>
  <c r="Q1369" i="6"/>
  <c r="Q1370" i="6" s="1"/>
  <c r="Q1371" i="6" s="1"/>
  <c r="Q1372" i="6"/>
  <c r="Q1373" i="6"/>
  <c r="Q1374" i="6" s="1"/>
  <c r="Q1375" i="6"/>
  <c r="Q1376" i="6" s="1"/>
  <c r="Q1377" i="6"/>
  <c r="Q1378" i="6" s="1"/>
  <c r="Q1379" i="6"/>
  <c r="Q1380" i="6" s="1"/>
  <c r="Q1381" i="6"/>
  <c r="Q1382" i="6"/>
  <c r="Q1383" i="6"/>
  <c r="Q1384" i="6" s="1"/>
  <c r="Q1385" i="6" s="1"/>
  <c r="Q1386" i="6" s="1"/>
  <c r="Q1387" i="6"/>
  <c r="Q1388" i="6" s="1"/>
  <c r="Q1389" i="6"/>
  <c r="Q1390" i="6" s="1"/>
  <c r="Q1391" i="6"/>
  <c r="Q1392" i="6"/>
  <c r="Q1393" i="6" s="1"/>
  <c r="Q1394" i="6" s="1"/>
  <c r="Q1395" i="6" s="1"/>
  <c r="Q1396" i="6" s="1"/>
  <c r="Q1397" i="6"/>
  <c r="Q1398" i="6" s="1"/>
  <c r="Q1399" i="6"/>
  <c r="Q1400" i="6" s="1"/>
  <c r="Q1401" i="6" s="1"/>
  <c r="Q1402" i="6"/>
  <c r="Q1403" i="6"/>
  <c r="Q1404" i="6" s="1"/>
  <c r="Q1405" i="6" s="1"/>
  <c r="Q1406" i="6" s="1"/>
  <c r="Q1407" i="6"/>
  <c r="Q1408" i="6" s="1"/>
  <c r="Q1409" i="6" s="1"/>
  <c r="Q1410" i="6" s="1"/>
  <c r="Q1411" i="6" s="1"/>
  <c r="Q1412" i="6"/>
  <c r="Q1413" i="6"/>
  <c r="Q1414" i="6" s="1"/>
  <c r="Q1415" i="6"/>
  <c r="Q1416" i="6" s="1"/>
  <c r="Q1417" i="6"/>
  <c r="Q1418" i="6" s="1"/>
  <c r="Q1419" i="6" s="1"/>
  <c r="Q1420" i="6" s="1"/>
  <c r="Q1421" i="6" s="1"/>
  <c r="Q1422" i="6"/>
  <c r="Q1423" i="6"/>
  <c r="Q1424" i="6"/>
  <c r="Q1425" i="6"/>
  <c r="Q1426" i="6" s="1"/>
  <c r="Q1427" i="6"/>
  <c r="Q1428" i="6" s="1"/>
  <c r="Q1429" i="6"/>
  <c r="Q1430" i="6" s="1"/>
  <c r="Q1431" i="6" s="1"/>
  <c r="Q1432" i="6"/>
  <c r="Q1433" i="6" s="1"/>
  <c r="Q1434" i="6" s="1"/>
  <c r="Q1435" i="6" s="1"/>
  <c r="Q1436" i="6" s="1"/>
  <c r="Q1437" i="6"/>
  <c r="Q1438" i="6" s="1"/>
  <c r="Q1439" i="6"/>
  <c r="Q1440" i="6" s="1"/>
  <c r="Q1441" i="6" s="1"/>
  <c r="Q1442" i="6"/>
  <c r="Q1443" i="6"/>
  <c r="Q1444" i="6" s="1"/>
  <c r="Q1445" i="6" s="1"/>
  <c r="Q1446" i="6" s="1"/>
  <c r="Q1447" i="6"/>
  <c r="Q1448" i="6"/>
  <c r="Q1449" i="6"/>
  <c r="Q1450" i="6" s="1"/>
  <c r="Q1451" i="6" s="1"/>
  <c r="Q1452" i="6"/>
  <c r="Q1453" i="6" s="1"/>
  <c r="Q1454" i="6" s="1"/>
  <c r="Q1455" i="6" s="1"/>
  <c r="Q1456" i="6" s="1"/>
  <c r="Q1457" i="6"/>
  <c r="Q1458" i="6" s="1"/>
  <c r="Q1459" i="6"/>
  <c r="Q1460" i="6"/>
  <c r="Q1461" i="6" s="1"/>
  <c r="Q1462" i="6"/>
  <c r="Q1463" i="6"/>
  <c r="Q1464" i="6"/>
  <c r="Q1465" i="6" s="1"/>
  <c r="Q1466" i="6" s="1"/>
  <c r="Q1467" i="6"/>
  <c r="Q1468" i="6"/>
  <c r="Q1469" i="6"/>
  <c r="Q1470" i="6" s="1"/>
  <c r="Q1471" i="6" s="1"/>
  <c r="Q1472" i="6"/>
  <c r="Q1473" i="6" s="1"/>
  <c r="Q1474" i="6" s="1"/>
  <c r="Q1475" i="6" s="1"/>
  <c r="Q1476" i="6" s="1"/>
  <c r="Q1477" i="6"/>
  <c r="Q1478" i="6" s="1"/>
  <c r="Q1479" i="6"/>
  <c r="Q1480" i="6"/>
  <c r="Q1481" i="6" s="1"/>
  <c r="Q1482" i="6"/>
  <c r="Q1483" i="6"/>
  <c r="Q1484" i="6"/>
  <c r="Q1485" i="6" s="1"/>
  <c r="Q1486" i="6" s="1"/>
  <c r="Q1487" i="6"/>
  <c r="Q1488" i="6"/>
  <c r="Q1489" i="6"/>
  <c r="Q1490" i="6" s="1"/>
  <c r="Q1491" i="6" s="1"/>
  <c r="Q1492" i="6"/>
  <c r="Q1493" i="6" s="1"/>
  <c r="Q1494" i="6" s="1"/>
  <c r="Q1495" i="6" s="1"/>
  <c r="Q1496" i="6" s="1"/>
  <c r="Q1497" i="6"/>
  <c r="Q1498" i="6" s="1"/>
  <c r="Q1499" i="6"/>
  <c r="Q1500" i="6"/>
  <c r="Q1501" i="6" s="1"/>
  <c r="Q1502" i="6"/>
  <c r="Q1503" i="6"/>
  <c r="Q1504" i="6"/>
  <c r="Q1505" i="6" s="1"/>
  <c r="Q1506" i="6" s="1"/>
  <c r="Q1507" i="6"/>
  <c r="Q1508" i="6" s="1"/>
  <c r="Q1509" i="6" s="1"/>
  <c r="Q1510" i="6" s="1"/>
  <c r="Q1511" i="6" s="1"/>
  <c r="Q1512" i="6"/>
  <c r="Q1513" i="6" s="1"/>
  <c r="Q1514" i="6" s="1"/>
  <c r="Q1515" i="6" s="1"/>
  <c r="Q1516" i="6" s="1"/>
  <c r="Q1517" i="6"/>
  <c r="Q1518" i="6" s="1"/>
  <c r="Q1519" i="6" s="1"/>
  <c r="Q1520" i="6" s="1"/>
  <c r="Q1521" i="6" s="1"/>
  <c r="Q1522" i="6"/>
  <c r="Q1523" i="6"/>
  <c r="Q1524" i="6"/>
  <c r="Q1525" i="6" s="1"/>
  <c r="Q1526" i="6" s="1"/>
  <c r="Q1527" i="6"/>
  <c r="Q1528" i="6" s="1"/>
  <c r="Q1529" i="6" s="1"/>
  <c r="Q1530" i="6" s="1"/>
  <c r="Q1531" i="6" s="1"/>
  <c r="Q1532" i="6"/>
  <c r="Q1533" i="6" s="1"/>
  <c r="Q1534" i="6" s="1"/>
  <c r="Q1535" i="6" s="1"/>
  <c r="Q1536" i="6" s="1"/>
  <c r="Q1537" i="6"/>
  <c r="Q1538" i="6" s="1"/>
  <c r="Q1539" i="6" s="1"/>
  <c r="Q1540" i="6" s="1"/>
  <c r="Q1541" i="6" s="1"/>
  <c r="Q1542" i="6"/>
  <c r="Q1543" i="6"/>
  <c r="Q1544" i="6"/>
  <c r="Q1545" i="6" s="1"/>
  <c r="Q1546" i="6" s="1"/>
  <c r="Q1547" i="6"/>
  <c r="Q1548" i="6" s="1"/>
  <c r="Q1549" i="6" s="1"/>
  <c r="Q1550" i="6" s="1"/>
  <c r="Q1551" i="6" s="1"/>
  <c r="Q1552" i="6"/>
  <c r="Q1553" i="6" s="1"/>
  <c r="Q1554" i="6" s="1"/>
  <c r="Q1555" i="6" s="1"/>
  <c r="Q1556" i="6" s="1"/>
  <c r="Q1557" i="6"/>
  <c r="Q1558" i="6" s="1"/>
  <c r="Q1559" i="6" s="1"/>
  <c r="Q1560" i="6" s="1"/>
  <c r="Q1561" i="6" s="1"/>
  <c r="Q1562" i="6"/>
  <c r="Q1563" i="6"/>
  <c r="Q1564" i="6"/>
  <c r="Q1565" i="6" s="1"/>
  <c r="Q1566" i="6" s="1"/>
  <c r="Q1567" i="6"/>
  <c r="Q1568" i="6" s="1"/>
  <c r="Q1569" i="6" s="1"/>
  <c r="Q1570" i="6" s="1"/>
  <c r="Q1571" i="6" s="1"/>
  <c r="Q1572" i="6"/>
  <c r="Q1573" i="6" s="1"/>
  <c r="Q1574" i="6" s="1"/>
  <c r="Q1575" i="6" s="1"/>
  <c r="Q1576" i="6" s="1"/>
  <c r="Q1577" i="6"/>
  <c r="Q1578" i="6" s="1"/>
  <c r="Q1579" i="6" s="1"/>
  <c r="Q1580" i="6" s="1"/>
  <c r="Q1581" i="6" s="1"/>
  <c r="Q1582" i="6"/>
  <c r="Q1583" i="6"/>
  <c r="Q1584" i="6"/>
  <c r="Q1585" i="6" s="1"/>
  <c r="Q1586" i="6" s="1"/>
  <c r="Q1587" i="6"/>
  <c r="Q1588" i="6" s="1"/>
  <c r="Q1589" i="6" s="1"/>
  <c r="Q1590" i="6" s="1"/>
  <c r="Q1591" i="6" s="1"/>
  <c r="Q1592" i="6"/>
  <c r="Q1593" i="6" s="1"/>
  <c r="Q1594" i="6" s="1"/>
  <c r="Q1595" i="6" s="1"/>
  <c r="Q1596" i="6" s="1"/>
  <c r="Q1597" i="6"/>
  <c r="Q1598" i="6" s="1"/>
  <c r="Q1599" i="6" s="1"/>
  <c r="Q1600" i="6" s="1"/>
  <c r="Q1601" i="6" s="1"/>
  <c r="Q1602" i="6"/>
  <c r="Q1603" i="6"/>
  <c r="Q1604" i="6"/>
  <c r="Q1605" i="6" s="1"/>
  <c r="Q1606" i="6" s="1"/>
  <c r="Q1607" i="6"/>
  <c r="Q1608" i="6" s="1"/>
  <c r="Q1609" i="6" s="1"/>
  <c r="Q1610" i="6" s="1"/>
  <c r="Q1611" i="6" s="1"/>
  <c r="Q1612" i="6"/>
  <c r="Q1613" i="6" s="1"/>
  <c r="Q1614" i="6" s="1"/>
  <c r="Q1615" i="6" s="1"/>
  <c r="Q1616" i="6" s="1"/>
  <c r="Q1617" i="6"/>
  <c r="Q1618" i="6"/>
  <c r="Q1619" i="6" s="1"/>
  <c r="Q1620" i="6" s="1"/>
  <c r="Q1621" i="6" s="1"/>
  <c r="Q1622" i="6"/>
  <c r="Q1623" i="6" s="1"/>
  <c r="Q1624" i="6" s="1"/>
  <c r="Q1625" i="6" s="1"/>
  <c r="Q1626" i="6" s="1"/>
  <c r="Q1627" i="6"/>
  <c r="Q1628" i="6"/>
  <c r="Q1629" i="6" s="1"/>
  <c r="Q1630" i="6" s="1"/>
  <c r="Q1631" i="6" s="1"/>
  <c r="Q1632" i="6"/>
  <c r="Q1633" i="6" s="1"/>
  <c r="Q1634" i="6" s="1"/>
  <c r="Q1635" i="6" s="1"/>
  <c r="Q1636" i="6" s="1"/>
  <c r="Q1637" i="6"/>
  <c r="Q1638" i="6"/>
  <c r="Q1639" i="6" s="1"/>
  <c r="Q1640" i="6" s="1"/>
  <c r="Q1641" i="6" s="1"/>
  <c r="Q1642" i="6"/>
  <c r="Q1643" i="6" s="1"/>
  <c r="Q1644" i="6" s="1"/>
  <c r="Q1645" i="6" s="1"/>
  <c r="Q1646" i="6" s="1"/>
  <c r="Q1647" i="6"/>
  <c r="Q1648" i="6"/>
  <c r="Q1649" i="6" s="1"/>
  <c r="Q1650" i="6" s="1"/>
  <c r="Q1651" i="6" s="1"/>
  <c r="Q1652" i="6"/>
  <c r="Q1653" i="6" s="1"/>
  <c r="Q1654" i="6" s="1"/>
  <c r="Q1655" i="6" s="1"/>
  <c r="Q1656" i="6" s="1"/>
  <c r="Q1657" i="6"/>
  <c r="Q1658" i="6"/>
  <c r="Q1659" i="6" s="1"/>
  <c r="Q1660" i="6" s="1"/>
  <c r="Q1661" i="6" s="1"/>
  <c r="Q1662" i="6"/>
  <c r="Q1663" i="6" s="1"/>
  <c r="Q1664" i="6" s="1"/>
  <c r="Q1665" i="6" s="1"/>
  <c r="Q1666" i="6" s="1"/>
  <c r="Q1667" i="6"/>
  <c r="Q1668" i="6"/>
  <c r="Q1669" i="6" s="1"/>
  <c r="Q1670" i="6" s="1"/>
  <c r="Q1671" i="6" s="1"/>
  <c r="Q1672" i="6"/>
  <c r="Q1673" i="6" s="1"/>
  <c r="Q1674" i="6" s="1"/>
  <c r="Q1675" i="6" s="1"/>
  <c r="Q1676" i="6" s="1"/>
  <c r="Q1677" i="6"/>
  <c r="Q1678" i="6"/>
  <c r="Q1679" i="6" s="1"/>
  <c r="Q1680" i="6" s="1"/>
  <c r="Q1681" i="6" s="1"/>
  <c r="Q1682" i="6"/>
  <c r="Q1683" i="6" s="1"/>
  <c r="Q1684" i="6" s="1"/>
  <c r="Q1685" i="6" s="1"/>
  <c r="Q1686" i="6" s="1"/>
  <c r="Q1687" i="6"/>
  <c r="Q1688" i="6"/>
  <c r="Q1689" i="6" s="1"/>
  <c r="Q1690" i="6" s="1"/>
  <c r="Q1691" i="6" s="1"/>
  <c r="Q1692" i="6"/>
  <c r="Q1693" i="6" s="1"/>
  <c r="Q1694" i="6" s="1"/>
  <c r="Q1695" i="6" s="1"/>
  <c r="Q1696" i="6" s="1"/>
  <c r="Q1697" i="6"/>
  <c r="Q1698" i="6"/>
  <c r="Q1699" i="6" s="1"/>
  <c r="Q1700" i="6" s="1"/>
  <c r="Q1701" i="6" s="1"/>
  <c r="Q1702" i="6"/>
  <c r="Q1703" i="6" s="1"/>
  <c r="Q1704" i="6" s="1"/>
  <c r="Q1705" i="6" s="1"/>
  <c r="Q1706" i="6" s="1"/>
  <c r="Q1707" i="6"/>
  <c r="Q1708" i="6"/>
  <c r="Q1709" i="6" s="1"/>
  <c r="Q1710" i="6" s="1"/>
  <c r="Q1711" i="6" s="1"/>
  <c r="Q1712" i="6"/>
  <c r="Q1713" i="6" s="1"/>
  <c r="Q1714" i="6" s="1"/>
  <c r="Q1715" i="6" s="1"/>
  <c r="Q1716" i="6" s="1"/>
  <c r="Q1717" i="6"/>
  <c r="Q1718" i="6"/>
  <c r="Q1719" i="6" s="1"/>
  <c r="Q1720" i="6" s="1"/>
  <c r="Q1721" i="6" s="1"/>
  <c r="Q1722" i="6"/>
  <c r="Q1723" i="6" s="1"/>
  <c r="Q1724" i="6" s="1"/>
  <c r="Q1725" i="6" s="1"/>
  <c r="Q1726" i="6" s="1"/>
  <c r="Q1727" i="6"/>
  <c r="Q1728" i="6"/>
  <c r="Q1729" i="6" s="1"/>
  <c r="Q1730" i="6" s="1"/>
  <c r="Q1731" i="6" s="1"/>
  <c r="Q1732" i="6"/>
  <c r="Q1733" i="6" s="1"/>
  <c r="Q1734" i="6" s="1"/>
  <c r="Q1735" i="6" s="1"/>
  <c r="Q1736" i="6" s="1"/>
  <c r="Q1737" i="6"/>
  <c r="Q1738" i="6"/>
  <c r="Q1739" i="6" s="1"/>
  <c r="Q1740" i="6" s="1"/>
  <c r="Q1741" i="6" s="1"/>
  <c r="Q1742" i="6"/>
  <c r="Q1743" i="6" s="1"/>
  <c r="Q1744" i="6" s="1"/>
  <c r="Q1745" i="6" s="1"/>
  <c r="Q1746" i="6" s="1"/>
  <c r="Q1747" i="6"/>
  <c r="Q1748" i="6"/>
  <c r="Q1749" i="6" s="1"/>
  <c r="Q1750" i="6" s="1"/>
  <c r="Q1751" i="6" s="1"/>
  <c r="Q1752" i="6"/>
  <c r="Q1753" i="6" s="1"/>
  <c r="Q1754" i="6" s="1"/>
  <c r="Q1755" i="6" s="1"/>
  <c r="Q1756" i="6" s="1"/>
  <c r="Q1757" i="6"/>
  <c r="Q1758" i="6"/>
  <c r="Q1759" i="6" s="1"/>
  <c r="Q1760" i="6" s="1"/>
  <c r="Q1761" i="6" s="1"/>
  <c r="Q1762" i="6"/>
  <c r="Q1763" i="6" s="1"/>
  <c r="Q1764" i="6" s="1"/>
  <c r="Q1765" i="6" s="1"/>
  <c r="Q1766" i="6" s="1"/>
  <c r="Q1767" i="6"/>
  <c r="Q1768" i="6"/>
  <c r="Q1769" i="6" s="1"/>
  <c r="Q1770" i="6" s="1"/>
  <c r="Q1771" i="6" s="1"/>
  <c r="Q1772" i="6"/>
  <c r="Q1773" i="6" s="1"/>
  <c r="Q1774" i="6" s="1"/>
  <c r="Q1775" i="6" s="1"/>
  <c r="Q1776" i="6" s="1"/>
  <c r="Q1777" i="6"/>
  <c r="Q1778" i="6"/>
  <c r="Q1779" i="6" s="1"/>
  <c r="Q1780" i="6" s="1"/>
  <c r="Q1781" i="6" s="1"/>
  <c r="Q1782" i="6"/>
  <c r="Q1783" i="6" s="1"/>
  <c r="Q1784" i="6" s="1"/>
  <c r="Q1785" i="6" s="1"/>
  <c r="Q1786" i="6" s="1"/>
  <c r="Q1787" i="6"/>
  <c r="Q1788" i="6"/>
  <c r="Q1789" i="6" s="1"/>
  <c r="Q1790" i="6" s="1"/>
  <c r="Q1791" i="6" s="1"/>
  <c r="Q1792" i="6"/>
  <c r="Q1793" i="6" s="1"/>
  <c r="Q1794" i="6" s="1"/>
  <c r="Q1795" i="6" s="1"/>
  <c r="Q1796" i="6" s="1"/>
  <c r="Q1797" i="6"/>
  <c r="Q1798" i="6"/>
  <c r="Q1799" i="6" s="1"/>
  <c r="Q1800" i="6" s="1"/>
  <c r="Q1801" i="6" s="1"/>
  <c r="Q1802" i="6"/>
  <c r="Q1803" i="6" s="1"/>
  <c r="Q1804" i="6" s="1"/>
  <c r="Q1805" i="6" s="1"/>
  <c r="Q1806" i="6" s="1"/>
  <c r="Q1807" i="6"/>
  <c r="Q1808" i="6"/>
  <c r="Q1809" i="6" s="1"/>
  <c r="Q1810" i="6" s="1"/>
  <c r="Q1811" i="6" s="1"/>
  <c r="Q1812" i="6"/>
  <c r="Q1813" i="6" s="1"/>
  <c r="Q1814" i="6" s="1"/>
  <c r="Q1815" i="6" s="1"/>
  <c r="Q1816" i="6" s="1"/>
  <c r="Q1817" i="6"/>
  <c r="Q1818" i="6"/>
  <c r="Q1819" i="6" s="1"/>
  <c r="Q1820" i="6" s="1"/>
  <c r="Q1821" i="6" s="1"/>
  <c r="Q1822" i="6"/>
  <c r="Q1823" i="6" s="1"/>
  <c r="Q1824" i="6" s="1"/>
  <c r="Q1825" i="6" s="1"/>
  <c r="Q1826" i="6" s="1"/>
  <c r="Q1827" i="6"/>
  <c r="Q1828" i="6"/>
  <c r="Q1829" i="6" s="1"/>
  <c r="Q1830" i="6" s="1"/>
  <c r="Q1831" i="6" s="1"/>
  <c r="Q1832" i="6"/>
  <c r="Q1833" i="6" s="1"/>
  <c r="Q1834" i="6" s="1"/>
  <c r="Q1835" i="6" s="1"/>
  <c r="Q1836" i="6" s="1"/>
  <c r="Q1837" i="6"/>
  <c r="Q1838" i="6"/>
  <c r="Q1839" i="6" s="1"/>
  <c r="Q1840" i="6" s="1"/>
  <c r="Q1841" i="6" s="1"/>
  <c r="Q1842" i="6"/>
  <c r="Q1843" i="6" s="1"/>
  <c r="Q1844" i="6" s="1"/>
  <c r="Q1845" i="6" s="1"/>
  <c r="Q1846" i="6" s="1"/>
  <c r="Q1847" i="6"/>
  <c r="Q1848" i="6"/>
  <c r="Q1849" i="6" s="1"/>
  <c r="Q1850" i="6" s="1"/>
  <c r="Q1851" i="6" s="1"/>
  <c r="Q1852" i="6"/>
  <c r="Q1853" i="6" s="1"/>
  <c r="Q1854" i="6" s="1"/>
  <c r="Q1855" i="6" s="1"/>
  <c r="Q1856" i="6" s="1"/>
  <c r="Q1857" i="6"/>
  <c r="Q1858" i="6"/>
  <c r="Q1859" i="6" s="1"/>
  <c r="Q1860" i="6" s="1"/>
  <c r="Q1861" i="6" s="1"/>
  <c r="Q1862" i="6"/>
  <c r="Q1863" i="6" s="1"/>
  <c r="Q1864" i="6" s="1"/>
  <c r="Q1865" i="6" s="1"/>
  <c r="Q1866" i="6" s="1"/>
  <c r="Q1867" i="6"/>
  <c r="Q1868" i="6"/>
  <c r="Q1869" i="6" s="1"/>
  <c r="Q1870" i="6" s="1"/>
  <c r="Q1871" i="6" s="1"/>
  <c r="Q1872" i="6"/>
  <c r="Q1873" i="6" s="1"/>
  <c r="Q1874" i="6" s="1"/>
  <c r="Q1875" i="6" s="1"/>
  <c r="Q1876" i="6" s="1"/>
  <c r="Q1877" i="6"/>
  <c r="Q1878" i="6"/>
  <c r="Q1879" i="6" s="1"/>
  <c r="Q1880" i="6" s="1"/>
  <c r="Q1881" i="6" s="1"/>
  <c r="Q1882" i="6"/>
  <c r="Q1883" i="6" s="1"/>
  <c r="Q1884" i="6" s="1"/>
  <c r="Q1885" i="6" s="1"/>
  <c r="Q1886" i="6" s="1"/>
  <c r="Q1887" i="6"/>
  <c r="Q1888" i="6"/>
  <c r="Q1889" i="6" s="1"/>
  <c r="Q1890" i="6" s="1"/>
  <c r="Q1891" i="6" s="1"/>
  <c r="Q1892" i="6"/>
  <c r="Q1893" i="6" s="1"/>
  <c r="Q1894" i="6" s="1"/>
  <c r="Q1895" i="6" s="1"/>
  <c r="Q1896" i="6" s="1"/>
  <c r="Q1897" i="6"/>
  <c r="Q1898" i="6"/>
  <c r="Q1899" i="6" s="1"/>
  <c r="Q1900" i="6" s="1"/>
  <c r="Q1901" i="6" s="1"/>
  <c r="Q1902" i="6"/>
  <c r="Q1903" i="6" s="1"/>
  <c r="Q1904" i="6" s="1"/>
  <c r="Q1905" i="6" s="1"/>
  <c r="Q1906" i="6" s="1"/>
  <c r="Q1907" i="6"/>
  <c r="Q1908" i="6"/>
  <c r="Q1909" i="6" s="1"/>
  <c r="Q1910" i="6" s="1"/>
  <c r="Q1911" i="6" s="1"/>
  <c r="Q1912" i="6"/>
  <c r="Q1913" i="6" s="1"/>
  <c r="Q1914" i="6" s="1"/>
  <c r="Q1915" i="6" s="1"/>
  <c r="Q1916" i="6" s="1"/>
  <c r="Q2" i="6"/>
  <c r="P3" i="6"/>
  <c r="P4" i="6" s="1"/>
  <c r="P5" i="6" s="1"/>
  <c r="P6" i="6" s="1"/>
  <c r="P7" i="6"/>
  <c r="P8" i="6"/>
  <c r="P9" i="6" s="1"/>
  <c r="P10" i="6" s="1"/>
  <c r="P11" i="6" s="1"/>
  <c r="P12" i="6"/>
  <c r="P13" i="6"/>
  <c r="P14" i="6" s="1"/>
  <c r="P15" i="6" s="1"/>
  <c r="P16" i="6" s="1"/>
  <c r="P17" i="6"/>
  <c r="P18" i="6"/>
  <c r="P19" i="6" s="1"/>
  <c r="P20" i="6"/>
  <c r="P21" i="6"/>
  <c r="P22" i="6"/>
  <c r="P23" i="6"/>
  <c r="P24" i="6" s="1"/>
  <c r="P25" i="6" s="1"/>
  <c r="P26" i="6"/>
  <c r="P27" i="6"/>
  <c r="P28" i="6"/>
  <c r="P29" i="6" s="1"/>
  <c r="P30" i="6" s="1"/>
  <c r="P31" i="6" s="1"/>
  <c r="P32" i="6"/>
  <c r="P33" i="6"/>
  <c r="P34" i="6"/>
  <c r="P35" i="6" s="1"/>
  <c r="P36" i="6"/>
  <c r="P37" i="6"/>
  <c r="P38" i="6" s="1"/>
  <c r="P39" i="6" s="1"/>
  <c r="P40" i="6" s="1"/>
  <c r="P41" i="6" s="1"/>
  <c r="P42" i="6"/>
  <c r="P43" i="6" s="1"/>
  <c r="P44" i="6"/>
  <c r="P45" i="6" s="1"/>
  <c r="P46" i="6" s="1"/>
  <c r="P47" i="6"/>
  <c r="P48" i="6" s="1"/>
  <c r="P49" i="6" s="1"/>
  <c r="P50" i="6"/>
  <c r="P51" i="6" s="1"/>
  <c r="P52" i="6"/>
  <c r="P53" i="6"/>
  <c r="P54" i="6" s="1"/>
  <c r="P55" i="6" s="1"/>
  <c r="P56" i="6" s="1"/>
  <c r="P57" i="6"/>
  <c r="P58" i="6"/>
  <c r="P59" i="6" s="1"/>
  <c r="P60" i="6"/>
  <c r="P61" i="6" s="1"/>
  <c r="P62" i="6"/>
  <c r="P63" i="6"/>
  <c r="P64" i="6" s="1"/>
  <c r="P65" i="6" s="1"/>
  <c r="P66" i="6" s="1"/>
  <c r="P67" i="6"/>
  <c r="P68" i="6"/>
  <c r="P69" i="6"/>
  <c r="P70" i="6" s="1"/>
  <c r="P71" i="6" s="1"/>
  <c r="P72" i="6"/>
  <c r="P73" i="6"/>
  <c r="P74" i="6"/>
  <c r="P75" i="6" s="1"/>
  <c r="P76" i="6"/>
  <c r="P77" i="6"/>
  <c r="P78" i="6" s="1"/>
  <c r="P79" i="6" s="1"/>
  <c r="P80" i="6" s="1"/>
  <c r="P81" i="6" s="1"/>
  <c r="P82" i="6"/>
  <c r="P83" i="6" s="1"/>
  <c r="P84" i="6"/>
  <c r="P85" i="6"/>
  <c r="P86" i="6" s="1"/>
  <c r="P87" i="6"/>
  <c r="P88" i="6" s="1"/>
  <c r="P89" i="6" s="1"/>
  <c r="P90" i="6" s="1"/>
  <c r="P91" i="6" s="1"/>
  <c r="P92" i="6"/>
  <c r="P93" i="6"/>
  <c r="P94" i="6" s="1"/>
  <c r="P95" i="6" s="1"/>
  <c r="P96" i="6" s="1"/>
  <c r="P97" i="6"/>
  <c r="P98" i="6"/>
  <c r="P99" i="6" s="1"/>
  <c r="P100" i="6"/>
  <c r="P101" i="6"/>
  <c r="P102" i="6"/>
  <c r="P103" i="6"/>
  <c r="P104" i="6" s="1"/>
  <c r="P105" i="6" s="1"/>
  <c r="P106" i="6"/>
  <c r="P107" i="6"/>
  <c r="P108" i="6"/>
  <c r="P109" i="6" s="1"/>
  <c r="P110" i="6" s="1"/>
  <c r="P111" i="6" s="1"/>
  <c r="P112" i="6"/>
  <c r="P113" i="6"/>
  <c r="P114" i="6"/>
  <c r="P115" i="6" s="1"/>
  <c r="P116" i="6" s="1"/>
  <c r="P117" i="6"/>
  <c r="P118" i="6" s="1"/>
  <c r="P119" i="6" s="1"/>
  <c r="P120" i="6" s="1"/>
  <c r="P121" i="6" s="1"/>
  <c r="P122" i="6"/>
  <c r="P123" i="6" s="1"/>
  <c r="P124" i="6" s="1"/>
  <c r="P125" i="6" s="1"/>
  <c r="P126" i="6" s="1"/>
  <c r="P127" i="6"/>
  <c r="P128" i="6" s="1"/>
  <c r="P129" i="6" s="1"/>
  <c r="P130" i="6"/>
  <c r="P131" i="6" s="1"/>
  <c r="P132" i="6"/>
  <c r="P133" i="6" s="1"/>
  <c r="P134" i="6" s="1"/>
  <c r="P135" i="6" s="1"/>
  <c r="P136" i="6" s="1"/>
  <c r="P137" i="6"/>
  <c r="P138" i="6"/>
  <c r="P139" i="6" s="1"/>
  <c r="P140" i="6" s="1"/>
  <c r="P141" i="6" s="1"/>
  <c r="P142" i="6"/>
  <c r="P143" i="6"/>
  <c r="P144" i="6" s="1"/>
  <c r="P145" i="6" s="1"/>
  <c r="P146" i="6"/>
  <c r="P147" i="6"/>
  <c r="P148" i="6"/>
  <c r="P149" i="6"/>
  <c r="P150" i="6" s="1"/>
  <c r="P151" i="6" s="1"/>
  <c r="P152" i="6"/>
  <c r="P153" i="6"/>
  <c r="P154" i="6"/>
  <c r="P155" i="6" s="1"/>
  <c r="P156" i="6"/>
  <c r="P157" i="6"/>
  <c r="P158" i="6" s="1"/>
  <c r="P159" i="6" s="1"/>
  <c r="P160" i="6" s="1"/>
  <c r="P161" i="6" s="1"/>
  <c r="P162" i="6"/>
  <c r="P163" i="6" s="1"/>
  <c r="P164" i="6"/>
  <c r="P165" i="6"/>
  <c r="P166" i="6" s="1"/>
  <c r="P167" i="6"/>
  <c r="P168" i="6" s="1"/>
  <c r="P169" i="6" s="1"/>
  <c r="P170" i="6" s="1"/>
  <c r="P171" i="6" s="1"/>
  <c r="P172" i="6"/>
  <c r="P173" i="6"/>
  <c r="P174" i="6" s="1"/>
  <c r="P175" i="6" s="1"/>
  <c r="P176" i="6" s="1"/>
  <c r="P177" i="6"/>
  <c r="P178" i="6"/>
  <c r="P179" i="6" s="1"/>
  <c r="P180" i="6"/>
  <c r="P181" i="6"/>
  <c r="P182" i="6"/>
  <c r="P183" i="6"/>
  <c r="P184" i="6" s="1"/>
  <c r="P185" i="6" s="1"/>
  <c r="P186" i="6"/>
  <c r="P187" i="6"/>
  <c r="P188" i="6"/>
  <c r="P189" i="6" s="1"/>
  <c r="P190" i="6" s="1"/>
  <c r="P191" i="6" s="1"/>
  <c r="P192" i="6"/>
  <c r="P193" i="6"/>
  <c r="P194" i="6"/>
  <c r="P195" i="6" s="1"/>
  <c r="P196" i="6" s="1"/>
  <c r="P197" i="6"/>
  <c r="P198" i="6" s="1"/>
  <c r="P199" i="6" s="1"/>
  <c r="P200" i="6" s="1"/>
  <c r="P201" i="6" s="1"/>
  <c r="P202" i="6"/>
  <c r="P203" i="6" s="1"/>
  <c r="P204" i="6"/>
  <c r="P205" i="6" s="1"/>
  <c r="P206" i="6" s="1"/>
  <c r="P207" i="6"/>
  <c r="P208" i="6" s="1"/>
  <c r="P209" i="6" s="1"/>
  <c r="P210" i="6"/>
  <c r="P211" i="6" s="1"/>
  <c r="P212" i="6"/>
  <c r="P213" i="6" s="1"/>
  <c r="P214" i="6" s="1"/>
  <c r="P215" i="6" s="1"/>
  <c r="P216" i="6" s="1"/>
  <c r="P217" i="6"/>
  <c r="P218" i="6"/>
  <c r="P219" i="6" s="1"/>
  <c r="P220" i="6"/>
  <c r="P221" i="6" s="1"/>
  <c r="P222" i="6"/>
  <c r="P223" i="6"/>
  <c r="P224" i="6" s="1"/>
  <c r="P225" i="6" s="1"/>
  <c r="P226" i="6" s="1"/>
  <c r="P227" i="6"/>
  <c r="P228" i="6"/>
  <c r="P229" i="6"/>
  <c r="P230" i="6" s="1"/>
  <c r="P231" i="6" s="1"/>
  <c r="P232" i="6"/>
  <c r="P233" i="6"/>
  <c r="P234" i="6"/>
  <c r="P235" i="6" s="1"/>
  <c r="P236" i="6"/>
  <c r="P237" i="6"/>
  <c r="P238" i="6" s="1"/>
  <c r="P239" i="6" s="1"/>
  <c r="P240" i="6" s="1"/>
  <c r="P241" i="6" s="1"/>
  <c r="P242" i="6"/>
  <c r="P243" i="6" s="1"/>
  <c r="P244" i="6"/>
  <c r="P245" i="6"/>
  <c r="P246" i="6" s="1"/>
  <c r="P247" i="6"/>
  <c r="P248" i="6" s="1"/>
  <c r="P249" i="6" s="1"/>
  <c r="P250" i="6" s="1"/>
  <c r="P251" i="6" s="1"/>
  <c r="P252" i="6"/>
  <c r="P253" i="6"/>
  <c r="P254" i="6" s="1"/>
  <c r="P255" i="6" s="1"/>
  <c r="P256" i="6" s="1"/>
  <c r="P257" i="6"/>
  <c r="P258" i="6"/>
  <c r="P259" i="6" s="1"/>
  <c r="P260" i="6"/>
  <c r="P261" i="6"/>
  <c r="P262" i="6"/>
  <c r="P263" i="6"/>
  <c r="P264" i="6" s="1"/>
  <c r="P265" i="6" s="1"/>
  <c r="P266" i="6"/>
  <c r="P267" i="6"/>
  <c r="P268" i="6"/>
  <c r="P269" i="6" s="1"/>
  <c r="P270" i="6" s="1"/>
  <c r="P271" i="6" s="1"/>
  <c r="P272" i="6"/>
  <c r="P273" i="6"/>
  <c r="P274" i="6"/>
  <c r="P275" i="6" s="1"/>
  <c r="P276" i="6" s="1"/>
  <c r="P277" i="6"/>
  <c r="P278" i="6" s="1"/>
  <c r="P279" i="6" s="1"/>
  <c r="P280" i="6" s="1"/>
  <c r="P281" i="6" s="1"/>
  <c r="P282" i="6"/>
  <c r="P283" i="6" s="1"/>
  <c r="P284" i="6" s="1"/>
  <c r="P285" i="6" s="1"/>
  <c r="P286" i="6" s="1"/>
  <c r="P287" i="6"/>
  <c r="P288" i="6" s="1"/>
  <c r="P289" i="6" s="1"/>
  <c r="P290" i="6"/>
  <c r="P291" i="6" s="1"/>
  <c r="P292" i="6"/>
  <c r="P293" i="6" s="1"/>
  <c r="P294" i="6" s="1"/>
  <c r="P295" i="6" s="1"/>
  <c r="P296" i="6" s="1"/>
  <c r="P297" i="6"/>
  <c r="P298" i="6"/>
  <c r="P299" i="6" s="1"/>
  <c r="P300" i="6" s="1"/>
  <c r="P301" i="6" s="1"/>
  <c r="P302" i="6"/>
  <c r="P303" i="6"/>
  <c r="P304" i="6" s="1"/>
  <c r="P305" i="6" s="1"/>
  <c r="P306" i="6"/>
  <c r="P307" i="6"/>
  <c r="P308" i="6"/>
  <c r="P309" i="6"/>
  <c r="P310" i="6" s="1"/>
  <c r="P311" i="6" s="1"/>
  <c r="P312" i="6"/>
  <c r="P313" i="6"/>
  <c r="P314" i="6"/>
  <c r="P315" i="6" s="1"/>
  <c r="P316" i="6"/>
  <c r="P317" i="6"/>
  <c r="P318" i="6" s="1"/>
  <c r="P319" i="6" s="1"/>
  <c r="P320" i="6" s="1"/>
  <c r="P321" i="6" s="1"/>
  <c r="P322" i="6"/>
  <c r="P323" i="6" s="1"/>
  <c r="P324" i="6"/>
  <c r="P325" i="6"/>
  <c r="P326" i="6" s="1"/>
  <c r="P327" i="6"/>
  <c r="P328" i="6" s="1"/>
  <c r="P329" i="6" s="1"/>
  <c r="P330" i="6" s="1"/>
  <c r="P331" i="6" s="1"/>
  <c r="P332" i="6"/>
  <c r="P333" i="6"/>
  <c r="P334" i="6" s="1"/>
  <c r="P335" i="6" s="1"/>
  <c r="P336" i="6" s="1"/>
  <c r="P337" i="6"/>
  <c r="P338" i="6"/>
  <c r="P339" i="6" s="1"/>
  <c r="P340" i="6"/>
  <c r="P341" i="6"/>
  <c r="P342" i="6"/>
  <c r="P343" i="6"/>
  <c r="P344" i="6" s="1"/>
  <c r="P345" i="6" s="1"/>
  <c r="P346" i="6"/>
  <c r="P347" i="6"/>
  <c r="P348" i="6"/>
  <c r="P349" i="6" s="1"/>
  <c r="P350" i="6" s="1"/>
  <c r="P351" i="6" s="1"/>
  <c r="P352" i="6"/>
  <c r="P353" i="6"/>
  <c r="P354" i="6"/>
  <c r="P355" i="6" s="1"/>
  <c r="P356" i="6" s="1"/>
  <c r="P357" i="6"/>
  <c r="P358" i="6" s="1"/>
  <c r="P359" i="6" s="1"/>
  <c r="P360" i="6" s="1"/>
  <c r="P361" i="6" s="1"/>
  <c r="P362" i="6"/>
  <c r="P363" i="6" s="1"/>
  <c r="P364" i="6"/>
  <c r="P365" i="6" s="1"/>
  <c r="P366" i="6" s="1"/>
  <c r="P367" i="6"/>
  <c r="P368" i="6" s="1"/>
  <c r="P369" i="6" s="1"/>
  <c r="P370" i="6"/>
  <c r="P371" i="6" s="1"/>
  <c r="P372" i="6"/>
  <c r="P373" i="6" s="1"/>
  <c r="P374" i="6" s="1"/>
  <c r="P375" i="6" s="1"/>
  <c r="P376" i="6" s="1"/>
  <c r="P377" i="6"/>
  <c r="P378" i="6"/>
  <c r="P379" i="6" s="1"/>
  <c r="P380" i="6"/>
  <c r="P381" i="6" s="1"/>
  <c r="P382" i="6"/>
  <c r="P383" i="6"/>
  <c r="P384" i="6" s="1"/>
  <c r="P385" i="6" s="1"/>
  <c r="P386" i="6" s="1"/>
  <c r="P387" i="6"/>
  <c r="P388" i="6"/>
  <c r="P389" i="6"/>
  <c r="P390" i="6" s="1"/>
  <c r="P391" i="6" s="1"/>
  <c r="P392" i="6"/>
  <c r="P393" i="6"/>
  <c r="P394" i="6"/>
  <c r="P395" i="6" s="1"/>
  <c r="P396" i="6"/>
  <c r="P397" i="6"/>
  <c r="P398" i="6" s="1"/>
  <c r="P399" i="6" s="1"/>
  <c r="P400" i="6" s="1"/>
  <c r="P401" i="6" s="1"/>
  <c r="P402" i="6"/>
  <c r="P403" i="6" s="1"/>
  <c r="P404" i="6"/>
  <c r="P405" i="6"/>
  <c r="P406" i="6" s="1"/>
  <c r="P407" i="6"/>
  <c r="P408" i="6" s="1"/>
  <c r="P409" i="6" s="1"/>
  <c r="P410" i="6" s="1"/>
  <c r="P411" i="6" s="1"/>
  <c r="P412" i="6"/>
  <c r="P413" i="6"/>
  <c r="P414" i="6" s="1"/>
  <c r="P415" i="6" s="1"/>
  <c r="P416" i="6" s="1"/>
  <c r="P417" i="6"/>
  <c r="P418" i="6"/>
  <c r="P419" i="6" s="1"/>
  <c r="P420" i="6"/>
  <c r="P421" i="6"/>
  <c r="P422" i="6"/>
  <c r="P423" i="6"/>
  <c r="P424" i="6" s="1"/>
  <c r="P425" i="6" s="1"/>
  <c r="P426" i="6"/>
  <c r="P427" i="6"/>
  <c r="P428" i="6"/>
  <c r="P429" i="6" s="1"/>
  <c r="P430" i="6" s="1"/>
  <c r="P431" i="6" s="1"/>
  <c r="P432" i="6"/>
  <c r="P433" i="6"/>
  <c r="P434" i="6"/>
  <c r="P435" i="6" s="1"/>
  <c r="P436" i="6" s="1"/>
  <c r="P437" i="6"/>
  <c r="P438" i="6" s="1"/>
  <c r="P439" i="6" s="1"/>
  <c r="P440" i="6" s="1"/>
  <c r="P441" i="6" s="1"/>
  <c r="P442" i="6"/>
  <c r="P443" i="6" s="1"/>
  <c r="P444" i="6"/>
  <c r="P445" i="6" s="1"/>
  <c r="P446" i="6" s="1"/>
  <c r="P447" i="6"/>
  <c r="P448" i="6" s="1"/>
  <c r="P449" i="6" s="1"/>
  <c r="P450" i="6"/>
  <c r="P451" i="6" s="1"/>
  <c r="P452" i="6"/>
  <c r="P453" i="6" s="1"/>
  <c r="P454" i="6" s="1"/>
  <c r="P455" i="6" s="1"/>
  <c r="P456" i="6" s="1"/>
  <c r="P457" i="6"/>
  <c r="P458" i="6"/>
  <c r="P459" i="6" s="1"/>
  <c r="P460" i="6"/>
  <c r="P461" i="6" s="1"/>
  <c r="P462" i="6"/>
  <c r="P463" i="6"/>
  <c r="P464" i="6" s="1"/>
  <c r="P465" i="6" s="1"/>
  <c r="P466" i="6"/>
  <c r="P467" i="6"/>
  <c r="P468" i="6"/>
  <c r="P469" i="6"/>
  <c r="P470" i="6" s="1"/>
  <c r="P471" i="6" s="1"/>
  <c r="P472" i="6"/>
  <c r="P473" i="6"/>
  <c r="P474" i="6"/>
  <c r="P475" i="6" s="1"/>
  <c r="P476" i="6"/>
  <c r="P477" i="6"/>
  <c r="P478" i="6" s="1"/>
  <c r="P479" i="6" s="1"/>
  <c r="P480" i="6" s="1"/>
  <c r="P481" i="6" s="1"/>
  <c r="P482" i="6"/>
  <c r="P483" i="6" s="1"/>
  <c r="P484" i="6"/>
  <c r="P485" i="6"/>
  <c r="P486" i="6" s="1"/>
  <c r="P487" i="6"/>
  <c r="P488" i="6" s="1"/>
  <c r="P489" i="6" s="1"/>
  <c r="P490" i="6" s="1"/>
  <c r="P491" i="6" s="1"/>
  <c r="P492" i="6"/>
  <c r="P493" i="6"/>
  <c r="P494" i="6" s="1"/>
  <c r="P495" i="6" s="1"/>
  <c r="P496" i="6" s="1"/>
  <c r="P497" i="6"/>
  <c r="P498" i="6"/>
  <c r="P499" i="6" s="1"/>
  <c r="P500" i="6"/>
  <c r="P501" i="6"/>
  <c r="P502" i="6"/>
  <c r="P503" i="6"/>
  <c r="P504" i="6" s="1"/>
  <c r="P505" i="6" s="1"/>
  <c r="P506" i="6"/>
  <c r="P507" i="6"/>
  <c r="P508" i="6"/>
  <c r="P509" i="6" s="1"/>
  <c r="P510" i="6" s="1"/>
  <c r="P511" i="6" s="1"/>
  <c r="P512" i="6"/>
  <c r="P513" i="6"/>
  <c r="P514" i="6"/>
  <c r="P515" i="6" s="1"/>
  <c r="P516" i="6" s="1"/>
  <c r="P517" i="6"/>
  <c r="P518" i="6" s="1"/>
  <c r="P519" i="6" s="1"/>
  <c r="P520" i="6" s="1"/>
  <c r="P521" i="6" s="1"/>
  <c r="P522" i="6"/>
  <c r="P523" i="6" s="1"/>
  <c r="P524" i="6"/>
  <c r="P525" i="6" s="1"/>
  <c r="P526" i="6" s="1"/>
  <c r="P527" i="6"/>
  <c r="P528" i="6" s="1"/>
  <c r="P529" i="6" s="1"/>
  <c r="P530" i="6"/>
  <c r="P531" i="6" s="1"/>
  <c r="P532" i="6"/>
  <c r="P533" i="6" s="1"/>
  <c r="P534" i="6" s="1"/>
  <c r="P535" i="6" s="1"/>
  <c r="P536" i="6" s="1"/>
  <c r="P537" i="6"/>
  <c r="P538" i="6"/>
  <c r="P539" i="6" s="1"/>
  <c r="P540" i="6"/>
  <c r="P541" i="6" s="1"/>
  <c r="P542" i="6"/>
  <c r="P543" i="6"/>
  <c r="P544" i="6" s="1"/>
  <c r="P545" i="6" s="1"/>
  <c r="P546" i="6"/>
  <c r="P547" i="6"/>
  <c r="P548" i="6"/>
  <c r="P549" i="6"/>
  <c r="P550" i="6" s="1"/>
  <c r="P551" i="6" s="1"/>
  <c r="P552" i="6"/>
  <c r="P553" i="6"/>
  <c r="P554" i="6"/>
  <c r="P555" i="6" s="1"/>
  <c r="P556" i="6"/>
  <c r="P557" i="6"/>
  <c r="P558" i="6" s="1"/>
  <c r="P559" i="6" s="1"/>
  <c r="P560" i="6" s="1"/>
  <c r="P561" i="6" s="1"/>
  <c r="P562" i="6"/>
  <c r="P563" i="6" s="1"/>
  <c r="P564" i="6"/>
  <c r="P565" i="6"/>
  <c r="P566" i="6" s="1"/>
  <c r="P567" i="6"/>
  <c r="P568" i="6" s="1"/>
  <c r="P569" i="6" s="1"/>
  <c r="P570" i="6" s="1"/>
  <c r="P571" i="6" s="1"/>
  <c r="P572" i="6"/>
  <c r="P573" i="6"/>
  <c r="P574" i="6" s="1"/>
  <c r="P575" i="6" s="1"/>
  <c r="P576" i="6" s="1"/>
  <c r="P577" i="6"/>
  <c r="P578" i="6"/>
  <c r="P579" i="6" s="1"/>
  <c r="P580" i="6"/>
  <c r="P581" i="6"/>
  <c r="P582" i="6"/>
  <c r="P583" i="6"/>
  <c r="P584" i="6" s="1"/>
  <c r="P585" i="6" s="1"/>
  <c r="P586" i="6"/>
  <c r="P587" i="6"/>
  <c r="P588" i="6"/>
  <c r="P589" i="6" s="1"/>
  <c r="P590" i="6" s="1"/>
  <c r="P591" i="6" s="1"/>
  <c r="P592" i="6"/>
  <c r="P593" i="6"/>
  <c r="P594" i="6"/>
  <c r="P595" i="6" s="1"/>
  <c r="P596" i="6" s="1"/>
  <c r="P597" i="6"/>
  <c r="P598" i="6" s="1"/>
  <c r="P599" i="6" s="1"/>
  <c r="P600" i="6" s="1"/>
  <c r="P601" i="6" s="1"/>
  <c r="P602" i="6"/>
  <c r="P603" i="6" s="1"/>
  <c r="P604" i="6"/>
  <c r="P605" i="6" s="1"/>
  <c r="P606" i="6" s="1"/>
  <c r="P607" i="6"/>
  <c r="P608" i="6" s="1"/>
  <c r="P609" i="6" s="1"/>
  <c r="P610" i="6"/>
  <c r="P611" i="6" s="1"/>
  <c r="P612" i="6"/>
  <c r="P613" i="6" s="1"/>
  <c r="P614" i="6" s="1"/>
  <c r="P615" i="6" s="1"/>
  <c r="P616" i="6" s="1"/>
  <c r="P617" i="6"/>
  <c r="P618" i="6"/>
  <c r="P619" i="6" s="1"/>
  <c r="P620" i="6"/>
  <c r="P621" i="6" s="1"/>
  <c r="P622" i="6"/>
  <c r="P623" i="6"/>
  <c r="P624" i="6" s="1"/>
  <c r="P625" i="6" s="1"/>
  <c r="P626" i="6"/>
  <c r="P627" i="6"/>
  <c r="P628" i="6"/>
  <c r="P629" i="6"/>
  <c r="P630" i="6" s="1"/>
  <c r="P631" i="6" s="1"/>
  <c r="P632" i="6"/>
  <c r="P633" i="6"/>
  <c r="P634" i="6"/>
  <c r="P635" i="6" s="1"/>
  <c r="P636" i="6"/>
  <c r="P637" i="6"/>
  <c r="P638" i="6" s="1"/>
  <c r="P639" i="6" s="1"/>
  <c r="P640" i="6" s="1"/>
  <c r="P641" i="6" s="1"/>
  <c r="P642" i="6"/>
  <c r="P643" i="6" s="1"/>
  <c r="P644" i="6"/>
  <c r="P645" i="6"/>
  <c r="P646" i="6" s="1"/>
  <c r="P647" i="6"/>
  <c r="P648" i="6" s="1"/>
  <c r="P649" i="6" s="1"/>
  <c r="P650" i="6" s="1"/>
  <c r="P651" i="6" s="1"/>
  <c r="P652" i="6"/>
  <c r="P653" i="6"/>
  <c r="P654" i="6" s="1"/>
  <c r="P655" i="6"/>
  <c r="P656" i="6" s="1"/>
  <c r="P657" i="6"/>
  <c r="P658" i="6"/>
  <c r="P659" i="6" s="1"/>
  <c r="P660" i="6"/>
  <c r="P661" i="6"/>
  <c r="P662" i="6"/>
  <c r="P663" i="6"/>
  <c r="P664" i="6" s="1"/>
  <c r="P665" i="6" s="1"/>
  <c r="P666" i="6"/>
  <c r="P667" i="6"/>
  <c r="P668" i="6"/>
  <c r="P669" i="6"/>
  <c r="P670" i="6" s="1"/>
  <c r="P671" i="6"/>
  <c r="P672" i="6"/>
  <c r="P673" i="6" s="1"/>
  <c r="P674" i="6" s="1"/>
  <c r="P675" i="6" s="1"/>
  <c r="P676" i="6" s="1"/>
  <c r="P677" i="6"/>
  <c r="P678" i="6" s="1"/>
  <c r="P679" i="6"/>
  <c r="P680" i="6" s="1"/>
  <c r="P681" i="6" s="1"/>
  <c r="P682" i="6"/>
  <c r="P683" i="6" s="1"/>
  <c r="P684" i="6"/>
  <c r="P685" i="6"/>
  <c r="P686" i="6" s="1"/>
  <c r="P687" i="6"/>
  <c r="P688" i="6"/>
  <c r="P689" i="6" s="1"/>
  <c r="P690" i="6"/>
  <c r="P691" i="6" s="1"/>
  <c r="P692" i="6"/>
  <c r="P693" i="6" s="1"/>
  <c r="P694" i="6" s="1"/>
  <c r="P695" i="6" s="1"/>
  <c r="P696" i="6" s="1"/>
  <c r="P697" i="6"/>
  <c r="P698" i="6"/>
  <c r="P699" i="6" s="1"/>
  <c r="P700" i="6"/>
  <c r="P701" i="6"/>
  <c r="P702" i="6"/>
  <c r="P703" i="6"/>
  <c r="P704" i="6"/>
  <c r="P705" i="6" s="1"/>
  <c r="P706" i="6"/>
  <c r="P707" i="6"/>
  <c r="P708" i="6"/>
  <c r="P709" i="6"/>
  <c r="P710" i="6" s="1"/>
  <c r="P711" i="6"/>
  <c r="P712" i="6"/>
  <c r="P713" i="6" s="1"/>
  <c r="P714" i="6" s="1"/>
  <c r="P715" i="6" s="1"/>
  <c r="P716" i="6" s="1"/>
  <c r="P717" i="6"/>
  <c r="P718" i="6" s="1"/>
  <c r="P719" i="6"/>
  <c r="P720" i="6" s="1"/>
  <c r="P721" i="6" s="1"/>
  <c r="P722" i="6"/>
  <c r="P723" i="6" s="1"/>
  <c r="P724" i="6"/>
  <c r="P725" i="6"/>
  <c r="P726" i="6" s="1"/>
  <c r="P727" i="6"/>
  <c r="P728" i="6"/>
  <c r="P729" i="6" s="1"/>
  <c r="P730" i="6"/>
  <c r="P731" i="6" s="1"/>
  <c r="P732" i="6"/>
  <c r="P733" i="6" s="1"/>
  <c r="P734" i="6" s="1"/>
  <c r="P735" i="6" s="1"/>
  <c r="P736" i="6" s="1"/>
  <c r="P737" i="6"/>
  <c r="P738" i="6"/>
  <c r="P739" i="6" s="1"/>
  <c r="P740" i="6"/>
  <c r="P741" i="6"/>
  <c r="P742" i="6"/>
  <c r="P743" i="6"/>
  <c r="P744" i="6" s="1"/>
  <c r="P745" i="6" s="1"/>
  <c r="P746" i="6" s="1"/>
  <c r="P747" i="6"/>
  <c r="P748" i="6"/>
  <c r="P749" i="6"/>
  <c r="P750" i="6"/>
  <c r="P751" i="6"/>
  <c r="P752" i="6"/>
  <c r="P753" i="6" s="1"/>
  <c r="P754" i="6" s="1"/>
  <c r="P755" i="6" s="1"/>
  <c r="P756" i="6" s="1"/>
  <c r="P757" i="6"/>
  <c r="P758" i="6" s="1"/>
  <c r="P759" i="6" s="1"/>
  <c r="P760" i="6" s="1"/>
  <c r="P761" i="6" s="1"/>
  <c r="P762" i="6"/>
  <c r="P763" i="6" s="1"/>
  <c r="P764" i="6" s="1"/>
  <c r="P765" i="6" s="1"/>
  <c r="P766" i="6" s="1"/>
  <c r="P767" i="6"/>
  <c r="P768" i="6" s="1"/>
  <c r="P769" i="6" s="1"/>
  <c r="P770" i="6" s="1"/>
  <c r="P771" i="6" s="1"/>
  <c r="P772" i="6"/>
  <c r="P773" i="6"/>
  <c r="P774" i="6" s="1"/>
  <c r="P775" i="6" s="1"/>
  <c r="P776" i="6" s="1"/>
  <c r="P777" i="6"/>
  <c r="P778" i="6" s="1"/>
  <c r="P779" i="6" s="1"/>
  <c r="P780" i="6" s="1"/>
  <c r="P781" i="6" s="1"/>
  <c r="P782" i="6"/>
  <c r="P783" i="6" s="1"/>
  <c r="P784" i="6" s="1"/>
  <c r="P785" i="6" s="1"/>
  <c r="P786" i="6"/>
  <c r="P787" i="6"/>
  <c r="P788" i="6"/>
  <c r="P789" i="6"/>
  <c r="P790" i="6"/>
  <c r="P791" i="6" s="1"/>
  <c r="P792" i="6"/>
  <c r="P793" i="6"/>
  <c r="P794" i="6" s="1"/>
  <c r="P795" i="6" s="1"/>
  <c r="P796" i="6" s="1"/>
  <c r="P797" i="6"/>
  <c r="P798" i="6"/>
  <c r="P799" i="6"/>
  <c r="P800" i="6" s="1"/>
  <c r="P801" i="6" s="1"/>
  <c r="P802" i="6"/>
  <c r="P803" i="6" s="1"/>
  <c r="P804" i="6" s="1"/>
  <c r="P805" i="6" s="1"/>
  <c r="P806" i="6" s="1"/>
  <c r="P807" i="6"/>
  <c r="P808" i="6"/>
  <c r="P809" i="6" s="1"/>
  <c r="P810" i="6" s="1"/>
  <c r="P811" i="6" s="1"/>
  <c r="P812" i="6"/>
  <c r="P813" i="6"/>
  <c r="P814" i="6" s="1"/>
  <c r="P815" i="6" s="1"/>
  <c r="P816" i="6" s="1"/>
  <c r="P817" i="6"/>
  <c r="P818" i="6" s="1"/>
  <c r="P819" i="6" s="1"/>
  <c r="P820" i="6" s="1"/>
  <c r="P821" i="6"/>
  <c r="P822" i="6"/>
  <c r="P823" i="6" s="1"/>
  <c r="P824" i="6" s="1"/>
  <c r="P825" i="6" s="1"/>
  <c r="P826" i="6" s="1"/>
  <c r="P827" i="6"/>
  <c r="P828" i="6"/>
  <c r="P829" i="6"/>
  <c r="P830" i="6"/>
  <c r="P831" i="6" s="1"/>
  <c r="P832" i="6"/>
  <c r="P833" i="6"/>
  <c r="P834" i="6"/>
  <c r="P835" i="6" s="1"/>
  <c r="P836" i="6" s="1"/>
  <c r="P837" i="6"/>
  <c r="P838" i="6"/>
  <c r="P839" i="6"/>
  <c r="P840" i="6" s="1"/>
  <c r="P841" i="6" s="1"/>
  <c r="P842" i="6"/>
  <c r="P843" i="6" s="1"/>
  <c r="P844" i="6"/>
  <c r="P845" i="6" s="1"/>
  <c r="P846" i="6" s="1"/>
  <c r="P847" i="6"/>
  <c r="P848" i="6"/>
  <c r="P849" i="6" s="1"/>
  <c r="P850" i="6" s="1"/>
  <c r="P851" i="6" s="1"/>
  <c r="P852" i="6"/>
  <c r="P853" i="6"/>
  <c r="P854" i="6" s="1"/>
  <c r="P855" i="6" s="1"/>
  <c r="P856" i="6"/>
  <c r="P857" i="6"/>
  <c r="P858" i="6" s="1"/>
  <c r="P859" i="6" s="1"/>
  <c r="P860" i="6" s="1"/>
  <c r="P861" i="6" s="1"/>
  <c r="P862" i="6"/>
  <c r="P863" i="6" s="1"/>
  <c r="P864" i="6" s="1"/>
  <c r="P865" i="6" s="1"/>
  <c r="P866" i="6" s="1"/>
  <c r="P867" i="6"/>
  <c r="P868" i="6"/>
  <c r="P869" i="6"/>
  <c r="P870" i="6" s="1"/>
  <c r="P871" i="6" s="1"/>
  <c r="P872" i="6"/>
  <c r="P873" i="6" s="1"/>
  <c r="P874" i="6" s="1"/>
  <c r="P875" i="6" s="1"/>
  <c r="P876" i="6" s="1"/>
  <c r="P877" i="6"/>
  <c r="P878" i="6" s="1"/>
  <c r="P879" i="6" s="1"/>
  <c r="P880" i="6" s="1"/>
  <c r="P881" i="6" s="1"/>
  <c r="P882" i="6"/>
  <c r="P883" i="6"/>
  <c r="P884" i="6"/>
  <c r="P885" i="6"/>
  <c r="P886" i="6" s="1"/>
  <c r="P887" i="6"/>
  <c r="P888" i="6"/>
  <c r="P889" i="6" s="1"/>
  <c r="P890" i="6" s="1"/>
  <c r="P891" i="6" s="1"/>
  <c r="P892" i="6"/>
  <c r="P893" i="6"/>
  <c r="P894" i="6" s="1"/>
  <c r="P895" i="6" s="1"/>
  <c r="P896" i="6" s="1"/>
  <c r="P897" i="6"/>
  <c r="P898" i="6" s="1"/>
  <c r="P899" i="6" s="1"/>
  <c r="P900" i="6" s="1"/>
  <c r="P901" i="6"/>
  <c r="P902" i="6"/>
  <c r="P903" i="6" s="1"/>
  <c r="P904" i="6"/>
  <c r="P905" i="6" s="1"/>
  <c r="P906" i="6" s="1"/>
  <c r="P907" i="6"/>
  <c r="P908" i="6"/>
  <c r="P909" i="6"/>
  <c r="P910" i="6" s="1"/>
  <c r="P911" i="6" s="1"/>
  <c r="P912" i="6"/>
  <c r="P913" i="6"/>
  <c r="P914" i="6" s="1"/>
  <c r="P915" i="6" s="1"/>
  <c r="P916" i="6" s="1"/>
  <c r="P917" i="6"/>
  <c r="P918" i="6" s="1"/>
  <c r="P919" i="6" s="1"/>
  <c r="P920" i="6"/>
  <c r="P921" i="6" s="1"/>
  <c r="P922" i="6"/>
  <c r="P923" i="6"/>
  <c r="P924" i="6"/>
  <c r="P925" i="6"/>
  <c r="P926" i="6" s="1"/>
  <c r="P927" i="6"/>
  <c r="P928" i="6"/>
  <c r="P929" i="6"/>
  <c r="P930" i="6" s="1"/>
  <c r="P931" i="6" s="1"/>
  <c r="P932" i="6"/>
  <c r="P933" i="6"/>
  <c r="P934" i="6" s="1"/>
  <c r="P935" i="6" s="1"/>
  <c r="P936" i="6" s="1"/>
  <c r="P937" i="6"/>
  <c r="P938" i="6" s="1"/>
  <c r="P939" i="6" s="1"/>
  <c r="P940" i="6" s="1"/>
  <c r="P941" i="6"/>
  <c r="P942" i="6"/>
  <c r="P943" i="6" s="1"/>
  <c r="P944" i="6"/>
  <c r="P945" i="6" s="1"/>
  <c r="P946" i="6" s="1"/>
  <c r="P947" i="6"/>
  <c r="P948" i="6"/>
  <c r="P949" i="6"/>
  <c r="P950" i="6"/>
  <c r="P951" i="6" s="1"/>
  <c r="P952" i="6"/>
  <c r="P953" i="6" s="1"/>
  <c r="P954" i="6" s="1"/>
  <c r="P955" i="6" s="1"/>
  <c r="P956" i="6" s="1"/>
  <c r="P957" i="6"/>
  <c r="P958" i="6" s="1"/>
  <c r="P959" i="6" s="1"/>
  <c r="P960" i="6" s="1"/>
  <c r="P961" i="6" s="1"/>
  <c r="P962" i="6"/>
  <c r="P963" i="6"/>
  <c r="P964" i="6"/>
  <c r="P965" i="6"/>
  <c r="P966" i="6"/>
  <c r="P967" i="6"/>
  <c r="P968" i="6"/>
  <c r="P969" i="6" s="1"/>
  <c r="P970" i="6" s="1"/>
  <c r="P971" i="6" s="1"/>
  <c r="P972" i="6"/>
  <c r="P973" i="6"/>
  <c r="P974" i="6"/>
  <c r="P975" i="6" s="1"/>
  <c r="P976" i="6" s="1"/>
  <c r="P977" i="6"/>
  <c r="P978" i="6" s="1"/>
  <c r="P979" i="6" s="1"/>
  <c r="P980" i="6" s="1"/>
  <c r="P981" i="6" s="1"/>
  <c r="P982" i="6"/>
  <c r="P983" i="6" s="1"/>
  <c r="P984" i="6" s="1"/>
  <c r="P985" i="6" s="1"/>
  <c r="P986" i="6" s="1"/>
  <c r="P987" i="6"/>
  <c r="P988" i="6"/>
  <c r="P989" i="6"/>
  <c r="P990" i="6"/>
  <c r="P991" i="6" s="1"/>
  <c r="P992" i="6"/>
  <c r="P993" i="6"/>
  <c r="P994" i="6" s="1"/>
  <c r="P995" i="6" s="1"/>
  <c r="P996" i="6" s="1"/>
  <c r="P997" i="6"/>
  <c r="P998" i="6" s="1"/>
  <c r="P999" i="6" s="1"/>
  <c r="P1000" i="6" s="1"/>
  <c r="P1001" i="6" s="1"/>
  <c r="P1002" i="6"/>
  <c r="P1003" i="6"/>
  <c r="P1004" i="6"/>
  <c r="P1005" i="6"/>
  <c r="P1006" i="6" s="1"/>
  <c r="P1007" i="6"/>
  <c r="P1008" i="6"/>
  <c r="P1009" i="6"/>
  <c r="P1010" i="6" s="1"/>
  <c r="P1011" i="6" s="1"/>
  <c r="P1012" i="6"/>
  <c r="P1013" i="6"/>
  <c r="P1014" i="6" s="1"/>
  <c r="P1015" i="6" s="1"/>
  <c r="P1016" i="6" s="1"/>
  <c r="P1017" i="6"/>
  <c r="P1018" i="6" s="1"/>
  <c r="P1019" i="6" s="1"/>
  <c r="P1020" i="6" s="1"/>
  <c r="P1021" i="6" s="1"/>
  <c r="P1022" i="6"/>
  <c r="P1023" i="6" s="1"/>
  <c r="P1024" i="6"/>
  <c r="P1025" i="6" s="1"/>
  <c r="P1026" i="6" s="1"/>
  <c r="P1027" i="6"/>
  <c r="P1028" i="6"/>
  <c r="P1029" i="6"/>
  <c r="P1030" i="6" s="1"/>
  <c r="P1031" i="6" s="1"/>
  <c r="P1032" i="6"/>
  <c r="P1033" i="6"/>
  <c r="P1034" i="6" s="1"/>
  <c r="P1035" i="6" s="1"/>
  <c r="P1036" i="6" s="1"/>
  <c r="P1037" i="6"/>
  <c r="P1038" i="6" s="1"/>
  <c r="P1039" i="6" s="1"/>
  <c r="P1040" i="6" s="1"/>
  <c r="P1041" i="6" s="1"/>
  <c r="P1042" i="6"/>
  <c r="P1043" i="6"/>
  <c r="P1044" i="6"/>
  <c r="P1045" i="6"/>
  <c r="P1046" i="6"/>
  <c r="P1047" i="6"/>
  <c r="P1048" i="6"/>
  <c r="P1049" i="6" s="1"/>
  <c r="P1050" i="6" s="1"/>
  <c r="P1051" i="6" s="1"/>
  <c r="P1052" i="6"/>
  <c r="P1053" i="6"/>
  <c r="P1054" i="6" s="1"/>
  <c r="P1055" i="6" s="1"/>
  <c r="P1056" i="6" s="1"/>
  <c r="P1057" i="6"/>
  <c r="P1058" i="6" s="1"/>
  <c r="P1059" i="6" s="1"/>
  <c r="P1060" i="6" s="1"/>
  <c r="P1061" i="6" s="1"/>
  <c r="P1062" i="6"/>
  <c r="P1063" i="6" s="1"/>
  <c r="P1064" i="6" s="1"/>
  <c r="P1065" i="6" s="1"/>
  <c r="P1066" i="6" s="1"/>
  <c r="P1067" i="6"/>
  <c r="P1068" i="6"/>
  <c r="P1069" i="6"/>
  <c r="P1070" i="6"/>
  <c r="P1071" i="6" s="1"/>
  <c r="P1072" i="6"/>
  <c r="P1073" i="6"/>
  <c r="P1074" i="6" s="1"/>
  <c r="P1075" i="6" s="1"/>
  <c r="P1076" i="6" s="1"/>
  <c r="P1077" i="6"/>
  <c r="P1078" i="6"/>
  <c r="P1079" i="6" s="1"/>
  <c r="P1080" i="6" s="1"/>
  <c r="P1081" i="6" s="1"/>
  <c r="P1082" i="6"/>
  <c r="P1083" i="6"/>
  <c r="P1084" i="6"/>
  <c r="P1085" i="6"/>
  <c r="P1086" i="6" s="1"/>
  <c r="P1087" i="6"/>
  <c r="P1088" i="6"/>
  <c r="P1089" i="6" s="1"/>
  <c r="P1090" i="6" s="1"/>
  <c r="P1091" i="6" s="1"/>
  <c r="P1092" i="6"/>
  <c r="P1093" i="6"/>
  <c r="P1094" i="6" s="1"/>
  <c r="P1095" i="6" s="1"/>
  <c r="P1096" i="6" s="1"/>
  <c r="P1097" i="6"/>
  <c r="P1098" i="6" s="1"/>
  <c r="P1099" i="6" s="1"/>
  <c r="P1100" i="6" s="1"/>
  <c r="P1101" i="6"/>
  <c r="P1102" i="6"/>
  <c r="P1103" i="6" s="1"/>
  <c r="P1104" i="6" s="1"/>
  <c r="P1105" i="6" s="1"/>
  <c r="P1106" i="6" s="1"/>
  <c r="P1107" i="6"/>
  <c r="P1108" i="6"/>
  <c r="P1109" i="6"/>
  <c r="P1110" i="6" s="1"/>
  <c r="P1111" i="6" s="1"/>
  <c r="P1112" i="6"/>
  <c r="P1113" i="6" s="1"/>
  <c r="P1114" i="6" s="1"/>
  <c r="P1115" i="6" s="1"/>
  <c r="P1116" i="6" s="1"/>
  <c r="P1117" i="6"/>
  <c r="P1118" i="6"/>
  <c r="P1119" i="6" s="1"/>
  <c r="P1120" i="6"/>
  <c r="P1121" i="6" s="1"/>
  <c r="P1122" i="6"/>
  <c r="P1123" i="6"/>
  <c r="P1124" i="6"/>
  <c r="P1125" i="6"/>
  <c r="P1126" i="6" s="1"/>
  <c r="P1127" i="6"/>
  <c r="P1128" i="6"/>
  <c r="P1129" i="6" s="1"/>
  <c r="P1130" i="6" s="1"/>
  <c r="P1131" i="6" s="1"/>
  <c r="P1132" i="6"/>
  <c r="P1133" i="6"/>
  <c r="P1134" i="6"/>
  <c r="P1135" i="6" s="1"/>
  <c r="P1136" i="6" s="1"/>
  <c r="P1137" i="6"/>
  <c r="P1138" i="6" s="1"/>
  <c r="P1139" i="6" s="1"/>
  <c r="P1140" i="6" s="1"/>
  <c r="P1141" i="6"/>
  <c r="P1142" i="6"/>
  <c r="P1143" i="6" s="1"/>
  <c r="P1144" i="6" s="1"/>
  <c r="P1145" i="6" s="1"/>
  <c r="P1146" i="6" s="1"/>
  <c r="P1147" i="6"/>
  <c r="P1148" i="6"/>
  <c r="P1149" i="6"/>
  <c r="P1150" i="6" s="1"/>
  <c r="P1151" i="6" s="1"/>
  <c r="P1152" i="6"/>
  <c r="P1153" i="6"/>
  <c r="P1154" i="6" s="1"/>
  <c r="P1155" i="6" s="1"/>
  <c r="P1156" i="6" s="1"/>
  <c r="P1157" i="6"/>
  <c r="P1158" i="6"/>
  <c r="P1159" i="6" s="1"/>
  <c r="P1160" i="6" s="1"/>
  <c r="P1161" i="6" s="1"/>
  <c r="P1162" i="6"/>
  <c r="P1163" i="6"/>
  <c r="P1164" i="6"/>
  <c r="P1165" i="6"/>
  <c r="P1166" i="6" s="1"/>
  <c r="P1167" i="6"/>
  <c r="P1168" i="6"/>
  <c r="P1169" i="6"/>
  <c r="P1170" i="6" s="1"/>
  <c r="P1171" i="6" s="1"/>
  <c r="P1172" i="6"/>
  <c r="P1173" i="6"/>
  <c r="P1174" i="6"/>
  <c r="P1175" i="6" s="1"/>
  <c r="P1176" i="6"/>
  <c r="P1177" i="6"/>
  <c r="P1178" i="6" s="1"/>
  <c r="P1179" i="6" s="1"/>
  <c r="P1180" i="6" s="1"/>
  <c r="P1181" i="6"/>
  <c r="P1182" i="6"/>
  <c r="P1183" i="6" s="1"/>
  <c r="P1184" i="6"/>
  <c r="P1185" i="6" s="1"/>
  <c r="P1186" i="6" s="1"/>
  <c r="P1187" i="6"/>
  <c r="P1188" i="6"/>
  <c r="P1189" i="6"/>
  <c r="P1190" i="6" s="1"/>
  <c r="P1191" i="6" s="1"/>
  <c r="P1192" i="6"/>
  <c r="P1193" i="6" s="1"/>
  <c r="P1194" i="6" s="1"/>
  <c r="P1195" i="6" s="1"/>
  <c r="P1196" i="6" s="1"/>
  <c r="P1197" i="6"/>
  <c r="P1198" i="6" s="1"/>
  <c r="P1199" i="6" s="1"/>
  <c r="P1200" i="6" s="1"/>
  <c r="P1201" i="6" s="1"/>
  <c r="P1202" i="6"/>
  <c r="P1203" i="6" s="1"/>
  <c r="P1204" i="6" s="1"/>
  <c r="P1205" i="6" s="1"/>
  <c r="P1206" i="6" s="1"/>
  <c r="P1207" i="6"/>
  <c r="P1208" i="6"/>
  <c r="P1209" i="6" s="1"/>
  <c r="P1210" i="6" s="1"/>
  <c r="P1211" i="6" s="1"/>
  <c r="P1212" i="6"/>
  <c r="P1213" i="6"/>
  <c r="P1214" i="6"/>
  <c r="P1215" i="6" s="1"/>
  <c r="P1216" i="6" s="1"/>
  <c r="P1217" i="6"/>
  <c r="P1218" i="6" s="1"/>
  <c r="P1219" i="6" s="1"/>
  <c r="P1220" i="6" s="1"/>
  <c r="P1221" i="6"/>
  <c r="P1222" i="6"/>
  <c r="P1223" i="6" s="1"/>
  <c r="P1224" i="6" s="1"/>
  <c r="P1225" i="6" s="1"/>
  <c r="P1226" i="6" s="1"/>
  <c r="P1227" i="6"/>
  <c r="P1228" i="6"/>
  <c r="P1229" i="6" s="1"/>
  <c r="P1230" i="6" s="1"/>
  <c r="P1231" i="6" s="1"/>
  <c r="P1232" i="6"/>
  <c r="P1233" i="6"/>
  <c r="P1234" i="6" s="1"/>
  <c r="P1235" i="6" s="1"/>
  <c r="P1236" i="6"/>
  <c r="P1237" i="6"/>
  <c r="P1238" i="6"/>
  <c r="P1239" i="6" s="1"/>
  <c r="P1240" i="6" s="1"/>
  <c r="P1241" i="6" s="1"/>
  <c r="P1242" i="6"/>
  <c r="P1243" i="6" s="1"/>
  <c r="P1244" i="6"/>
  <c r="P1245" i="6"/>
  <c r="P1246" i="6" s="1"/>
  <c r="P1247" i="6"/>
  <c r="P1248" i="6" s="1"/>
  <c r="P1249" i="6" s="1"/>
  <c r="P1250" i="6" s="1"/>
  <c r="P1251" i="6" s="1"/>
  <c r="P1252" i="6"/>
  <c r="P1253" i="6" s="1"/>
  <c r="P1254" i="6" s="1"/>
  <c r="P1255" i="6" s="1"/>
  <c r="P1256" i="6" s="1"/>
  <c r="P1257" i="6"/>
  <c r="P1258" i="6" s="1"/>
  <c r="P1259" i="6" s="1"/>
  <c r="P1260" i="6" s="1"/>
  <c r="P1261" i="6" s="1"/>
  <c r="P1262" i="6"/>
  <c r="P1263" i="6" s="1"/>
  <c r="P1264" i="6" s="1"/>
  <c r="P1265" i="6" s="1"/>
  <c r="P1266" i="6" s="1"/>
  <c r="P1267" i="6"/>
  <c r="P1268" i="6"/>
  <c r="P1269" i="6" s="1"/>
  <c r="P1270" i="6" s="1"/>
  <c r="P1271" i="6" s="1"/>
  <c r="P1272" i="6"/>
  <c r="P1273" i="6"/>
  <c r="P1274" i="6" s="1"/>
  <c r="P1275" i="6" s="1"/>
  <c r="P1276" i="6"/>
  <c r="P1277" i="6"/>
  <c r="P1278" i="6"/>
  <c r="P1279" i="6" s="1"/>
  <c r="P1280" i="6" s="1"/>
  <c r="P1281" i="6" s="1"/>
  <c r="P1282" i="6"/>
  <c r="P1283" i="6" s="1"/>
  <c r="P1284" i="6"/>
  <c r="P1285" i="6"/>
  <c r="P1286" i="6" s="1"/>
  <c r="P1287" i="6"/>
  <c r="P1288" i="6" s="1"/>
  <c r="P1289" i="6" s="1"/>
  <c r="P1290" i="6" s="1"/>
  <c r="P1291" i="6" s="1"/>
  <c r="P1292" i="6"/>
  <c r="P1293" i="6" s="1"/>
  <c r="P1294" i="6" s="1"/>
  <c r="P1295" i="6" s="1"/>
  <c r="P1296" i="6" s="1"/>
  <c r="P1297" i="6"/>
  <c r="P1298" i="6" s="1"/>
  <c r="P1299" i="6" s="1"/>
  <c r="P1300" i="6" s="1"/>
  <c r="P1301" i="6" s="1"/>
  <c r="P1302" i="6"/>
  <c r="P1303" i="6" s="1"/>
  <c r="P1304" i="6" s="1"/>
  <c r="P1305" i="6" s="1"/>
  <c r="P1306" i="6" s="1"/>
  <c r="P1307" i="6"/>
  <c r="P1308" i="6"/>
  <c r="P1309" i="6" s="1"/>
  <c r="P1310" i="6" s="1"/>
  <c r="P1311" i="6" s="1"/>
  <c r="P1312" i="6"/>
  <c r="P1313" i="6"/>
  <c r="P1314" i="6" s="1"/>
  <c r="P1315" i="6" s="1"/>
  <c r="P1316" i="6"/>
  <c r="P1317" i="6"/>
  <c r="P1318" i="6"/>
  <c r="P1319" i="6" s="1"/>
  <c r="P1320" i="6" s="1"/>
  <c r="P1321" i="6" s="1"/>
  <c r="P1322" i="6"/>
  <c r="P1323" i="6" s="1"/>
  <c r="P1324" i="6"/>
  <c r="P1325" i="6"/>
  <c r="P1326" i="6" s="1"/>
  <c r="P1327" i="6"/>
  <c r="P1328" i="6" s="1"/>
  <c r="P1329" i="6" s="1"/>
  <c r="P1330" i="6" s="1"/>
  <c r="P1331" i="6" s="1"/>
  <c r="P1332" i="6"/>
  <c r="P1333" i="6" s="1"/>
  <c r="P1334" i="6" s="1"/>
  <c r="P1335" i="6" s="1"/>
  <c r="P1336" i="6" s="1"/>
  <c r="P1337" i="6"/>
  <c r="P1338" i="6" s="1"/>
  <c r="P1339" i="6" s="1"/>
  <c r="P1340" i="6" s="1"/>
  <c r="P1341" i="6" s="1"/>
  <c r="P1342" i="6"/>
  <c r="P1343" i="6"/>
  <c r="P1344" i="6"/>
  <c r="P1345" i="6" s="1"/>
  <c r="P1346" i="6" s="1"/>
  <c r="P1347" i="6"/>
  <c r="P1348" i="6"/>
  <c r="P1349" i="6"/>
  <c r="P1350" i="6" s="1"/>
  <c r="P1351" i="6" s="1"/>
  <c r="P1352" i="6"/>
  <c r="P1353" i="6" s="1"/>
  <c r="P1354" i="6" s="1"/>
  <c r="P1355" i="6" s="1"/>
  <c r="P1356" i="6" s="1"/>
  <c r="P1357" i="6"/>
  <c r="P1358" i="6" s="1"/>
  <c r="P1359" i="6" s="1"/>
  <c r="P1360" i="6" s="1"/>
  <c r="P1361" i="6" s="1"/>
  <c r="P1362" i="6"/>
  <c r="P1363" i="6" s="1"/>
  <c r="P1364" i="6" s="1"/>
  <c r="P1365" i="6" s="1"/>
  <c r="P1366" i="6" s="1"/>
  <c r="P1367" i="6"/>
  <c r="P1368" i="6"/>
  <c r="P1369" i="6" s="1"/>
  <c r="P1370" i="6" s="1"/>
  <c r="P1371" i="6" s="1"/>
  <c r="P1372" i="6"/>
  <c r="P1373" i="6"/>
  <c r="P1374" i="6" s="1"/>
  <c r="P1375" i="6" s="1"/>
  <c r="P1376" i="6" s="1"/>
  <c r="P1377" i="6"/>
  <c r="P1378" i="6"/>
  <c r="P1379" i="6" s="1"/>
  <c r="P1380" i="6" s="1"/>
  <c r="P1381" i="6" s="1"/>
  <c r="P1382" i="6"/>
  <c r="P1383" i="6"/>
  <c r="P1384" i="6"/>
  <c r="P1385" i="6" s="1"/>
  <c r="P1386" i="6" s="1"/>
  <c r="P1387" i="6"/>
  <c r="P1388" i="6"/>
  <c r="P1389" i="6"/>
  <c r="P1390" i="6" s="1"/>
  <c r="P1391" i="6" s="1"/>
  <c r="P1392" i="6"/>
  <c r="P1393" i="6" s="1"/>
  <c r="P1394" i="6" s="1"/>
  <c r="P1395" i="6" s="1"/>
  <c r="P1396" i="6" s="1"/>
  <c r="P1397" i="6"/>
  <c r="P1398" i="6" s="1"/>
  <c r="P1399" i="6" s="1"/>
  <c r="P1400" i="6" s="1"/>
  <c r="P1401" i="6" s="1"/>
  <c r="P1402" i="6"/>
  <c r="P1403" i="6" s="1"/>
  <c r="P1404" i="6" s="1"/>
  <c r="P1405" i="6" s="1"/>
  <c r="P1406" i="6" s="1"/>
  <c r="P1407" i="6"/>
  <c r="P1408" i="6"/>
  <c r="P1409" i="6" s="1"/>
  <c r="P1410" i="6" s="1"/>
  <c r="P1411" i="6" s="1"/>
  <c r="P1412" i="6"/>
  <c r="P1413" i="6"/>
  <c r="P1414" i="6" s="1"/>
  <c r="P1415" i="6" s="1"/>
  <c r="P1416" i="6" s="1"/>
  <c r="P1417" i="6"/>
  <c r="P1418" i="6"/>
  <c r="P1419" i="6" s="1"/>
  <c r="P1420" i="6" s="1"/>
  <c r="P1421" i="6" s="1"/>
  <c r="P1422" i="6"/>
  <c r="P1423" i="6"/>
  <c r="P1424" i="6"/>
  <c r="P1425" i="6" s="1"/>
  <c r="P1426" i="6" s="1"/>
  <c r="P1427" i="6"/>
  <c r="P1428" i="6" s="1"/>
  <c r="P1429" i="6" s="1"/>
  <c r="P1430" i="6" s="1"/>
  <c r="P1431" i="6" s="1"/>
  <c r="P1432" i="6"/>
  <c r="P1433" i="6" s="1"/>
  <c r="P1434" i="6" s="1"/>
  <c r="P1435" i="6" s="1"/>
  <c r="P1436" i="6" s="1"/>
  <c r="P1437" i="6"/>
  <c r="P1438" i="6" s="1"/>
  <c r="P1439" i="6" s="1"/>
  <c r="P1440" i="6" s="1"/>
  <c r="P1441" i="6" s="1"/>
  <c r="P1442" i="6"/>
  <c r="P1443" i="6" s="1"/>
  <c r="P1444" i="6" s="1"/>
  <c r="P1445" i="6" s="1"/>
  <c r="P1446" i="6" s="1"/>
  <c r="P1447" i="6"/>
  <c r="P1448" i="6"/>
  <c r="P1449" i="6" s="1"/>
  <c r="P1450" i="6" s="1"/>
  <c r="P1451" i="6" s="1"/>
  <c r="P1452" i="6"/>
  <c r="P1453" i="6"/>
  <c r="P1454" i="6" s="1"/>
  <c r="P1455" i="6" s="1"/>
  <c r="P1456" i="6" s="1"/>
  <c r="P1457" i="6"/>
  <c r="P1458" i="6"/>
  <c r="P1459" i="6" s="1"/>
  <c r="P1460" i="6" s="1"/>
  <c r="P1461" i="6" s="1"/>
  <c r="P1462" i="6"/>
  <c r="P1463" i="6"/>
  <c r="P1464" i="6"/>
  <c r="P1465" i="6" s="1"/>
  <c r="P1466" i="6" s="1"/>
  <c r="P1467" i="6"/>
  <c r="P1468" i="6" s="1"/>
  <c r="P1469" i="6" s="1"/>
  <c r="P1470" i="6" s="1"/>
  <c r="P1471" i="6" s="1"/>
  <c r="P1472" i="6"/>
  <c r="P1473" i="6" s="1"/>
  <c r="P1474" i="6" s="1"/>
  <c r="P1475" i="6" s="1"/>
  <c r="P1476" i="6" s="1"/>
  <c r="P1477" i="6"/>
  <c r="P1478" i="6" s="1"/>
  <c r="P1479" i="6" s="1"/>
  <c r="P1480" i="6" s="1"/>
  <c r="P1481" i="6" s="1"/>
  <c r="P1482" i="6"/>
  <c r="P1483" i="6" s="1"/>
  <c r="P1484" i="6" s="1"/>
  <c r="P1485" i="6" s="1"/>
  <c r="P1486" i="6" s="1"/>
  <c r="P1487" i="6"/>
  <c r="P1488" i="6"/>
  <c r="P1489" i="6" s="1"/>
  <c r="P1490" i="6" s="1"/>
  <c r="P1491" i="6" s="1"/>
  <c r="P1492" i="6"/>
  <c r="P1493" i="6"/>
  <c r="P1494" i="6" s="1"/>
  <c r="P1495" i="6" s="1"/>
  <c r="P1496" i="6" s="1"/>
  <c r="P1497" i="6"/>
  <c r="P1498" i="6"/>
  <c r="P1499" i="6" s="1"/>
  <c r="P1500" i="6" s="1"/>
  <c r="P1501" i="6" s="1"/>
  <c r="P1502" i="6"/>
  <c r="P1503" i="6"/>
  <c r="P1504" i="6"/>
  <c r="P1505" i="6" s="1"/>
  <c r="P1506" i="6" s="1"/>
  <c r="P1507" i="6"/>
  <c r="P1508" i="6" s="1"/>
  <c r="P1509" i="6" s="1"/>
  <c r="P1510" i="6" s="1"/>
  <c r="P1511" i="6" s="1"/>
  <c r="P1512" i="6"/>
  <c r="P1513" i="6" s="1"/>
  <c r="P1514" i="6" s="1"/>
  <c r="P1515" i="6" s="1"/>
  <c r="P1516" i="6" s="1"/>
  <c r="P1517" i="6"/>
  <c r="P1518" i="6" s="1"/>
  <c r="P1519" i="6" s="1"/>
  <c r="P1520" i="6" s="1"/>
  <c r="P1521" i="6" s="1"/>
  <c r="P1522" i="6"/>
  <c r="P1523" i="6" s="1"/>
  <c r="P1524" i="6" s="1"/>
  <c r="P1525" i="6" s="1"/>
  <c r="P1526" i="6" s="1"/>
  <c r="P1527" i="6"/>
  <c r="P1528" i="6"/>
  <c r="P1529" i="6" s="1"/>
  <c r="P1530" i="6" s="1"/>
  <c r="P1531" i="6" s="1"/>
  <c r="P1532" i="6"/>
  <c r="P1533" i="6"/>
  <c r="P1534" i="6" s="1"/>
  <c r="P1535" i="6" s="1"/>
  <c r="P1536" i="6" s="1"/>
  <c r="P1537" i="6"/>
  <c r="P1538" i="6"/>
  <c r="P1539" i="6" s="1"/>
  <c r="P1540" i="6" s="1"/>
  <c r="P1541" i="6" s="1"/>
  <c r="P1542" i="6"/>
  <c r="P1543" i="6"/>
  <c r="P1544" i="6"/>
  <c r="P1545" i="6" s="1"/>
  <c r="P1546" i="6" s="1"/>
  <c r="P1547" i="6"/>
  <c r="P1548" i="6" s="1"/>
  <c r="P1549" i="6" s="1"/>
  <c r="P1550" i="6" s="1"/>
  <c r="P1551" i="6" s="1"/>
  <c r="P1552" i="6"/>
  <c r="P1553" i="6" s="1"/>
  <c r="P1554" i="6" s="1"/>
  <c r="P1555" i="6" s="1"/>
  <c r="P1556" i="6" s="1"/>
  <c r="P1557" i="6"/>
  <c r="P1558" i="6" s="1"/>
  <c r="P1559" i="6" s="1"/>
  <c r="P1560" i="6" s="1"/>
  <c r="P1561" i="6" s="1"/>
  <c r="P1562" i="6"/>
  <c r="P1563" i="6" s="1"/>
  <c r="P1564" i="6" s="1"/>
  <c r="P1565" i="6" s="1"/>
  <c r="P1566" i="6" s="1"/>
  <c r="P1567" i="6"/>
  <c r="P1568" i="6"/>
  <c r="P1569" i="6" s="1"/>
  <c r="P1570" i="6" s="1"/>
  <c r="P1571" i="6" s="1"/>
  <c r="P1572" i="6"/>
  <c r="P1573" i="6"/>
  <c r="P1574" i="6" s="1"/>
  <c r="P1575" i="6" s="1"/>
  <c r="P1576" i="6" s="1"/>
  <c r="P1577" i="6"/>
  <c r="P1578" i="6"/>
  <c r="P1579" i="6" s="1"/>
  <c r="P1580" i="6" s="1"/>
  <c r="P1581" i="6" s="1"/>
  <c r="P1582" i="6"/>
  <c r="P1583" i="6"/>
  <c r="P1584" i="6"/>
  <c r="P1585" i="6" s="1"/>
  <c r="P1586" i="6" s="1"/>
  <c r="P1587" i="6"/>
  <c r="P1588" i="6" s="1"/>
  <c r="P1589" i="6" s="1"/>
  <c r="P1590" i="6" s="1"/>
  <c r="P1591" i="6" s="1"/>
  <c r="P1592" i="6"/>
  <c r="P1593" i="6" s="1"/>
  <c r="P1594" i="6" s="1"/>
  <c r="P1595" i="6" s="1"/>
  <c r="P1596" i="6" s="1"/>
  <c r="P1597" i="6"/>
  <c r="P1598" i="6" s="1"/>
  <c r="P1599" i="6" s="1"/>
  <c r="P1600" i="6" s="1"/>
  <c r="P1601" i="6" s="1"/>
  <c r="P1602" i="6"/>
  <c r="P1603" i="6" s="1"/>
  <c r="P1604" i="6" s="1"/>
  <c r="P1605" i="6" s="1"/>
  <c r="P1606" i="6" s="1"/>
  <c r="P1607" i="6"/>
  <c r="P1608" i="6"/>
  <c r="P1609" i="6" s="1"/>
  <c r="P1610" i="6" s="1"/>
  <c r="P1611" i="6" s="1"/>
  <c r="P1612" i="6"/>
  <c r="P1613" i="6"/>
  <c r="P1614" i="6" s="1"/>
  <c r="P1615" i="6" s="1"/>
  <c r="P1616" i="6" s="1"/>
  <c r="P1617" i="6"/>
  <c r="P1618" i="6"/>
  <c r="P1619" i="6" s="1"/>
  <c r="P1620" i="6" s="1"/>
  <c r="P1621" i="6" s="1"/>
  <c r="P1622" i="6"/>
  <c r="P1623" i="6"/>
  <c r="P1624" i="6"/>
  <c r="P1625" i="6" s="1"/>
  <c r="P1626" i="6" s="1"/>
  <c r="P1627" i="6"/>
  <c r="P1628" i="6" s="1"/>
  <c r="P1629" i="6" s="1"/>
  <c r="P1630" i="6" s="1"/>
  <c r="P1631" i="6" s="1"/>
  <c r="P1632" i="6"/>
  <c r="P1633" i="6" s="1"/>
  <c r="P1634" i="6" s="1"/>
  <c r="P1635" i="6" s="1"/>
  <c r="P1636" i="6" s="1"/>
  <c r="P1637" i="6"/>
  <c r="P1638" i="6" s="1"/>
  <c r="P1639" i="6" s="1"/>
  <c r="P1640" i="6" s="1"/>
  <c r="P1641" i="6" s="1"/>
  <c r="P1642" i="6"/>
  <c r="P1643" i="6" s="1"/>
  <c r="P1644" i="6" s="1"/>
  <c r="P1645" i="6" s="1"/>
  <c r="P1646" i="6" s="1"/>
  <c r="P1647" i="6"/>
  <c r="P1648" i="6"/>
  <c r="P1649" i="6" s="1"/>
  <c r="P1650" i="6" s="1"/>
  <c r="P1651" i="6" s="1"/>
  <c r="P1652" i="6"/>
  <c r="P1653" i="6"/>
  <c r="P1654" i="6" s="1"/>
  <c r="P1655" i="6" s="1"/>
  <c r="P1656" i="6" s="1"/>
  <c r="P1657" i="6"/>
  <c r="P1658" i="6"/>
  <c r="P1659" i="6" s="1"/>
  <c r="P1660" i="6" s="1"/>
  <c r="P1661" i="6" s="1"/>
  <c r="P1662" i="6"/>
  <c r="P1663" i="6"/>
  <c r="P1664" i="6"/>
  <c r="P1665" i="6" s="1"/>
  <c r="P1666" i="6" s="1"/>
  <c r="P1667" i="6"/>
  <c r="P1668" i="6" s="1"/>
  <c r="P1669" i="6" s="1"/>
  <c r="P1670" i="6" s="1"/>
  <c r="P1671" i="6" s="1"/>
  <c r="P1672" i="6"/>
  <c r="P1673" i="6" s="1"/>
  <c r="P1674" i="6" s="1"/>
  <c r="P1675" i="6" s="1"/>
  <c r="P1676" i="6" s="1"/>
  <c r="P1677" i="6"/>
  <c r="P1678" i="6" s="1"/>
  <c r="P1679" i="6" s="1"/>
  <c r="P1680" i="6" s="1"/>
  <c r="P1681" i="6" s="1"/>
  <c r="P1682" i="6"/>
  <c r="P1683" i="6" s="1"/>
  <c r="P1684" i="6" s="1"/>
  <c r="P1685" i="6" s="1"/>
  <c r="P1686" i="6" s="1"/>
  <c r="P1687" i="6"/>
  <c r="P1688" i="6"/>
  <c r="P1689" i="6" s="1"/>
  <c r="P1690" i="6" s="1"/>
  <c r="P1691" i="6" s="1"/>
  <c r="P1692" i="6"/>
  <c r="P1693" i="6"/>
  <c r="P1694" i="6" s="1"/>
  <c r="P1695" i="6" s="1"/>
  <c r="P1696" i="6" s="1"/>
  <c r="P1697" i="6"/>
  <c r="P1698" i="6"/>
  <c r="P1699" i="6" s="1"/>
  <c r="P1700" i="6" s="1"/>
  <c r="P1701" i="6" s="1"/>
  <c r="P1702" i="6"/>
  <c r="P1703" i="6"/>
  <c r="P1704" i="6"/>
  <c r="P1705" i="6" s="1"/>
  <c r="P1706" i="6" s="1"/>
  <c r="P1707" i="6"/>
  <c r="P1708" i="6" s="1"/>
  <c r="P1709" i="6" s="1"/>
  <c r="P1710" i="6" s="1"/>
  <c r="P1711" i="6" s="1"/>
  <c r="P1712" i="6"/>
  <c r="P1713" i="6" s="1"/>
  <c r="P1714" i="6" s="1"/>
  <c r="P1715" i="6" s="1"/>
  <c r="P1716" i="6" s="1"/>
  <c r="P1717" i="6"/>
  <c r="P1718" i="6" s="1"/>
  <c r="P1719" i="6" s="1"/>
  <c r="P1720" i="6" s="1"/>
  <c r="P1721" i="6" s="1"/>
  <c r="P1722" i="6"/>
  <c r="P1723" i="6" s="1"/>
  <c r="P1724" i="6" s="1"/>
  <c r="P1725" i="6" s="1"/>
  <c r="P1726" i="6" s="1"/>
  <c r="P1727" i="6"/>
  <c r="P1728" i="6"/>
  <c r="P1729" i="6" s="1"/>
  <c r="P1730" i="6" s="1"/>
  <c r="P1731" i="6" s="1"/>
  <c r="P1732" i="6"/>
  <c r="P1733" i="6"/>
  <c r="P1734" i="6" s="1"/>
  <c r="P1735" i="6" s="1"/>
  <c r="P1736" i="6" s="1"/>
  <c r="P1737" i="6"/>
  <c r="P1738" i="6"/>
  <c r="P1739" i="6" s="1"/>
  <c r="P1740" i="6" s="1"/>
  <c r="P1741" i="6" s="1"/>
  <c r="P1742" i="6"/>
  <c r="P1743" i="6"/>
  <c r="P1744" i="6"/>
  <c r="P1745" i="6" s="1"/>
  <c r="P1746" i="6" s="1"/>
  <c r="P1747" i="6"/>
  <c r="P1748" i="6" s="1"/>
  <c r="P1749" i="6" s="1"/>
  <c r="P1750" i="6" s="1"/>
  <c r="P1751" i="6" s="1"/>
  <c r="P1752" i="6"/>
  <c r="P1753" i="6" s="1"/>
  <c r="P1754" i="6" s="1"/>
  <c r="P1755" i="6" s="1"/>
  <c r="P1756" i="6" s="1"/>
  <c r="P1757" i="6"/>
  <c r="P1758" i="6" s="1"/>
  <c r="P1759" i="6" s="1"/>
  <c r="P1760" i="6" s="1"/>
  <c r="P1761" i="6" s="1"/>
  <c r="P1762" i="6"/>
  <c r="P1763" i="6" s="1"/>
  <c r="P1764" i="6" s="1"/>
  <c r="P1765" i="6" s="1"/>
  <c r="P1766" i="6" s="1"/>
  <c r="P1767" i="6"/>
  <c r="P1768" i="6"/>
  <c r="P1769" i="6" s="1"/>
  <c r="P1770" i="6" s="1"/>
  <c r="P1771" i="6" s="1"/>
  <c r="P1772" i="6"/>
  <c r="P1773" i="6"/>
  <c r="P1774" i="6" s="1"/>
  <c r="P1775" i="6" s="1"/>
  <c r="P1776" i="6" s="1"/>
  <c r="P1777" i="6"/>
  <c r="P1778" i="6"/>
  <c r="P1779" i="6" s="1"/>
  <c r="P1780" i="6" s="1"/>
  <c r="P1781" i="6" s="1"/>
  <c r="P1782" i="6"/>
  <c r="P1783" i="6"/>
  <c r="P1784" i="6"/>
  <c r="P1785" i="6" s="1"/>
  <c r="P1786" i="6" s="1"/>
  <c r="P1787" i="6"/>
  <c r="P1788" i="6" s="1"/>
  <c r="P1789" i="6" s="1"/>
  <c r="P1790" i="6" s="1"/>
  <c r="P1791" i="6" s="1"/>
  <c r="P1792" i="6"/>
  <c r="P1793" i="6" s="1"/>
  <c r="P1794" i="6" s="1"/>
  <c r="P1795" i="6" s="1"/>
  <c r="P1796" i="6" s="1"/>
  <c r="P1797" i="6"/>
  <c r="P1798" i="6"/>
  <c r="P1799" i="6"/>
  <c r="P1800" i="6"/>
  <c r="P1801" i="6" s="1"/>
  <c r="P1802" i="6"/>
  <c r="P1803" i="6" s="1"/>
  <c r="P1804" i="6" s="1"/>
  <c r="P1805" i="6" s="1"/>
  <c r="P1806" i="6" s="1"/>
  <c r="P1807" i="6"/>
  <c r="P1808" i="6"/>
  <c r="P1809" i="6" s="1"/>
  <c r="P1810" i="6" s="1"/>
  <c r="P1811" i="6" s="1"/>
  <c r="P1812" i="6"/>
  <c r="P1813" i="6"/>
  <c r="P1814" i="6"/>
  <c r="P1815" i="6"/>
  <c r="P1816" i="6"/>
  <c r="P1817" i="6"/>
  <c r="P1818" i="6"/>
  <c r="P1819" i="6" s="1"/>
  <c r="P1820" i="6" s="1"/>
  <c r="P1821" i="6" s="1"/>
  <c r="P1822" i="6"/>
  <c r="P1823" i="6"/>
  <c r="P1824" i="6"/>
  <c r="P1825" i="6" s="1"/>
  <c r="P1826" i="6" s="1"/>
  <c r="P1827" i="6"/>
  <c r="P1828" i="6" s="1"/>
  <c r="P1829" i="6" s="1"/>
  <c r="P1830" i="6" s="1"/>
  <c r="P1831" i="6" s="1"/>
  <c r="P1832" i="6"/>
  <c r="P1833" i="6" s="1"/>
  <c r="P1834" i="6" s="1"/>
  <c r="P1835" i="6" s="1"/>
  <c r="P1836" i="6" s="1"/>
  <c r="P1837" i="6"/>
  <c r="P1838" i="6"/>
  <c r="P1839" i="6"/>
  <c r="P1840" i="6"/>
  <c r="P1841" i="6" s="1"/>
  <c r="P1842" i="6"/>
  <c r="P1843" i="6" s="1"/>
  <c r="P1844" i="6" s="1"/>
  <c r="P1845" i="6" s="1"/>
  <c r="P1846" i="6" s="1"/>
  <c r="P1847" i="6"/>
  <c r="P1848" i="6"/>
  <c r="P1849" i="6" s="1"/>
  <c r="P1850" i="6" s="1"/>
  <c r="P1851" i="6" s="1"/>
  <c r="P1852" i="6"/>
  <c r="P1853" i="6"/>
  <c r="P1854" i="6"/>
  <c r="P1855" i="6"/>
  <c r="P1856" i="6"/>
  <c r="P1857" i="6"/>
  <c r="P1858" i="6"/>
  <c r="P1859" i="6" s="1"/>
  <c r="P1860" i="6" s="1"/>
  <c r="P1861" i="6" s="1"/>
  <c r="P1862" i="6"/>
  <c r="P1863" i="6"/>
  <c r="P1864" i="6"/>
  <c r="P1865" i="6" s="1"/>
  <c r="P1866" i="6" s="1"/>
  <c r="P1867" i="6"/>
  <c r="P1868" i="6" s="1"/>
  <c r="P1869" i="6" s="1"/>
  <c r="P1870" i="6" s="1"/>
  <c r="P1871" i="6" s="1"/>
  <c r="P1872" i="6"/>
  <c r="P1873" i="6" s="1"/>
  <c r="P1874" i="6" s="1"/>
  <c r="P1875" i="6" s="1"/>
  <c r="P1876" i="6" s="1"/>
  <c r="P1877" i="6"/>
  <c r="P1878" i="6"/>
  <c r="P1879" i="6"/>
  <c r="P1880" i="6"/>
  <c r="P1881" i="6" s="1"/>
  <c r="P1882" i="6"/>
  <c r="P1883" i="6" s="1"/>
  <c r="P1884" i="6" s="1"/>
  <c r="P1885" i="6" s="1"/>
  <c r="P1886" i="6" s="1"/>
  <c r="P1887" i="6"/>
  <c r="P1888" i="6"/>
  <c r="P1889" i="6" s="1"/>
  <c r="P1890" i="6" s="1"/>
  <c r="P1891" i="6" s="1"/>
  <c r="P1892" i="6"/>
  <c r="P1893" i="6"/>
  <c r="P1894" i="6"/>
  <c r="P1895" i="6"/>
  <c r="P1896" i="6"/>
  <c r="P1897" i="6"/>
  <c r="P1898" i="6"/>
  <c r="P1899" i="6" s="1"/>
  <c r="P1900" i="6" s="1"/>
  <c r="P1901" i="6" s="1"/>
  <c r="P1902" i="6"/>
  <c r="P1903" i="6"/>
  <c r="P1904" i="6"/>
  <c r="P1905" i="6" s="1"/>
  <c r="P1906" i="6" s="1"/>
  <c r="P1907" i="6"/>
  <c r="P1908" i="6"/>
  <c r="P1909" i="6"/>
  <c r="P1910" i="6"/>
  <c r="P1911" i="6"/>
  <c r="P1912" i="6"/>
  <c r="P1913" i="6" s="1"/>
  <c r="P1914" i="6" s="1"/>
  <c r="P1915" i="6" s="1"/>
  <c r="P1916" i="6" s="1"/>
  <c r="P2" i="6"/>
  <c r="H7" i="6"/>
  <c r="H8" i="6" s="1"/>
  <c r="H9" i="6" s="1"/>
  <c r="H10" i="6" s="1"/>
  <c r="H11" i="6" s="1"/>
  <c r="H12" i="6"/>
  <c r="H13" i="6"/>
  <c r="H14" i="6" s="1"/>
  <c r="H15" i="6" s="1"/>
  <c r="H16" i="6" s="1"/>
  <c r="H17" i="6"/>
  <c r="H18" i="6" s="1"/>
  <c r="H19" i="6" s="1"/>
  <c r="H20" i="6" s="1"/>
  <c r="H21" i="6" s="1"/>
  <c r="H22" i="6"/>
  <c r="H23" i="6" s="1"/>
  <c r="H24" i="6" s="1"/>
  <c r="H25" i="6" s="1"/>
  <c r="H26" i="6" s="1"/>
  <c r="H27" i="6"/>
  <c r="H28" i="6" s="1"/>
  <c r="H29" i="6" s="1"/>
  <c r="H30" i="6" s="1"/>
  <c r="H31" i="6" s="1"/>
  <c r="H32" i="6"/>
  <c r="H33" i="6" s="1"/>
  <c r="H34" i="6" s="1"/>
  <c r="H35" i="6" s="1"/>
  <c r="H36" i="6" s="1"/>
  <c r="H37" i="6"/>
  <c r="H38" i="6" s="1"/>
  <c r="H39" i="6" s="1"/>
  <c r="H40" i="6" s="1"/>
  <c r="H41" i="6" s="1"/>
  <c r="H42" i="6"/>
  <c r="H43" i="6"/>
  <c r="H44" i="6" s="1"/>
  <c r="H45" i="6"/>
  <c r="H46" i="6" s="1"/>
  <c r="H47" i="6"/>
  <c r="H48" i="6" s="1"/>
  <c r="H49" i="6" s="1"/>
  <c r="H50" i="6" s="1"/>
  <c r="H51" i="6" s="1"/>
  <c r="H52" i="6"/>
  <c r="H53" i="6"/>
  <c r="H54" i="6" s="1"/>
  <c r="H55" i="6" s="1"/>
  <c r="H56" i="6" s="1"/>
  <c r="H57" i="6"/>
  <c r="H58" i="6" s="1"/>
  <c r="H59" i="6" s="1"/>
  <c r="H60" i="6" s="1"/>
  <c r="H61" i="6" s="1"/>
  <c r="H62" i="6"/>
  <c r="H63" i="6" s="1"/>
  <c r="H64" i="6" s="1"/>
  <c r="H65" i="6" s="1"/>
  <c r="H66" i="6" s="1"/>
  <c r="H67" i="6"/>
  <c r="H68" i="6" s="1"/>
  <c r="H69" i="6" s="1"/>
  <c r="H70" i="6" s="1"/>
  <c r="H71" i="6" s="1"/>
  <c r="H72" i="6"/>
  <c r="H73" i="6" s="1"/>
  <c r="H74" i="6" s="1"/>
  <c r="H75" i="6" s="1"/>
  <c r="H76" i="6" s="1"/>
  <c r="H77" i="6"/>
  <c r="H78" i="6" s="1"/>
  <c r="H79" i="6" s="1"/>
  <c r="H80" i="6" s="1"/>
  <c r="H81" i="6" s="1"/>
  <c r="H82" i="6"/>
  <c r="H83" i="6"/>
  <c r="H84" i="6" s="1"/>
  <c r="H85" i="6" s="1"/>
  <c r="H86" i="6" s="1"/>
  <c r="H87" i="6"/>
  <c r="H88" i="6" s="1"/>
  <c r="H89" i="6" s="1"/>
  <c r="H90" i="6" s="1"/>
  <c r="H91" i="6" s="1"/>
  <c r="H92" i="6"/>
  <c r="H93" i="6"/>
  <c r="H94" i="6" s="1"/>
  <c r="H95" i="6" s="1"/>
  <c r="H96" i="6" s="1"/>
  <c r="H97" i="6"/>
  <c r="H98" i="6" s="1"/>
  <c r="H99" i="6" s="1"/>
  <c r="H100" i="6" s="1"/>
  <c r="H101" i="6" s="1"/>
  <c r="H102" i="6"/>
  <c r="H103" i="6" s="1"/>
  <c r="H104" i="6" s="1"/>
  <c r="H105" i="6" s="1"/>
  <c r="H106" i="6" s="1"/>
  <c r="H107" i="6"/>
  <c r="H108" i="6"/>
  <c r="H109" i="6"/>
  <c r="H110" i="6" s="1"/>
  <c r="H111" i="6" s="1"/>
  <c r="H112" i="6"/>
  <c r="H113" i="6" s="1"/>
  <c r="H114" i="6" s="1"/>
  <c r="H115" i="6" s="1"/>
  <c r="H116" i="6" s="1"/>
  <c r="H117" i="6"/>
  <c r="H118" i="6" s="1"/>
  <c r="H119" i="6" s="1"/>
  <c r="H120" i="6" s="1"/>
  <c r="H121" i="6" s="1"/>
  <c r="H122" i="6"/>
  <c r="H123" i="6"/>
  <c r="H124" i="6" s="1"/>
  <c r="H125" i="6" s="1"/>
  <c r="H126" i="6" s="1"/>
  <c r="H127" i="6"/>
  <c r="H128" i="6"/>
  <c r="H129" i="6" s="1"/>
  <c r="H130" i="6" s="1"/>
  <c r="H131" i="6" s="1"/>
  <c r="H132" i="6"/>
  <c r="H133" i="6"/>
  <c r="H134" i="6" s="1"/>
  <c r="H135" i="6" s="1"/>
  <c r="H136" i="6" s="1"/>
  <c r="H137" i="6"/>
  <c r="H138" i="6" s="1"/>
  <c r="H139" i="6" s="1"/>
  <c r="H140" i="6" s="1"/>
  <c r="H141" i="6" s="1"/>
  <c r="H142" i="6"/>
  <c r="H143" i="6" s="1"/>
  <c r="H144" i="6" s="1"/>
  <c r="H145" i="6" s="1"/>
  <c r="H146" i="6" s="1"/>
  <c r="H147" i="6"/>
  <c r="H148" i="6" s="1"/>
  <c r="H149" i="6" s="1"/>
  <c r="H150" i="6" s="1"/>
  <c r="H151" i="6" s="1"/>
  <c r="H152" i="6"/>
  <c r="H153" i="6" s="1"/>
  <c r="H154" i="6" s="1"/>
  <c r="H155" i="6" s="1"/>
  <c r="H156" i="6" s="1"/>
  <c r="H157" i="6"/>
  <c r="H158" i="6" s="1"/>
  <c r="H159" i="6" s="1"/>
  <c r="H160" i="6" s="1"/>
  <c r="H161" i="6" s="1"/>
  <c r="H162" i="6"/>
  <c r="H163" i="6"/>
  <c r="H164" i="6" s="1"/>
  <c r="H165" i="6"/>
  <c r="H166" i="6" s="1"/>
  <c r="H167" i="6"/>
  <c r="H168" i="6" s="1"/>
  <c r="H169" i="6" s="1"/>
  <c r="H170" i="6" s="1"/>
  <c r="H171" i="6" s="1"/>
  <c r="H172" i="6"/>
  <c r="H173" i="6"/>
  <c r="H174" i="6" s="1"/>
  <c r="H175" i="6" s="1"/>
  <c r="H176" i="6" s="1"/>
  <c r="H177" i="6"/>
  <c r="H178" i="6" s="1"/>
  <c r="H179" i="6" s="1"/>
  <c r="H180" i="6" s="1"/>
  <c r="H181" i="6" s="1"/>
  <c r="H182" i="6"/>
  <c r="H183" i="6" s="1"/>
  <c r="H184" i="6" s="1"/>
  <c r="H185" i="6" s="1"/>
  <c r="H186" i="6" s="1"/>
  <c r="H187" i="6"/>
  <c r="H188" i="6"/>
  <c r="H189" i="6" s="1"/>
  <c r="H190" i="6" s="1"/>
  <c r="H191" i="6" s="1"/>
  <c r="H192" i="6"/>
  <c r="H193" i="6" s="1"/>
  <c r="H194" i="6" s="1"/>
  <c r="H195" i="6" s="1"/>
  <c r="H196" i="6" s="1"/>
  <c r="H197" i="6"/>
  <c r="H198" i="6" s="1"/>
  <c r="H199" i="6" s="1"/>
  <c r="H200" i="6" s="1"/>
  <c r="H201" i="6" s="1"/>
  <c r="H202" i="6"/>
  <c r="H203" i="6"/>
  <c r="H204" i="6"/>
  <c r="H205" i="6"/>
  <c r="H206" i="6" s="1"/>
  <c r="H207" i="6"/>
  <c r="H208" i="6" s="1"/>
  <c r="H209" i="6" s="1"/>
  <c r="H210" i="6" s="1"/>
  <c r="H211" i="6" s="1"/>
  <c r="H212" i="6"/>
  <c r="H213" i="6" s="1"/>
  <c r="H214" i="6" s="1"/>
  <c r="H215" i="6" s="1"/>
  <c r="H216" i="6" s="1"/>
  <c r="H217" i="6"/>
  <c r="H218" i="6" s="1"/>
  <c r="H219" i="6" s="1"/>
  <c r="H220" i="6" s="1"/>
  <c r="H221" i="6"/>
  <c r="H222" i="6"/>
  <c r="H223" i="6" s="1"/>
  <c r="H224" i="6" s="1"/>
  <c r="H225" i="6" s="1"/>
  <c r="H226" i="6" s="1"/>
  <c r="H227" i="6"/>
  <c r="H228" i="6" s="1"/>
  <c r="H229" i="6" s="1"/>
  <c r="H230" i="6" s="1"/>
  <c r="H231" i="6" s="1"/>
  <c r="H232" i="6"/>
  <c r="H233" i="6" s="1"/>
  <c r="H234" i="6" s="1"/>
  <c r="H235" i="6" s="1"/>
  <c r="H236" i="6" s="1"/>
  <c r="H237" i="6"/>
  <c r="H238" i="6" s="1"/>
  <c r="H239" i="6" s="1"/>
  <c r="H240" i="6" s="1"/>
  <c r="H241" i="6" s="1"/>
  <c r="H242" i="6"/>
  <c r="H243" i="6"/>
  <c r="H244" i="6" s="1"/>
  <c r="H245" i="6"/>
  <c r="H246" i="6" s="1"/>
  <c r="H247" i="6"/>
  <c r="H248" i="6" s="1"/>
  <c r="H249" i="6" s="1"/>
  <c r="H250" i="6" s="1"/>
  <c r="H251" i="6" s="1"/>
  <c r="H252" i="6"/>
  <c r="H253" i="6"/>
  <c r="H254" i="6" s="1"/>
  <c r="H255" i="6" s="1"/>
  <c r="H256" i="6" s="1"/>
  <c r="H257" i="6"/>
  <c r="H258" i="6" s="1"/>
  <c r="H259" i="6" s="1"/>
  <c r="H260" i="6" s="1"/>
  <c r="H261" i="6" s="1"/>
  <c r="H262" i="6"/>
  <c r="H263" i="6" s="1"/>
  <c r="H264" i="6" s="1"/>
  <c r="H265" i="6" s="1"/>
  <c r="H266" i="6" s="1"/>
  <c r="H267" i="6"/>
  <c r="H268" i="6" s="1"/>
  <c r="H269" i="6" s="1"/>
  <c r="H270" i="6" s="1"/>
  <c r="H271" i="6" s="1"/>
  <c r="H272" i="6"/>
  <c r="H273" i="6" s="1"/>
  <c r="H274" i="6" s="1"/>
  <c r="H275" i="6" s="1"/>
  <c r="H276" i="6" s="1"/>
  <c r="H277" i="6"/>
  <c r="H278" i="6" s="1"/>
  <c r="H279" i="6" s="1"/>
  <c r="H280" i="6" s="1"/>
  <c r="H281" i="6" s="1"/>
  <c r="H282" i="6"/>
  <c r="H283" i="6" s="1"/>
  <c r="H284" i="6" s="1"/>
  <c r="H285" i="6" s="1"/>
  <c r="H286" i="6" s="1"/>
  <c r="H287" i="6"/>
  <c r="H288" i="6"/>
  <c r="H289" i="6" s="1"/>
  <c r="H290" i="6" s="1"/>
  <c r="H291" i="6" s="1"/>
  <c r="H292" i="6"/>
  <c r="H293" i="6"/>
  <c r="H294" i="6" s="1"/>
  <c r="H295" i="6" s="1"/>
  <c r="H296" i="6" s="1"/>
  <c r="H297" i="6"/>
  <c r="H298" i="6" s="1"/>
  <c r="H299" i="6" s="1"/>
  <c r="H300" i="6" s="1"/>
  <c r="H301" i="6" s="1"/>
  <c r="H302" i="6"/>
  <c r="H303" i="6" s="1"/>
  <c r="H304" i="6" s="1"/>
  <c r="H305" i="6" s="1"/>
  <c r="H306" i="6" s="1"/>
  <c r="H307" i="6"/>
  <c r="H308" i="6"/>
  <c r="H309" i="6" s="1"/>
  <c r="H310" i="6" s="1"/>
  <c r="H311" i="6" s="1"/>
  <c r="H312" i="6"/>
  <c r="H313" i="6" s="1"/>
  <c r="H314" i="6" s="1"/>
  <c r="H315" i="6" s="1"/>
  <c r="H316" i="6" s="1"/>
  <c r="H317" i="6"/>
  <c r="H318" i="6" s="1"/>
  <c r="H319" i="6" s="1"/>
  <c r="H320" i="6" s="1"/>
  <c r="H321" i="6" s="1"/>
  <c r="H322" i="6"/>
  <c r="H323" i="6" s="1"/>
  <c r="H324" i="6" s="1"/>
  <c r="H325" i="6" s="1"/>
  <c r="H326" i="6" s="1"/>
  <c r="H327" i="6"/>
  <c r="H328" i="6" s="1"/>
  <c r="H329" i="6" s="1"/>
  <c r="H330" i="6" s="1"/>
  <c r="H331" i="6" s="1"/>
  <c r="H332" i="6"/>
  <c r="H333" i="6"/>
  <c r="H334" i="6" s="1"/>
  <c r="H335" i="6" s="1"/>
  <c r="H336" i="6" s="1"/>
  <c r="H337" i="6"/>
  <c r="H338" i="6" s="1"/>
  <c r="H339" i="6" s="1"/>
  <c r="H340" i="6" s="1"/>
  <c r="H341" i="6" s="1"/>
  <c r="H342" i="6"/>
  <c r="H343" i="6" s="1"/>
  <c r="H344" i="6" s="1"/>
  <c r="H345" i="6" s="1"/>
  <c r="H346" i="6" s="1"/>
  <c r="H347" i="6"/>
  <c r="H348" i="6"/>
  <c r="H349" i="6" s="1"/>
  <c r="H350" i="6" s="1"/>
  <c r="H351" i="6" s="1"/>
  <c r="H352" i="6"/>
  <c r="H353" i="6"/>
  <c r="H354" i="6" s="1"/>
  <c r="H355" i="6" s="1"/>
  <c r="H356" i="6" s="1"/>
  <c r="H357" i="6"/>
  <c r="H358" i="6" s="1"/>
  <c r="H359" i="6" s="1"/>
  <c r="H360" i="6" s="1"/>
  <c r="H361" i="6" s="1"/>
  <c r="H362" i="6"/>
  <c r="H363" i="6" s="1"/>
  <c r="H364" i="6" s="1"/>
  <c r="H365" i="6" s="1"/>
  <c r="H366" i="6" s="1"/>
  <c r="H367" i="6"/>
  <c r="H368" i="6"/>
  <c r="H369" i="6"/>
  <c r="H370" i="6" s="1"/>
  <c r="H371" i="6" s="1"/>
  <c r="H372" i="6"/>
  <c r="H373" i="6" s="1"/>
  <c r="H374" i="6" s="1"/>
  <c r="H375" i="6" s="1"/>
  <c r="H376" i="6" s="1"/>
  <c r="H377" i="6"/>
  <c r="H378" i="6" s="1"/>
  <c r="H379" i="6" s="1"/>
  <c r="H380" i="6" s="1"/>
  <c r="H381" i="6" s="1"/>
  <c r="H382" i="6"/>
  <c r="H383" i="6" s="1"/>
  <c r="H384" i="6" s="1"/>
  <c r="H385" i="6" s="1"/>
  <c r="H386" i="6" s="1"/>
  <c r="H387" i="6"/>
  <c r="H388" i="6"/>
  <c r="H389" i="6"/>
  <c r="H390" i="6" s="1"/>
  <c r="H391" i="6" s="1"/>
  <c r="H392" i="6"/>
  <c r="H393" i="6" s="1"/>
  <c r="H394" i="6" s="1"/>
  <c r="H395" i="6" s="1"/>
  <c r="H396" i="6" s="1"/>
  <c r="H397" i="6"/>
  <c r="H398" i="6" s="1"/>
  <c r="H399" i="6" s="1"/>
  <c r="H400" i="6" s="1"/>
  <c r="H401" i="6" s="1"/>
  <c r="H402" i="6"/>
  <c r="H403" i="6"/>
  <c r="H404" i="6" s="1"/>
  <c r="H405" i="6" s="1"/>
  <c r="H406" i="6" s="1"/>
  <c r="H407" i="6"/>
  <c r="H408" i="6"/>
  <c r="H409" i="6" s="1"/>
  <c r="H410" i="6" s="1"/>
  <c r="H411" i="6" s="1"/>
  <c r="H412" i="6"/>
  <c r="H413" i="6" s="1"/>
  <c r="H414" i="6" s="1"/>
  <c r="H415" i="6" s="1"/>
  <c r="H416" i="6" s="1"/>
  <c r="H417" i="6"/>
  <c r="H418" i="6" s="1"/>
  <c r="H419" i="6" s="1"/>
  <c r="H420" i="6" s="1"/>
  <c r="H421" i="6" s="1"/>
  <c r="H422" i="6"/>
  <c r="H423" i="6" s="1"/>
  <c r="H424" i="6" s="1"/>
  <c r="H425" i="6" s="1"/>
  <c r="H426" i="6" s="1"/>
  <c r="H427" i="6"/>
  <c r="H428" i="6"/>
  <c r="H429" i="6"/>
  <c r="H430" i="6" s="1"/>
  <c r="H431" i="6" s="1"/>
  <c r="H432" i="6"/>
  <c r="H433" i="6" s="1"/>
  <c r="H434" i="6" s="1"/>
  <c r="H435" i="6" s="1"/>
  <c r="H436" i="6" s="1"/>
  <c r="H437" i="6"/>
  <c r="H438" i="6" s="1"/>
  <c r="H439" i="6" s="1"/>
  <c r="H440" i="6" s="1"/>
  <c r="H441" i="6" s="1"/>
  <c r="H442" i="6"/>
  <c r="H443" i="6" s="1"/>
  <c r="H444" i="6" s="1"/>
  <c r="H445" i="6" s="1"/>
  <c r="H446" i="6" s="1"/>
  <c r="H447" i="6"/>
  <c r="H448" i="6" s="1"/>
  <c r="H449" i="6" s="1"/>
  <c r="H450" i="6" s="1"/>
  <c r="H451" i="6" s="1"/>
  <c r="H452" i="6"/>
  <c r="H453" i="6"/>
  <c r="H454" i="6" s="1"/>
  <c r="H455" i="6" s="1"/>
  <c r="H456" i="6" s="1"/>
  <c r="H457" i="6"/>
  <c r="H458" i="6" s="1"/>
  <c r="H459" i="6" s="1"/>
  <c r="H460" i="6" s="1"/>
  <c r="H461" i="6" s="1"/>
  <c r="H462" i="6"/>
  <c r="H463" i="6" s="1"/>
  <c r="H464" i="6" s="1"/>
  <c r="H465" i="6" s="1"/>
  <c r="H466" i="6" s="1"/>
  <c r="H467" i="6"/>
  <c r="H468" i="6"/>
  <c r="H469" i="6" s="1"/>
  <c r="H470" i="6" s="1"/>
  <c r="H471" i="6" s="1"/>
  <c r="H472" i="6"/>
  <c r="H473" i="6" s="1"/>
  <c r="H474" i="6" s="1"/>
  <c r="H475" i="6" s="1"/>
  <c r="H476" i="6" s="1"/>
  <c r="H477" i="6"/>
  <c r="H478" i="6" s="1"/>
  <c r="H479" i="6" s="1"/>
  <c r="H480" i="6" s="1"/>
  <c r="H481" i="6" s="1"/>
  <c r="H482" i="6"/>
  <c r="H483" i="6" s="1"/>
  <c r="H484" i="6" s="1"/>
  <c r="H485" i="6" s="1"/>
  <c r="H486" i="6" s="1"/>
  <c r="H487" i="6"/>
  <c r="H488" i="6" s="1"/>
  <c r="H489" i="6" s="1"/>
  <c r="H490" i="6" s="1"/>
  <c r="H491" i="6" s="1"/>
  <c r="H492" i="6"/>
  <c r="H493" i="6" s="1"/>
  <c r="H494" i="6" s="1"/>
  <c r="H495" i="6" s="1"/>
  <c r="H496" i="6" s="1"/>
  <c r="H497" i="6"/>
  <c r="H498" i="6" s="1"/>
  <c r="H499" i="6" s="1"/>
  <c r="H500" i="6" s="1"/>
  <c r="H501" i="6" s="1"/>
  <c r="H502" i="6"/>
  <c r="H503" i="6" s="1"/>
  <c r="H504" i="6" s="1"/>
  <c r="H505" i="6" s="1"/>
  <c r="H506" i="6" s="1"/>
  <c r="H507" i="6"/>
  <c r="H508" i="6" s="1"/>
  <c r="H509" i="6" s="1"/>
  <c r="H510" i="6" s="1"/>
  <c r="H511" i="6" s="1"/>
  <c r="H512" i="6"/>
  <c r="H513" i="6"/>
  <c r="H514" i="6" s="1"/>
  <c r="H515" i="6" s="1"/>
  <c r="H516" i="6" s="1"/>
  <c r="H517" i="6"/>
  <c r="H518" i="6" s="1"/>
  <c r="H519" i="6" s="1"/>
  <c r="H520" i="6" s="1"/>
  <c r="H521" i="6" s="1"/>
  <c r="H522" i="6"/>
  <c r="H523" i="6" s="1"/>
  <c r="H524" i="6" s="1"/>
  <c r="H525" i="6" s="1"/>
  <c r="H526" i="6" s="1"/>
  <c r="H527" i="6"/>
  <c r="H528" i="6" s="1"/>
  <c r="H529" i="6" s="1"/>
  <c r="H530" i="6" s="1"/>
  <c r="H531" i="6" s="1"/>
  <c r="H532" i="6"/>
  <c r="H533" i="6" s="1"/>
  <c r="H534" i="6" s="1"/>
  <c r="H535" i="6" s="1"/>
  <c r="H536" i="6" s="1"/>
  <c r="H537" i="6"/>
  <c r="H538" i="6" s="1"/>
  <c r="H539" i="6" s="1"/>
  <c r="H540" i="6" s="1"/>
  <c r="H541" i="6"/>
  <c r="H542" i="6"/>
  <c r="H543" i="6" s="1"/>
  <c r="H544" i="6" s="1"/>
  <c r="H545" i="6" s="1"/>
  <c r="H546" i="6" s="1"/>
  <c r="H547" i="6"/>
  <c r="H548" i="6" s="1"/>
  <c r="H549" i="6" s="1"/>
  <c r="H550" i="6" s="1"/>
  <c r="H551" i="6" s="1"/>
  <c r="H552" i="6"/>
  <c r="H553" i="6" s="1"/>
  <c r="H554" i="6" s="1"/>
  <c r="H555" i="6" s="1"/>
  <c r="H556" i="6" s="1"/>
  <c r="H557" i="6"/>
  <c r="H558" i="6" s="1"/>
  <c r="H559" i="6" s="1"/>
  <c r="H560" i="6" s="1"/>
  <c r="H561" i="6" s="1"/>
  <c r="H562" i="6"/>
  <c r="H563" i="6" s="1"/>
  <c r="H564" i="6" s="1"/>
  <c r="H565" i="6" s="1"/>
  <c r="H566" i="6" s="1"/>
  <c r="H567" i="6"/>
  <c r="H568" i="6" s="1"/>
  <c r="H569" i="6" s="1"/>
  <c r="H570" i="6" s="1"/>
  <c r="H571" i="6" s="1"/>
  <c r="H572" i="6"/>
  <c r="H573" i="6"/>
  <c r="H574" i="6" s="1"/>
  <c r="H575" i="6" s="1"/>
  <c r="H576" i="6" s="1"/>
  <c r="H577" i="6"/>
  <c r="H578" i="6" s="1"/>
  <c r="H579" i="6" s="1"/>
  <c r="H580" i="6" s="1"/>
  <c r="H581" i="6" s="1"/>
  <c r="H582" i="6"/>
  <c r="H583" i="6" s="1"/>
  <c r="H584" i="6" s="1"/>
  <c r="H585" i="6" s="1"/>
  <c r="H586" i="6" s="1"/>
  <c r="H587" i="6"/>
  <c r="H588" i="6"/>
  <c r="H589" i="6" s="1"/>
  <c r="H590" i="6" s="1"/>
  <c r="H591" i="6" s="1"/>
  <c r="H592" i="6"/>
  <c r="H593" i="6"/>
  <c r="H594" i="6" s="1"/>
  <c r="H595" i="6" s="1"/>
  <c r="H596" i="6" s="1"/>
  <c r="H597" i="6"/>
  <c r="H598" i="6" s="1"/>
  <c r="H599" i="6" s="1"/>
  <c r="H600" i="6" s="1"/>
  <c r="H601" i="6" s="1"/>
  <c r="H602" i="6"/>
  <c r="H603" i="6"/>
  <c r="H604" i="6" s="1"/>
  <c r="H605" i="6" s="1"/>
  <c r="H606" i="6" s="1"/>
  <c r="H607" i="6"/>
  <c r="H608" i="6" s="1"/>
  <c r="H609" i="6" s="1"/>
  <c r="H610" i="6" s="1"/>
  <c r="H611" i="6" s="1"/>
  <c r="H612" i="6"/>
  <c r="H613" i="6" s="1"/>
  <c r="H614" i="6" s="1"/>
  <c r="H615" i="6" s="1"/>
  <c r="H616" i="6" s="1"/>
  <c r="H617" i="6"/>
  <c r="H618" i="6" s="1"/>
  <c r="H619" i="6" s="1"/>
  <c r="H620" i="6" s="1"/>
  <c r="H621" i="6" s="1"/>
  <c r="H622" i="6"/>
  <c r="H623" i="6" s="1"/>
  <c r="H624" i="6" s="1"/>
  <c r="H625" i="6" s="1"/>
  <c r="H626" i="6" s="1"/>
  <c r="H627" i="6"/>
  <c r="H628" i="6" s="1"/>
  <c r="H629" i="6" s="1"/>
  <c r="H630" i="6" s="1"/>
  <c r="H631" i="6" s="1"/>
  <c r="H632" i="6"/>
  <c r="H633" i="6"/>
  <c r="H634" i="6" s="1"/>
  <c r="H635" i="6" s="1"/>
  <c r="H636" i="6" s="1"/>
  <c r="H637" i="6"/>
  <c r="H638" i="6" s="1"/>
  <c r="H639" i="6" s="1"/>
  <c r="H640" i="6" s="1"/>
  <c r="H641" i="6" s="1"/>
  <c r="H642" i="6"/>
  <c r="H643" i="6" s="1"/>
  <c r="H644" i="6" s="1"/>
  <c r="H645" i="6" s="1"/>
  <c r="H646" i="6" s="1"/>
  <c r="H647" i="6"/>
  <c r="H648" i="6" s="1"/>
  <c r="H649" i="6" s="1"/>
  <c r="H650" i="6" s="1"/>
  <c r="H651" i="6" s="1"/>
  <c r="H652" i="6"/>
  <c r="H653" i="6"/>
  <c r="H654" i="6" s="1"/>
  <c r="H655" i="6" s="1"/>
  <c r="H656" i="6" s="1"/>
  <c r="H657" i="6"/>
  <c r="H658" i="6" s="1"/>
  <c r="H659" i="6" s="1"/>
  <c r="H660" i="6" s="1"/>
  <c r="H661" i="6"/>
  <c r="H662" i="6"/>
  <c r="H663" i="6" s="1"/>
  <c r="H664" i="6" s="1"/>
  <c r="H665" i="6" s="1"/>
  <c r="H666" i="6" s="1"/>
  <c r="H667" i="6"/>
  <c r="H668" i="6" s="1"/>
  <c r="H669" i="6" s="1"/>
  <c r="H670" i="6" s="1"/>
  <c r="H671" i="6" s="1"/>
  <c r="H672" i="6"/>
  <c r="H673" i="6"/>
  <c r="H674" i="6" s="1"/>
  <c r="H675" i="6" s="1"/>
  <c r="H676" i="6" s="1"/>
  <c r="H677" i="6"/>
  <c r="H678" i="6"/>
  <c r="H679" i="6" s="1"/>
  <c r="H680" i="6" s="1"/>
  <c r="H681" i="6" s="1"/>
  <c r="H682" i="6"/>
  <c r="H683" i="6" s="1"/>
  <c r="H684" i="6" s="1"/>
  <c r="H685" i="6" s="1"/>
  <c r="H686" i="6" s="1"/>
  <c r="H687" i="6"/>
  <c r="H688" i="6" s="1"/>
  <c r="H689" i="6" s="1"/>
  <c r="H690" i="6" s="1"/>
  <c r="H691" i="6" s="1"/>
  <c r="H692" i="6"/>
  <c r="H693" i="6" s="1"/>
  <c r="H694" i="6" s="1"/>
  <c r="H695" i="6" s="1"/>
  <c r="H696" i="6" s="1"/>
  <c r="H697" i="6"/>
  <c r="H698" i="6" s="1"/>
  <c r="H699" i="6" s="1"/>
  <c r="H700" i="6" s="1"/>
  <c r="H701" i="6"/>
  <c r="H702" i="6"/>
  <c r="H703" i="6" s="1"/>
  <c r="H704" i="6" s="1"/>
  <c r="H705" i="6" s="1"/>
  <c r="H706" i="6" s="1"/>
  <c r="H707" i="6"/>
  <c r="H708" i="6" s="1"/>
  <c r="H709" i="6" s="1"/>
  <c r="H710" i="6" s="1"/>
  <c r="H711" i="6" s="1"/>
  <c r="H712" i="6"/>
  <c r="H713" i="6"/>
  <c r="H714" i="6" s="1"/>
  <c r="H715" i="6" s="1"/>
  <c r="H716" i="6" s="1"/>
  <c r="H717" i="6"/>
  <c r="H718" i="6" s="1"/>
  <c r="H719" i="6" s="1"/>
  <c r="H720" i="6" s="1"/>
  <c r="H721" i="6" s="1"/>
  <c r="H722" i="6"/>
  <c r="H723" i="6"/>
  <c r="H724" i="6" s="1"/>
  <c r="H725" i="6" s="1"/>
  <c r="H726" i="6" s="1"/>
  <c r="H727" i="6"/>
  <c r="H728" i="6" s="1"/>
  <c r="H729" i="6" s="1"/>
  <c r="H730" i="6" s="1"/>
  <c r="H731" i="6" s="1"/>
  <c r="H732" i="6"/>
  <c r="H733" i="6" s="1"/>
  <c r="H734" i="6" s="1"/>
  <c r="H735" i="6" s="1"/>
  <c r="H736" i="6" s="1"/>
  <c r="H737" i="6"/>
  <c r="H738" i="6" s="1"/>
  <c r="H739" i="6" s="1"/>
  <c r="H740" i="6" s="1"/>
  <c r="H741" i="6" s="1"/>
  <c r="H742" i="6"/>
  <c r="H743" i="6" s="1"/>
  <c r="H744" i="6" s="1"/>
  <c r="H745" i="6" s="1"/>
  <c r="H746" i="6" s="1"/>
  <c r="H747" i="6"/>
  <c r="H748" i="6" s="1"/>
  <c r="H749" i="6" s="1"/>
  <c r="H750" i="6" s="1"/>
  <c r="H751" i="6" s="1"/>
  <c r="H752" i="6"/>
  <c r="H753" i="6" s="1"/>
  <c r="H754" i="6" s="1"/>
  <c r="H755" i="6" s="1"/>
  <c r="H756" i="6" s="1"/>
  <c r="H757" i="6"/>
  <c r="H758" i="6" s="1"/>
  <c r="H759" i="6" s="1"/>
  <c r="H760" i="6" s="1"/>
  <c r="H761" i="6" s="1"/>
  <c r="H762" i="6"/>
  <c r="H763" i="6"/>
  <c r="H764" i="6" s="1"/>
  <c r="H765" i="6" s="1"/>
  <c r="H766" i="6" s="1"/>
  <c r="H767" i="6"/>
  <c r="H768" i="6"/>
  <c r="H769" i="6" s="1"/>
  <c r="H770" i="6" s="1"/>
  <c r="H771" i="6" s="1"/>
  <c r="H772" i="6"/>
  <c r="H773" i="6" s="1"/>
  <c r="H774" i="6" s="1"/>
  <c r="H775" i="6" s="1"/>
  <c r="H776" i="6" s="1"/>
  <c r="H777" i="6"/>
  <c r="H778" i="6" s="1"/>
  <c r="H779" i="6" s="1"/>
  <c r="H780" i="6" s="1"/>
  <c r="H781" i="6" s="1"/>
  <c r="H782" i="6"/>
  <c r="H783" i="6" s="1"/>
  <c r="H784" i="6" s="1"/>
  <c r="H785" i="6" s="1"/>
  <c r="H786" i="6" s="1"/>
  <c r="H787" i="6"/>
  <c r="H788" i="6"/>
  <c r="H789" i="6"/>
  <c r="H790" i="6" s="1"/>
  <c r="H791" i="6" s="1"/>
  <c r="H792" i="6"/>
  <c r="H793" i="6"/>
  <c r="H794" i="6" s="1"/>
  <c r="H795" i="6" s="1"/>
  <c r="H796" i="6" s="1"/>
  <c r="H797" i="6"/>
  <c r="H798" i="6"/>
  <c r="H799" i="6" s="1"/>
  <c r="H800" i="6" s="1"/>
  <c r="H801" i="6" s="1"/>
  <c r="H802" i="6"/>
  <c r="H803" i="6" s="1"/>
  <c r="H804" i="6" s="1"/>
  <c r="H805" i="6" s="1"/>
  <c r="H806" i="6" s="1"/>
  <c r="H807" i="6"/>
  <c r="H808" i="6"/>
  <c r="H809" i="6" s="1"/>
  <c r="H810" i="6" s="1"/>
  <c r="H811" i="6" s="1"/>
  <c r="H812" i="6"/>
  <c r="H813" i="6" s="1"/>
  <c r="H814" i="6" s="1"/>
  <c r="H815" i="6" s="1"/>
  <c r="H816" i="6" s="1"/>
  <c r="H817" i="6"/>
  <c r="H818" i="6" s="1"/>
  <c r="H819" i="6" s="1"/>
  <c r="H820" i="6" s="1"/>
  <c r="H821" i="6" s="1"/>
  <c r="H822" i="6"/>
  <c r="H823" i="6" s="1"/>
  <c r="H824" i="6" s="1"/>
  <c r="H825" i="6" s="1"/>
  <c r="H826" i="6" s="1"/>
  <c r="H827" i="6"/>
  <c r="H828" i="6"/>
  <c r="H829" i="6" s="1"/>
  <c r="H830" i="6" s="1"/>
  <c r="H831" i="6" s="1"/>
  <c r="H832" i="6"/>
  <c r="H833" i="6" s="1"/>
  <c r="H834" i="6" s="1"/>
  <c r="H835" i="6" s="1"/>
  <c r="H836" i="6" s="1"/>
  <c r="H837" i="6"/>
  <c r="H838" i="6" s="1"/>
  <c r="H839" i="6" s="1"/>
  <c r="H840" i="6" s="1"/>
  <c r="H841" i="6" s="1"/>
  <c r="H842" i="6"/>
  <c r="H843" i="6" s="1"/>
  <c r="H844" i="6" s="1"/>
  <c r="H845" i="6" s="1"/>
  <c r="H846" i="6" s="1"/>
  <c r="H847" i="6"/>
  <c r="H848" i="6" s="1"/>
  <c r="H849" i="6" s="1"/>
  <c r="H850" i="6" s="1"/>
  <c r="H851" i="6" s="1"/>
  <c r="H852" i="6"/>
  <c r="H853" i="6" s="1"/>
  <c r="H854" i="6"/>
  <c r="H855" i="6" s="1"/>
  <c r="H856" i="6" s="1"/>
  <c r="H857" i="6"/>
  <c r="H858" i="6" s="1"/>
  <c r="H859" i="6" s="1"/>
  <c r="H860" i="6" s="1"/>
  <c r="H861" i="6" s="1"/>
  <c r="H862" i="6"/>
  <c r="H863" i="6"/>
  <c r="H864" i="6" s="1"/>
  <c r="H865" i="6" s="1"/>
  <c r="H866" i="6" s="1"/>
  <c r="H867" i="6"/>
  <c r="H868" i="6"/>
  <c r="H869" i="6" s="1"/>
  <c r="H870" i="6" s="1"/>
  <c r="H871" i="6" s="1"/>
  <c r="H872" i="6"/>
  <c r="H873" i="6" s="1"/>
  <c r="H874" i="6" s="1"/>
  <c r="H875" i="6" s="1"/>
  <c r="H876" i="6" s="1"/>
  <c r="H877" i="6"/>
  <c r="H878" i="6" s="1"/>
  <c r="H879" i="6"/>
  <c r="H880" i="6" s="1"/>
  <c r="H881" i="6" s="1"/>
  <c r="H882" i="6"/>
  <c r="H883" i="6" s="1"/>
  <c r="H884" i="6" s="1"/>
  <c r="H885" i="6" s="1"/>
  <c r="H886" i="6" s="1"/>
  <c r="H887" i="6"/>
  <c r="H888" i="6" s="1"/>
  <c r="H889" i="6" s="1"/>
  <c r="H890" i="6" s="1"/>
  <c r="H891" i="6" s="1"/>
  <c r="H892" i="6"/>
  <c r="H893" i="6" s="1"/>
  <c r="H894" i="6" s="1"/>
  <c r="H895" i="6" s="1"/>
  <c r="H896" i="6" s="1"/>
  <c r="H897" i="6"/>
  <c r="H898" i="6" s="1"/>
  <c r="H899" i="6" s="1"/>
  <c r="H900" i="6" s="1"/>
  <c r="H901" i="6" s="1"/>
  <c r="H902" i="6"/>
  <c r="H903" i="6" s="1"/>
  <c r="H904" i="6" s="1"/>
  <c r="H905" i="6" s="1"/>
  <c r="H906" i="6" s="1"/>
  <c r="H907" i="6"/>
  <c r="H908" i="6"/>
  <c r="H909" i="6" s="1"/>
  <c r="H910" i="6" s="1"/>
  <c r="H911" i="6" s="1"/>
  <c r="H912" i="6"/>
  <c r="H913" i="6"/>
  <c r="H914" i="6" s="1"/>
  <c r="H915" i="6" s="1"/>
  <c r="H916" i="6" s="1"/>
  <c r="H917" i="6"/>
  <c r="H918" i="6" s="1"/>
  <c r="H919" i="6"/>
  <c r="H920" i="6" s="1"/>
  <c r="H921" i="6" s="1"/>
  <c r="H922" i="6"/>
  <c r="H923" i="6" s="1"/>
  <c r="H924" i="6" s="1"/>
  <c r="H925" i="6" s="1"/>
  <c r="H926" i="6" s="1"/>
  <c r="H927" i="6"/>
  <c r="H928" i="6" s="1"/>
  <c r="H929" i="6" s="1"/>
  <c r="H930" i="6" s="1"/>
  <c r="H931" i="6" s="1"/>
  <c r="H932" i="6"/>
  <c r="H933" i="6" s="1"/>
  <c r="H934" i="6" s="1"/>
  <c r="H935" i="6" s="1"/>
  <c r="H936" i="6" s="1"/>
  <c r="H937" i="6"/>
  <c r="H938" i="6" s="1"/>
  <c r="H939" i="6" s="1"/>
  <c r="H940" i="6" s="1"/>
  <c r="H941" i="6" s="1"/>
  <c r="H942" i="6"/>
  <c r="H943" i="6"/>
  <c r="H944" i="6" s="1"/>
  <c r="H945" i="6" s="1"/>
  <c r="H946" i="6" s="1"/>
  <c r="H947" i="6"/>
  <c r="H948" i="6"/>
  <c r="H949" i="6" s="1"/>
  <c r="H950" i="6" s="1"/>
  <c r="H951" i="6" s="1"/>
  <c r="H952" i="6"/>
  <c r="H953" i="6"/>
  <c r="H954" i="6" s="1"/>
  <c r="H955" i="6" s="1"/>
  <c r="H956" i="6" s="1"/>
  <c r="H957" i="6"/>
  <c r="H958" i="6" s="1"/>
  <c r="H959" i="6" s="1"/>
  <c r="H960" i="6" s="1"/>
  <c r="H961" i="6" s="1"/>
  <c r="H962" i="6"/>
  <c r="H963" i="6" s="1"/>
  <c r="H964" i="6" s="1"/>
  <c r="H965" i="6" s="1"/>
  <c r="H966" i="6" s="1"/>
  <c r="H967" i="6"/>
  <c r="H968" i="6" s="1"/>
  <c r="H969" i="6" s="1"/>
  <c r="H970" i="6" s="1"/>
  <c r="H971" i="6" s="1"/>
  <c r="H972" i="6"/>
  <c r="H973" i="6" s="1"/>
  <c r="H974" i="6" s="1"/>
  <c r="H975" i="6"/>
  <c r="H976" i="6" s="1"/>
  <c r="H977" i="6"/>
  <c r="H978" i="6" s="1"/>
  <c r="H979" i="6" s="1"/>
  <c r="H980" i="6" s="1"/>
  <c r="H981" i="6" s="1"/>
  <c r="H982" i="6"/>
  <c r="H983" i="6"/>
  <c r="H984" i="6" s="1"/>
  <c r="H985" i="6" s="1"/>
  <c r="H986" i="6" s="1"/>
  <c r="H987" i="6"/>
  <c r="H988" i="6" s="1"/>
  <c r="H989" i="6" s="1"/>
  <c r="H990" i="6" s="1"/>
  <c r="H991" i="6" s="1"/>
  <c r="H992" i="6"/>
  <c r="H993" i="6"/>
  <c r="H994" i="6" s="1"/>
  <c r="H995" i="6" s="1"/>
  <c r="H996" i="6" s="1"/>
  <c r="H997" i="6"/>
  <c r="H998" i="6" s="1"/>
  <c r="H999" i="6" s="1"/>
  <c r="H1000" i="6" s="1"/>
  <c r="H1001" i="6" s="1"/>
  <c r="H1002" i="6"/>
  <c r="H1003" i="6" s="1"/>
  <c r="H1004" i="6" s="1"/>
  <c r="H1005" i="6" s="1"/>
  <c r="H1006" i="6" s="1"/>
  <c r="H1007" i="6"/>
  <c r="H1008" i="6" s="1"/>
  <c r="H1009" i="6" s="1"/>
  <c r="H1010" i="6" s="1"/>
  <c r="H1011" i="6" s="1"/>
  <c r="H1012" i="6"/>
  <c r="H1013" i="6" s="1"/>
  <c r="H1014" i="6" s="1"/>
  <c r="H1015" i="6" s="1"/>
  <c r="H1016" i="6" s="1"/>
  <c r="H1017" i="6"/>
  <c r="H1018" i="6" s="1"/>
  <c r="H1019" i="6" s="1"/>
  <c r="H1020" i="6" s="1"/>
  <c r="H1021" i="6" s="1"/>
  <c r="H1022" i="6"/>
  <c r="H1023" i="6"/>
  <c r="H1024" i="6" s="1"/>
  <c r="H1025" i="6" s="1"/>
  <c r="H1026" i="6" s="1"/>
  <c r="H1027" i="6"/>
  <c r="H1028" i="6" s="1"/>
  <c r="H1029" i="6" s="1"/>
  <c r="H1030" i="6" s="1"/>
  <c r="H1031" i="6" s="1"/>
  <c r="H1032" i="6"/>
  <c r="H1033" i="6"/>
  <c r="H1034" i="6" s="1"/>
  <c r="H1035" i="6" s="1"/>
  <c r="H1036" i="6" s="1"/>
  <c r="H1037" i="6"/>
  <c r="H1038" i="6" s="1"/>
  <c r="H1039" i="6"/>
  <c r="H1040" i="6" s="1"/>
  <c r="H1041" i="6" s="1"/>
  <c r="H1042" i="6"/>
  <c r="H1043" i="6" s="1"/>
  <c r="H1044" i="6" s="1"/>
  <c r="H1045" i="6" s="1"/>
  <c r="H1046" i="6" s="1"/>
  <c r="H1047" i="6"/>
  <c r="H1048" i="6" s="1"/>
  <c r="H1049" i="6" s="1"/>
  <c r="H1050" i="6" s="1"/>
  <c r="H1051" i="6" s="1"/>
  <c r="H1052" i="6"/>
  <c r="H1053" i="6" s="1"/>
  <c r="H1054" i="6" s="1"/>
  <c r="H1055" i="6" s="1"/>
  <c r="H1056" i="6" s="1"/>
  <c r="H1057" i="6"/>
  <c r="H1058" i="6" s="1"/>
  <c r="H1059" i="6" s="1"/>
  <c r="H1060" i="6" s="1"/>
  <c r="H1061" i="6" s="1"/>
  <c r="H1062" i="6"/>
  <c r="H1063" i="6"/>
  <c r="H1064" i="6" s="1"/>
  <c r="H1065" i="6" s="1"/>
  <c r="H1066" i="6" s="1"/>
  <c r="H1067" i="6"/>
  <c r="H1068" i="6"/>
  <c r="H1069" i="6" s="1"/>
  <c r="H1070" i="6" s="1"/>
  <c r="H1071" i="6" s="1"/>
  <c r="H1072" i="6"/>
  <c r="H1073" i="6"/>
  <c r="H1074" i="6" s="1"/>
  <c r="H1075" i="6" s="1"/>
  <c r="H1076" i="6" s="1"/>
  <c r="H1077" i="6"/>
  <c r="H1078" i="6" s="1"/>
  <c r="H1079" i="6" s="1"/>
  <c r="H1080" i="6" s="1"/>
  <c r="H1081" i="6" s="1"/>
  <c r="H1082" i="6"/>
  <c r="H1083" i="6" s="1"/>
  <c r="H1084" i="6" s="1"/>
  <c r="H1085" i="6" s="1"/>
  <c r="H1086" i="6" s="1"/>
  <c r="H1087" i="6"/>
  <c r="H1088" i="6" s="1"/>
  <c r="H1089" i="6" s="1"/>
  <c r="H1090" i="6" s="1"/>
  <c r="H1091" i="6" s="1"/>
  <c r="H1092" i="6"/>
  <c r="H1093" i="6" s="1"/>
  <c r="H1094" i="6" s="1"/>
  <c r="H1095" i="6" s="1"/>
  <c r="H1096" i="6" s="1"/>
  <c r="H1097" i="6"/>
  <c r="H1098" i="6" s="1"/>
  <c r="H1099" i="6" s="1"/>
  <c r="H1100" i="6" s="1"/>
  <c r="H1101" i="6" s="1"/>
  <c r="H1102" i="6"/>
  <c r="H1103" i="6"/>
  <c r="H1104" i="6" s="1"/>
  <c r="H1105" i="6" s="1"/>
  <c r="H1106" i="6" s="1"/>
  <c r="H1107" i="6"/>
  <c r="H1108" i="6" s="1"/>
  <c r="H1109" i="6" s="1"/>
  <c r="H1110" i="6" s="1"/>
  <c r="H1111" i="6" s="1"/>
  <c r="H1112" i="6"/>
  <c r="H1113" i="6" s="1"/>
  <c r="H1114" i="6" s="1"/>
  <c r="H1115" i="6" s="1"/>
  <c r="H1116" i="6" s="1"/>
  <c r="H1117" i="6"/>
  <c r="H1118" i="6" s="1"/>
  <c r="H1119" i="6" s="1"/>
  <c r="H1120" i="6" s="1"/>
  <c r="H1121" i="6" s="1"/>
  <c r="H1122" i="6"/>
  <c r="H1123" i="6" s="1"/>
  <c r="H1124" i="6" s="1"/>
  <c r="H1125" i="6" s="1"/>
  <c r="H1126" i="6" s="1"/>
  <c r="H1127" i="6"/>
  <c r="H1128" i="6" s="1"/>
  <c r="H1129" i="6" s="1"/>
  <c r="H1130" i="6" s="1"/>
  <c r="H1131" i="6" s="1"/>
  <c r="H1132" i="6"/>
  <c r="H1133" i="6" s="1"/>
  <c r="H1134" i="6" s="1"/>
  <c r="H1135" i="6" s="1"/>
  <c r="H1136" i="6" s="1"/>
  <c r="H1137" i="6"/>
  <c r="H1138" i="6" s="1"/>
  <c r="H1139" i="6" s="1"/>
  <c r="H1140" i="6" s="1"/>
  <c r="H1141" i="6" s="1"/>
  <c r="H1142" i="6"/>
  <c r="H1143" i="6" s="1"/>
  <c r="H1144" i="6" s="1"/>
  <c r="H1145" i="6" s="1"/>
  <c r="H1146" i="6" s="1"/>
  <c r="H1147" i="6"/>
  <c r="H1148" i="6"/>
  <c r="H1149" i="6" s="1"/>
  <c r="H1150" i="6" s="1"/>
  <c r="H1151" i="6"/>
  <c r="H1152" i="6"/>
  <c r="H1153" i="6" s="1"/>
  <c r="H1154" i="6" s="1"/>
  <c r="H1155" i="6" s="1"/>
  <c r="H1156" i="6" s="1"/>
  <c r="H1157" i="6"/>
  <c r="H1158" i="6" s="1"/>
  <c r="H1159" i="6" s="1"/>
  <c r="H1160" i="6" s="1"/>
  <c r="H1161" i="6" s="1"/>
  <c r="H1162" i="6"/>
  <c r="H1163" i="6" s="1"/>
  <c r="H1164" i="6" s="1"/>
  <c r="H1165" i="6" s="1"/>
  <c r="H1166" i="6" s="1"/>
  <c r="H1167" i="6"/>
  <c r="H1168" i="6" s="1"/>
  <c r="H1169" i="6" s="1"/>
  <c r="H1170" i="6" s="1"/>
  <c r="H1171" i="6" s="1"/>
  <c r="H1172" i="6"/>
  <c r="H1173" i="6" s="1"/>
  <c r="H1174" i="6" s="1"/>
  <c r="H1175" i="6" s="1"/>
  <c r="H1176" i="6" s="1"/>
  <c r="H1177" i="6"/>
  <c r="H1178" i="6" s="1"/>
  <c r="H1179" i="6" s="1"/>
  <c r="H1180" i="6" s="1"/>
  <c r="H1181" i="6" s="1"/>
  <c r="H1182" i="6"/>
  <c r="H1183" i="6" s="1"/>
  <c r="H1184" i="6" s="1"/>
  <c r="H1185" i="6" s="1"/>
  <c r="H1186" i="6" s="1"/>
  <c r="H1187" i="6"/>
  <c r="H1188" i="6" s="1"/>
  <c r="H1189" i="6" s="1"/>
  <c r="H1190" i="6" s="1"/>
  <c r="H1191" i="6" s="1"/>
  <c r="H1192" i="6"/>
  <c r="H1193" i="6"/>
  <c r="H1194" i="6" s="1"/>
  <c r="H1195" i="6" s="1"/>
  <c r="H1196" i="6" s="1"/>
  <c r="H1197" i="6"/>
  <c r="H1198" i="6" s="1"/>
  <c r="H1199" i="6"/>
  <c r="H1200" i="6" s="1"/>
  <c r="H1201" i="6" s="1"/>
  <c r="H1202" i="6"/>
  <c r="H1203" i="6" s="1"/>
  <c r="H1204" i="6" s="1"/>
  <c r="H1205" i="6" s="1"/>
  <c r="H1206" i="6" s="1"/>
  <c r="H1207" i="6"/>
  <c r="H1208" i="6" s="1"/>
  <c r="H1209" i="6" s="1"/>
  <c r="H1210" i="6" s="1"/>
  <c r="H1211" i="6" s="1"/>
  <c r="H1212" i="6"/>
  <c r="H1213" i="6" s="1"/>
  <c r="H1214" i="6" s="1"/>
  <c r="H1215" i="6" s="1"/>
  <c r="H1216" i="6" s="1"/>
  <c r="H1217" i="6"/>
  <c r="H1218" i="6" s="1"/>
  <c r="H1219" i="6" s="1"/>
  <c r="H1220" i="6" s="1"/>
  <c r="H1221" i="6" s="1"/>
  <c r="H1222" i="6"/>
  <c r="H1223" i="6" s="1"/>
  <c r="H1224" i="6" s="1"/>
  <c r="H1225" i="6" s="1"/>
  <c r="H1226" i="6" s="1"/>
  <c r="H1227" i="6"/>
  <c r="H1228" i="6"/>
  <c r="H1229" i="6" s="1"/>
  <c r="H1230" i="6" s="1"/>
  <c r="H1231" i="6" s="1"/>
  <c r="H1232" i="6"/>
  <c r="H1233" i="6" s="1"/>
  <c r="H1234" i="6" s="1"/>
  <c r="H1235" i="6" s="1"/>
  <c r="H1236" i="6" s="1"/>
  <c r="H1237" i="6"/>
  <c r="H1238" i="6" s="1"/>
  <c r="H1239" i="6"/>
  <c r="H1240" i="6" s="1"/>
  <c r="H1241" i="6" s="1"/>
  <c r="H1242" i="6"/>
  <c r="H1243" i="6" s="1"/>
  <c r="H1244" i="6" s="1"/>
  <c r="H1245" i="6" s="1"/>
  <c r="H1246" i="6" s="1"/>
  <c r="H1247" i="6"/>
  <c r="H1248" i="6" s="1"/>
  <c r="H1249" i="6" s="1"/>
  <c r="H1250" i="6" s="1"/>
  <c r="H1251" i="6" s="1"/>
  <c r="H1252" i="6"/>
  <c r="H1253" i="6" s="1"/>
  <c r="H1254" i="6" s="1"/>
  <c r="H1255" i="6" s="1"/>
  <c r="H1256" i="6" s="1"/>
  <c r="H1257" i="6"/>
  <c r="H1258" i="6" s="1"/>
  <c r="H1259" i="6" s="1"/>
  <c r="H1260" i="6" s="1"/>
  <c r="H1261" i="6" s="1"/>
  <c r="H1262" i="6"/>
  <c r="H1263" i="6" s="1"/>
  <c r="H1264" i="6" s="1"/>
  <c r="H1265" i="6" s="1"/>
  <c r="H1266" i="6" s="1"/>
  <c r="H1267" i="6"/>
  <c r="H1268" i="6" s="1"/>
  <c r="H1269" i="6" s="1"/>
  <c r="H1270" i="6" s="1"/>
  <c r="H1271" i="6" s="1"/>
  <c r="H1272" i="6"/>
  <c r="H1273" i="6" s="1"/>
  <c r="H1274" i="6" s="1"/>
  <c r="H1275" i="6" s="1"/>
  <c r="H1276" i="6" s="1"/>
  <c r="H1277" i="6"/>
  <c r="H1278" i="6" s="1"/>
  <c r="H1279" i="6"/>
  <c r="H1280" i="6" s="1"/>
  <c r="H1281" i="6" s="1"/>
  <c r="H1282" i="6"/>
  <c r="H1283" i="6" s="1"/>
  <c r="H1284" i="6" s="1"/>
  <c r="H1285" i="6" s="1"/>
  <c r="H1286" i="6" s="1"/>
  <c r="H1287" i="6"/>
  <c r="H1288" i="6" s="1"/>
  <c r="H1289" i="6" s="1"/>
  <c r="H1290" i="6" s="1"/>
  <c r="H1291" i="6" s="1"/>
  <c r="H1292" i="6"/>
  <c r="H1293" i="6" s="1"/>
  <c r="H1294" i="6" s="1"/>
  <c r="H1295" i="6" s="1"/>
  <c r="H1296" i="6" s="1"/>
  <c r="H1297" i="6"/>
  <c r="H1298" i="6" s="1"/>
  <c r="H1299" i="6" s="1"/>
  <c r="H1300" i="6" s="1"/>
  <c r="H1301" i="6" s="1"/>
  <c r="H1302" i="6"/>
  <c r="H1303" i="6" s="1"/>
  <c r="H1304" i="6" s="1"/>
  <c r="H1305" i="6" s="1"/>
  <c r="H1306" i="6" s="1"/>
  <c r="H1307" i="6"/>
  <c r="H1308" i="6" s="1"/>
  <c r="H1309" i="6" s="1"/>
  <c r="H1310" i="6" s="1"/>
  <c r="H1311" i="6" s="1"/>
  <c r="H1312" i="6"/>
  <c r="H1313" i="6"/>
  <c r="H1314" i="6" s="1"/>
  <c r="H1315" i="6" s="1"/>
  <c r="H1316" i="6" s="1"/>
  <c r="H1317" i="6"/>
  <c r="H1318" i="6" s="1"/>
  <c r="H1319" i="6" s="1"/>
  <c r="H1320" i="6" s="1"/>
  <c r="H1321" i="6" s="1"/>
  <c r="H1322" i="6"/>
  <c r="H1323" i="6" s="1"/>
  <c r="H1324" i="6" s="1"/>
  <c r="H1325" i="6" s="1"/>
  <c r="H1326" i="6" s="1"/>
  <c r="H1327" i="6"/>
  <c r="H1328" i="6" s="1"/>
  <c r="H1329" i="6" s="1"/>
  <c r="H1330" i="6" s="1"/>
  <c r="H1331" i="6" s="1"/>
  <c r="H1332" i="6"/>
  <c r="H1333" i="6" s="1"/>
  <c r="H1334" i="6" s="1"/>
  <c r="H1335" i="6" s="1"/>
  <c r="H1336" i="6" s="1"/>
  <c r="H1337" i="6"/>
  <c r="H1338" i="6" s="1"/>
  <c r="H1339" i="6" s="1"/>
  <c r="H1340" i="6" s="1"/>
  <c r="H1341" i="6" s="1"/>
  <c r="H1342" i="6"/>
  <c r="H1343" i="6" s="1"/>
  <c r="H1344" i="6" s="1"/>
  <c r="H1345" i="6" s="1"/>
  <c r="H1346" i="6" s="1"/>
  <c r="H1347" i="6"/>
  <c r="H1348" i="6" s="1"/>
  <c r="H1349" i="6" s="1"/>
  <c r="H1350" i="6" s="1"/>
  <c r="H1351" i="6" s="1"/>
  <c r="H1352" i="6"/>
  <c r="H1353" i="6" s="1"/>
  <c r="H1354" i="6" s="1"/>
  <c r="H1355" i="6" s="1"/>
  <c r="H1356" i="6" s="1"/>
  <c r="H1357" i="6"/>
  <c r="H1358" i="6" s="1"/>
  <c r="H1359" i="6" s="1"/>
  <c r="H1360" i="6" s="1"/>
  <c r="H1361" i="6" s="1"/>
  <c r="H1362" i="6"/>
  <c r="H1363" i="6" s="1"/>
  <c r="H1364" i="6" s="1"/>
  <c r="H1365" i="6" s="1"/>
  <c r="H1366" i="6" s="1"/>
  <c r="H1367" i="6"/>
  <c r="H1368" i="6" s="1"/>
  <c r="H1369" i="6" s="1"/>
  <c r="H1370" i="6" s="1"/>
  <c r="H1371" i="6" s="1"/>
  <c r="H1372" i="6"/>
  <c r="H1373" i="6" s="1"/>
  <c r="H1374" i="6" s="1"/>
  <c r="H1375" i="6"/>
  <c r="H1376" i="6" s="1"/>
  <c r="H1377" i="6"/>
  <c r="H1378" i="6" s="1"/>
  <c r="H1379" i="6" s="1"/>
  <c r="H1380" i="6" s="1"/>
  <c r="H1381" i="6" s="1"/>
  <c r="H1382" i="6"/>
  <c r="H1383" i="6" s="1"/>
  <c r="H1384" i="6" s="1"/>
  <c r="H1385" i="6" s="1"/>
  <c r="H1386" i="6" s="1"/>
  <c r="H1387" i="6"/>
  <c r="H1388" i="6" s="1"/>
  <c r="H1389" i="6" s="1"/>
  <c r="H1390" i="6" s="1"/>
  <c r="H1391" i="6" s="1"/>
  <c r="H1392" i="6"/>
  <c r="H1393" i="6" s="1"/>
  <c r="H1394" i="6" s="1"/>
  <c r="H1395" i="6" s="1"/>
  <c r="H1396" i="6" s="1"/>
  <c r="H1397" i="6"/>
  <c r="H1398" i="6" s="1"/>
  <c r="H1399" i="6" s="1"/>
  <c r="H1400" i="6" s="1"/>
  <c r="H1401" i="6" s="1"/>
  <c r="H1402" i="6"/>
  <c r="H1403" i="6" s="1"/>
  <c r="H1404" i="6" s="1"/>
  <c r="H1405" i="6" s="1"/>
  <c r="H1406" i="6" s="1"/>
  <c r="H1407" i="6"/>
  <c r="H1408" i="6" s="1"/>
  <c r="H1409" i="6" s="1"/>
  <c r="H1410" i="6" s="1"/>
  <c r="H1411" i="6" s="1"/>
  <c r="H1412" i="6"/>
  <c r="H1413" i="6" s="1"/>
  <c r="H1414" i="6" s="1"/>
  <c r="H1415" i="6" s="1"/>
  <c r="H1416" i="6" s="1"/>
  <c r="H1417" i="6"/>
  <c r="H1418" i="6" s="1"/>
  <c r="H1419" i="6" s="1"/>
  <c r="H1420" i="6" s="1"/>
  <c r="H1421" i="6" s="1"/>
  <c r="H1422" i="6"/>
  <c r="H1423" i="6" s="1"/>
  <c r="H1424" i="6" s="1"/>
  <c r="H1425" i="6" s="1"/>
  <c r="H1426" i="6" s="1"/>
  <c r="H1427" i="6"/>
  <c r="H1428" i="6" s="1"/>
  <c r="H1429" i="6" s="1"/>
  <c r="H1430" i="6" s="1"/>
  <c r="H1431" i="6"/>
  <c r="H1432" i="6"/>
  <c r="H1433" i="6" s="1"/>
  <c r="H1434" i="6" s="1"/>
  <c r="H1435" i="6" s="1"/>
  <c r="H1436" i="6" s="1"/>
  <c r="H1437" i="6"/>
  <c r="H1438" i="6" s="1"/>
  <c r="H1439" i="6" s="1"/>
  <c r="H1440" i="6" s="1"/>
  <c r="H1441" i="6" s="1"/>
  <c r="H1442" i="6"/>
  <c r="H1443" i="6" s="1"/>
  <c r="H1444" i="6" s="1"/>
  <c r="H1445" i="6" s="1"/>
  <c r="H1446" i="6" s="1"/>
  <c r="H1447" i="6"/>
  <c r="H1448" i="6" s="1"/>
  <c r="H1449" i="6" s="1"/>
  <c r="H1450" i="6" s="1"/>
  <c r="H1451" i="6" s="1"/>
  <c r="H1452" i="6"/>
  <c r="H1453" i="6" s="1"/>
  <c r="H1454" i="6" s="1"/>
  <c r="H1455" i="6" s="1"/>
  <c r="H1456" i="6" s="1"/>
  <c r="H1457" i="6"/>
  <c r="H1458" i="6" s="1"/>
  <c r="H1459" i="6" s="1"/>
  <c r="H1460" i="6" s="1"/>
  <c r="H1461" i="6" s="1"/>
  <c r="H1462" i="6"/>
  <c r="H1463" i="6" s="1"/>
  <c r="H1464" i="6" s="1"/>
  <c r="H1465" i="6" s="1"/>
  <c r="H1466" i="6" s="1"/>
  <c r="H1467" i="6"/>
  <c r="H1468" i="6" s="1"/>
  <c r="H1469" i="6" s="1"/>
  <c r="H1470" i="6" s="1"/>
  <c r="H1471" i="6" s="1"/>
  <c r="H1472" i="6"/>
  <c r="H1473" i="6" s="1"/>
  <c r="H1474" i="6" s="1"/>
  <c r="H1475" i="6" s="1"/>
  <c r="H1476" i="6" s="1"/>
  <c r="H1477" i="6"/>
  <c r="H1478" i="6" s="1"/>
  <c r="H1479" i="6" s="1"/>
  <c r="H1480" i="6" s="1"/>
  <c r="H1481" i="6" s="1"/>
  <c r="H1482" i="6"/>
  <c r="H1483" i="6" s="1"/>
  <c r="H1484" i="6" s="1"/>
  <c r="H1485" i="6" s="1"/>
  <c r="H1486" i="6" s="1"/>
  <c r="H1487" i="6"/>
  <c r="H1488" i="6" s="1"/>
  <c r="H1489" i="6" s="1"/>
  <c r="H1490" i="6" s="1"/>
  <c r="H1491" i="6" s="1"/>
  <c r="H1492" i="6"/>
  <c r="H1493" i="6" s="1"/>
  <c r="H1494" i="6" s="1"/>
  <c r="H1495" i="6" s="1"/>
  <c r="H1496" i="6" s="1"/>
  <c r="H1497" i="6"/>
  <c r="H1498" i="6" s="1"/>
  <c r="H1499" i="6" s="1"/>
  <c r="H1500" i="6" s="1"/>
  <c r="H1501" i="6" s="1"/>
  <c r="H1502" i="6"/>
  <c r="H1503" i="6" s="1"/>
  <c r="H1504" i="6" s="1"/>
  <c r="H1505" i="6" s="1"/>
  <c r="H1506" i="6" s="1"/>
  <c r="H1507" i="6"/>
  <c r="H1508" i="6" s="1"/>
  <c r="H1509" i="6" s="1"/>
  <c r="H1510" i="6" s="1"/>
  <c r="H1511" i="6" s="1"/>
  <c r="H1512" i="6"/>
  <c r="H1513" i="6" s="1"/>
  <c r="H1514" i="6" s="1"/>
  <c r="H1515" i="6" s="1"/>
  <c r="H1516" i="6" s="1"/>
  <c r="H1517" i="6"/>
  <c r="H1518" i="6" s="1"/>
  <c r="H1519" i="6" s="1"/>
  <c r="H1520" i="6" s="1"/>
  <c r="H1521" i="6" s="1"/>
  <c r="H1522" i="6"/>
  <c r="H1523" i="6" s="1"/>
  <c r="H1524" i="6" s="1"/>
  <c r="H1525" i="6" s="1"/>
  <c r="H1526" i="6" s="1"/>
  <c r="H1527" i="6"/>
  <c r="H1528" i="6" s="1"/>
  <c r="H1529" i="6" s="1"/>
  <c r="H1530" i="6" s="1"/>
  <c r="H1531" i="6" s="1"/>
  <c r="H1532" i="6"/>
  <c r="H1533" i="6" s="1"/>
  <c r="H1534" i="6" s="1"/>
  <c r="H1535" i="6"/>
  <c r="H1536" i="6" s="1"/>
  <c r="H1537" i="6"/>
  <c r="H1538" i="6" s="1"/>
  <c r="H1539" i="6" s="1"/>
  <c r="H1540" i="6" s="1"/>
  <c r="H1541" i="6" s="1"/>
  <c r="H1542" i="6"/>
  <c r="H1543" i="6"/>
  <c r="H1544" i="6" s="1"/>
  <c r="H1545" i="6" s="1"/>
  <c r="H1546" i="6" s="1"/>
  <c r="H1547" i="6"/>
  <c r="H1548" i="6"/>
  <c r="H1549" i="6" s="1"/>
  <c r="H1550" i="6" s="1"/>
  <c r="H1551" i="6" s="1"/>
  <c r="H1552" i="6"/>
  <c r="H1553" i="6" s="1"/>
  <c r="H1554" i="6" s="1"/>
  <c r="H1555" i="6" s="1"/>
  <c r="H1556" i="6" s="1"/>
  <c r="H1557" i="6"/>
  <c r="H1558" i="6" s="1"/>
  <c r="H1559" i="6" s="1"/>
  <c r="H1560" i="6" s="1"/>
  <c r="H1561" i="6" s="1"/>
  <c r="H1562" i="6"/>
  <c r="H1563" i="6" s="1"/>
  <c r="H1564" i="6" s="1"/>
  <c r="H1565" i="6" s="1"/>
  <c r="H1566" i="6" s="1"/>
  <c r="H1567" i="6"/>
  <c r="H1568" i="6" s="1"/>
  <c r="H1569" i="6" s="1"/>
  <c r="H1570" i="6" s="1"/>
  <c r="H1571" i="6" s="1"/>
  <c r="H1572" i="6"/>
  <c r="H1573" i="6" s="1"/>
  <c r="H1574" i="6" s="1"/>
  <c r="H1575" i="6" s="1"/>
  <c r="H1576" i="6" s="1"/>
  <c r="H1577" i="6"/>
  <c r="H1578" i="6" s="1"/>
  <c r="H1579" i="6" s="1"/>
  <c r="H1580" i="6" s="1"/>
  <c r="H1581" i="6" s="1"/>
  <c r="H1582" i="6"/>
  <c r="H1583" i="6" s="1"/>
  <c r="H1584" i="6" s="1"/>
  <c r="H1585" i="6" s="1"/>
  <c r="H1586" i="6" s="1"/>
  <c r="H1587" i="6"/>
  <c r="H1588" i="6" s="1"/>
  <c r="H1589" i="6" s="1"/>
  <c r="H1590" i="6" s="1"/>
  <c r="H1591" i="6" s="1"/>
  <c r="H1592" i="6"/>
  <c r="H1593" i="6"/>
  <c r="H1594" i="6" s="1"/>
  <c r="H1595" i="6" s="1"/>
  <c r="H1596" i="6" s="1"/>
  <c r="H1597" i="6"/>
  <c r="H1598" i="6" s="1"/>
  <c r="H1599" i="6" s="1"/>
  <c r="H1600" i="6" s="1"/>
  <c r="H1601" i="6" s="1"/>
  <c r="H1602" i="6"/>
  <c r="H1603" i="6" s="1"/>
  <c r="H1604" i="6" s="1"/>
  <c r="H1605" i="6" s="1"/>
  <c r="H1606" i="6" s="1"/>
  <c r="H1607" i="6"/>
  <c r="H1608" i="6" s="1"/>
  <c r="H1609" i="6" s="1"/>
  <c r="H1610" i="6" s="1"/>
  <c r="H1611" i="6" s="1"/>
  <c r="H1612" i="6"/>
  <c r="H1613" i="6" s="1"/>
  <c r="H1614" i="6" s="1"/>
  <c r="H1615" i="6" s="1"/>
  <c r="H1616" i="6" s="1"/>
  <c r="H1617" i="6"/>
  <c r="H1618" i="6" s="1"/>
  <c r="H1619" i="6" s="1"/>
  <c r="H1620" i="6" s="1"/>
  <c r="H1621" i="6" s="1"/>
  <c r="H1622" i="6"/>
  <c r="H1623" i="6" s="1"/>
  <c r="H1624" i="6" s="1"/>
  <c r="H1625" i="6" s="1"/>
  <c r="H1626" i="6" s="1"/>
  <c r="H1627" i="6"/>
  <c r="H1628" i="6" s="1"/>
  <c r="H1629" i="6" s="1"/>
  <c r="H1630" i="6" s="1"/>
  <c r="H1631" i="6" s="1"/>
  <c r="H1632" i="6"/>
  <c r="H1633" i="6"/>
  <c r="H1634" i="6" s="1"/>
  <c r="H1635" i="6" s="1"/>
  <c r="H1636" i="6" s="1"/>
  <c r="H1637" i="6"/>
  <c r="H1638" i="6" s="1"/>
  <c r="H1639" i="6" s="1"/>
  <c r="H1640" i="6" s="1"/>
  <c r="H1641" i="6" s="1"/>
  <c r="H1642" i="6"/>
  <c r="H1643" i="6" s="1"/>
  <c r="H1644" i="6" s="1"/>
  <c r="H1645" i="6" s="1"/>
  <c r="H1646" i="6" s="1"/>
  <c r="H1647" i="6"/>
  <c r="H1648" i="6" s="1"/>
  <c r="H1649" i="6" s="1"/>
  <c r="H1650" i="6" s="1"/>
  <c r="H1651" i="6" s="1"/>
  <c r="H1652" i="6"/>
  <c r="H1653" i="6" s="1"/>
  <c r="H1654" i="6" s="1"/>
  <c r="H1655" i="6" s="1"/>
  <c r="H1656" i="6" s="1"/>
  <c r="H1657" i="6"/>
  <c r="H1658" i="6" s="1"/>
  <c r="H1659" i="6" s="1"/>
  <c r="H1660" i="6" s="1"/>
  <c r="H1661" i="6" s="1"/>
  <c r="H1662" i="6"/>
  <c r="H1663" i="6" s="1"/>
  <c r="H1664" i="6" s="1"/>
  <c r="H1665" i="6" s="1"/>
  <c r="H1666" i="6" s="1"/>
  <c r="H1667" i="6"/>
  <c r="H1668" i="6" s="1"/>
  <c r="H1669" i="6" s="1"/>
  <c r="H1670" i="6" s="1"/>
  <c r="H1671" i="6" s="1"/>
  <c r="H1672" i="6"/>
  <c r="H1673" i="6"/>
  <c r="H1674" i="6" s="1"/>
  <c r="H1675" i="6" s="1"/>
  <c r="H1676" i="6" s="1"/>
  <c r="H1677" i="6"/>
  <c r="H1678" i="6" s="1"/>
  <c r="H1679" i="6" s="1"/>
  <c r="H1680" i="6" s="1"/>
  <c r="H1681" i="6" s="1"/>
  <c r="H1682" i="6"/>
  <c r="H1683" i="6" s="1"/>
  <c r="H1684" i="6" s="1"/>
  <c r="H1685" i="6" s="1"/>
  <c r="H1686" i="6" s="1"/>
  <c r="H1687" i="6"/>
  <c r="H1688" i="6" s="1"/>
  <c r="H1689" i="6" s="1"/>
  <c r="H1690" i="6" s="1"/>
  <c r="H1691" i="6" s="1"/>
  <c r="H1692" i="6"/>
  <c r="H1693" i="6" s="1"/>
  <c r="H1694" i="6" s="1"/>
  <c r="H1695" i="6" s="1"/>
  <c r="H1696" i="6" s="1"/>
  <c r="H1697" i="6"/>
  <c r="H1698" i="6" s="1"/>
  <c r="H1699" i="6" s="1"/>
  <c r="H1700" i="6" s="1"/>
  <c r="H1701" i="6" s="1"/>
  <c r="H1702" i="6"/>
  <c r="H1703" i="6" s="1"/>
  <c r="H1704" i="6" s="1"/>
  <c r="H1705" i="6" s="1"/>
  <c r="H1706" i="6" s="1"/>
  <c r="H1707" i="6"/>
  <c r="H1708" i="6" s="1"/>
  <c r="H1709" i="6" s="1"/>
  <c r="H1710" i="6" s="1"/>
  <c r="H1711" i="6" s="1"/>
  <c r="H1712" i="6"/>
  <c r="H1713" i="6"/>
  <c r="H1714" i="6" s="1"/>
  <c r="H1715" i="6" s="1"/>
  <c r="H1716" i="6" s="1"/>
  <c r="H1717" i="6"/>
  <c r="H1718" i="6" s="1"/>
  <c r="H1719" i="6" s="1"/>
  <c r="H1720" i="6" s="1"/>
  <c r="H1721" i="6" s="1"/>
  <c r="H1722" i="6"/>
  <c r="H1723" i="6" s="1"/>
  <c r="H1724" i="6" s="1"/>
  <c r="H1725" i="6" s="1"/>
  <c r="H1726" i="6" s="1"/>
  <c r="H1727" i="6"/>
  <c r="H1728" i="6" s="1"/>
  <c r="H1729" i="6" s="1"/>
  <c r="H1730" i="6" s="1"/>
  <c r="H1731" i="6" s="1"/>
  <c r="H1732" i="6"/>
  <c r="H1733" i="6" s="1"/>
  <c r="H1734" i="6" s="1"/>
  <c r="H1735" i="6" s="1"/>
  <c r="H1736" i="6" s="1"/>
  <c r="H1737" i="6"/>
  <c r="H1738" i="6" s="1"/>
  <c r="H1739" i="6" s="1"/>
  <c r="H1740" i="6" s="1"/>
  <c r="H1741" i="6" s="1"/>
  <c r="H1742" i="6"/>
  <c r="H1743" i="6" s="1"/>
  <c r="H1744" i="6" s="1"/>
  <c r="H1745" i="6" s="1"/>
  <c r="H1746" i="6" s="1"/>
  <c r="H1747" i="6"/>
  <c r="H1748" i="6" s="1"/>
  <c r="H1749" i="6" s="1"/>
  <c r="H1750" i="6" s="1"/>
  <c r="H1751" i="6" s="1"/>
  <c r="H1752" i="6"/>
  <c r="H1753" i="6"/>
  <c r="H1754" i="6" s="1"/>
  <c r="H1755" i="6" s="1"/>
  <c r="H1756" i="6" s="1"/>
  <c r="H1757" i="6"/>
  <c r="H1758" i="6" s="1"/>
  <c r="H1759" i="6" s="1"/>
  <c r="H1760" i="6" s="1"/>
  <c r="H1761" i="6" s="1"/>
  <c r="H1762" i="6"/>
  <c r="H1763" i="6"/>
  <c r="H1764" i="6" s="1"/>
  <c r="H1765" i="6" s="1"/>
  <c r="H1766" i="6" s="1"/>
  <c r="H1767" i="6"/>
  <c r="H1768" i="6" s="1"/>
  <c r="H1769" i="6" s="1"/>
  <c r="H1770" i="6" s="1"/>
  <c r="H1771" i="6" s="1"/>
  <c r="H1772" i="6"/>
  <c r="H1773" i="6" s="1"/>
  <c r="H1774" i="6" s="1"/>
  <c r="H1775" i="6" s="1"/>
  <c r="H1776" i="6" s="1"/>
  <c r="H1777" i="6"/>
  <c r="H1778" i="6" s="1"/>
  <c r="H1779" i="6" s="1"/>
  <c r="H1780" i="6" s="1"/>
  <c r="H1781" i="6" s="1"/>
  <c r="H1782" i="6"/>
  <c r="H1783" i="6" s="1"/>
  <c r="H1784" i="6" s="1"/>
  <c r="H1785" i="6" s="1"/>
  <c r="H1786" i="6" s="1"/>
  <c r="H1787" i="6"/>
  <c r="H1788" i="6" s="1"/>
  <c r="H1789" i="6" s="1"/>
  <c r="H1790" i="6" s="1"/>
  <c r="H1791" i="6" s="1"/>
  <c r="H1792" i="6"/>
  <c r="H1793" i="6" s="1"/>
  <c r="H1794" i="6" s="1"/>
  <c r="H1795" i="6" s="1"/>
  <c r="H1796" i="6" s="1"/>
  <c r="H1797" i="6"/>
  <c r="H1798" i="6" s="1"/>
  <c r="H1799" i="6" s="1"/>
  <c r="H1800" i="6" s="1"/>
  <c r="H1801" i="6" s="1"/>
  <c r="H1802" i="6"/>
  <c r="H1803" i="6"/>
  <c r="H1804" i="6" s="1"/>
  <c r="H1805" i="6" s="1"/>
  <c r="H1806" i="6" s="1"/>
  <c r="H1807" i="6"/>
  <c r="H1808" i="6" s="1"/>
  <c r="H1809" i="6" s="1"/>
  <c r="H1810" i="6" s="1"/>
  <c r="H1811" i="6" s="1"/>
  <c r="H1812" i="6"/>
  <c r="H1813" i="6" s="1"/>
  <c r="H1814" i="6" s="1"/>
  <c r="H1815" i="6" s="1"/>
  <c r="H1816" i="6" s="1"/>
  <c r="H1817" i="6"/>
  <c r="H1818" i="6" s="1"/>
  <c r="H1819" i="6" s="1"/>
  <c r="H1820" i="6" s="1"/>
  <c r="H1821" i="6" s="1"/>
  <c r="H1822" i="6"/>
  <c r="H1823" i="6" s="1"/>
  <c r="H1824" i="6" s="1"/>
  <c r="H1825" i="6" s="1"/>
  <c r="H1826" i="6" s="1"/>
  <c r="H1827" i="6"/>
  <c r="H1828" i="6" s="1"/>
  <c r="H1829" i="6" s="1"/>
  <c r="H1830" i="6" s="1"/>
  <c r="H1831" i="6" s="1"/>
  <c r="H1832" i="6"/>
  <c r="H1833" i="6" s="1"/>
  <c r="H1834" i="6" s="1"/>
  <c r="H1835" i="6" s="1"/>
  <c r="H1836" i="6" s="1"/>
  <c r="H1837" i="6"/>
  <c r="H1838" i="6" s="1"/>
  <c r="H1839" i="6" s="1"/>
  <c r="H1840" i="6" s="1"/>
  <c r="H1841" i="6" s="1"/>
  <c r="H1842" i="6"/>
  <c r="H1843" i="6" s="1"/>
  <c r="H1844" i="6" s="1"/>
  <c r="H1845" i="6" s="1"/>
  <c r="H1846" i="6" s="1"/>
  <c r="H1847" i="6"/>
  <c r="H1848" i="6" s="1"/>
  <c r="H1849" i="6" s="1"/>
  <c r="H1850" i="6" s="1"/>
  <c r="H1851" i="6" s="1"/>
  <c r="H1852" i="6"/>
  <c r="H1853" i="6" s="1"/>
  <c r="H1854" i="6" s="1"/>
  <c r="H1855" i="6" s="1"/>
  <c r="H1856" i="6" s="1"/>
  <c r="H1857" i="6"/>
  <c r="H1858" i="6" s="1"/>
  <c r="H1859" i="6" s="1"/>
  <c r="H1860" i="6" s="1"/>
  <c r="H1861" i="6" s="1"/>
  <c r="H1862" i="6"/>
  <c r="H1863" i="6" s="1"/>
  <c r="H1864" i="6" s="1"/>
  <c r="H1865" i="6" s="1"/>
  <c r="H1866" i="6" s="1"/>
  <c r="H1867" i="6"/>
  <c r="H1868" i="6" s="1"/>
  <c r="H1869" i="6" s="1"/>
  <c r="H1870" i="6" s="1"/>
  <c r="H1871" i="6" s="1"/>
  <c r="H1872" i="6"/>
  <c r="H1873" i="6"/>
  <c r="H1874" i="6" s="1"/>
  <c r="H1875" i="6" s="1"/>
  <c r="H1876" i="6" s="1"/>
  <c r="H1877" i="6"/>
  <c r="H1878" i="6" s="1"/>
  <c r="H1879" i="6" s="1"/>
  <c r="H1880" i="6" s="1"/>
  <c r="H1881" i="6" s="1"/>
  <c r="H1882" i="6"/>
  <c r="H1883" i="6" s="1"/>
  <c r="H1884" i="6" s="1"/>
  <c r="H1885" i="6" s="1"/>
  <c r="H1886" i="6" s="1"/>
  <c r="H1887" i="6"/>
  <c r="H1888" i="6" s="1"/>
  <c r="H1889" i="6" s="1"/>
  <c r="H1890" i="6" s="1"/>
  <c r="H1891" i="6" s="1"/>
  <c r="H1892" i="6"/>
  <c r="H1893" i="6" s="1"/>
  <c r="H1894" i="6" s="1"/>
  <c r="H1895" i="6" s="1"/>
  <c r="H1896" i="6" s="1"/>
  <c r="H1897" i="6"/>
  <c r="H1898" i="6" s="1"/>
  <c r="H1899" i="6" s="1"/>
  <c r="H1900" i="6" s="1"/>
  <c r="H1901" i="6" s="1"/>
  <c r="H1902" i="6"/>
  <c r="H1903" i="6" s="1"/>
  <c r="H1904" i="6" s="1"/>
  <c r="H1905" i="6" s="1"/>
  <c r="H1906" i="6" s="1"/>
  <c r="H1907" i="6"/>
  <c r="H1908" i="6" s="1"/>
  <c r="H1909" i="6" s="1"/>
  <c r="H1910" i="6" s="1"/>
  <c r="H1911" i="6" s="1"/>
  <c r="H1912" i="6"/>
  <c r="H1913" i="6"/>
  <c r="H1914" i="6" s="1"/>
  <c r="H1915" i="6" s="1"/>
  <c r="H1916" i="6" s="1"/>
  <c r="H2" i="6"/>
  <c r="J3" i="6" a="1"/>
  <c r="J3" i="6" s="1"/>
  <c r="J4" i="6" a="1"/>
  <c r="J4" i="6" s="1"/>
  <c r="J5" i="6" a="1"/>
  <c r="J5" i="6"/>
  <c r="J6" i="6" a="1"/>
  <c r="J6" i="6"/>
  <c r="J7" i="6" a="1"/>
  <c r="J7" i="6" s="1"/>
  <c r="J8" i="6" a="1"/>
  <c r="J8" i="6" s="1"/>
  <c r="J9" i="6" a="1"/>
  <c r="J9" i="6"/>
  <c r="J10" i="6" a="1"/>
  <c r="J10" i="6"/>
  <c r="J11" i="6" a="1"/>
  <c r="J11" i="6" s="1"/>
  <c r="J12" i="6" a="1"/>
  <c r="J12" i="6" s="1"/>
  <c r="J13" i="6" a="1"/>
  <c r="J13" i="6"/>
  <c r="J14" i="6" a="1"/>
  <c r="J14" i="6"/>
  <c r="J15" i="6" a="1"/>
  <c r="J15" i="6" s="1"/>
  <c r="J16" i="6" a="1"/>
  <c r="J16" i="6" s="1"/>
  <c r="J17" i="6" a="1"/>
  <c r="J17" i="6"/>
  <c r="J18" i="6" a="1"/>
  <c r="J18" i="6"/>
  <c r="J19" i="6" a="1"/>
  <c r="J19" i="6" s="1"/>
  <c r="J20" i="6" a="1"/>
  <c r="J20" i="6" s="1"/>
  <c r="J21" i="6" a="1"/>
  <c r="J21" i="6"/>
  <c r="J22" i="6" a="1"/>
  <c r="J22" i="6"/>
  <c r="J23" i="6" a="1"/>
  <c r="J23" i="6" s="1"/>
  <c r="J24" i="6" a="1"/>
  <c r="J24" i="6" s="1"/>
  <c r="J25" i="6" a="1"/>
  <c r="J25" i="6"/>
  <c r="J26" i="6" a="1"/>
  <c r="J26" i="6"/>
  <c r="J27" i="6" a="1"/>
  <c r="J27" i="6" s="1"/>
  <c r="J28" i="6" a="1"/>
  <c r="J28" i="6" s="1"/>
  <c r="J29" i="6" a="1"/>
  <c r="J29" i="6"/>
  <c r="J30" i="6" a="1"/>
  <c r="J30" i="6"/>
  <c r="J31" i="6" a="1"/>
  <c r="J31" i="6" s="1"/>
  <c r="J32" i="6" a="1"/>
  <c r="J32" i="6" s="1"/>
  <c r="J33" i="6" a="1"/>
  <c r="J33" i="6"/>
  <c r="J34" i="6" a="1"/>
  <c r="J34" i="6"/>
  <c r="J35" i="6" a="1"/>
  <c r="J35" i="6" s="1"/>
  <c r="J36" i="6" a="1"/>
  <c r="J36" i="6" s="1"/>
  <c r="J37" i="6" a="1"/>
  <c r="J37" i="6"/>
  <c r="J38" i="6" a="1"/>
  <c r="J38" i="6"/>
  <c r="J39" i="6" a="1"/>
  <c r="J39" i="6" s="1"/>
  <c r="J40" i="6" a="1"/>
  <c r="J40" i="6" s="1"/>
  <c r="J41" i="6" a="1"/>
  <c r="J41" i="6"/>
  <c r="J42" i="6" a="1"/>
  <c r="J42" i="6"/>
  <c r="J43" i="6" a="1"/>
  <c r="J43" i="6" s="1"/>
  <c r="J44" i="6" a="1"/>
  <c r="J44" i="6" s="1"/>
  <c r="J45" i="6" a="1"/>
  <c r="J45" i="6"/>
  <c r="J46" i="6" a="1"/>
  <c r="J46" i="6"/>
  <c r="J47" i="6" a="1"/>
  <c r="J47" i="6" s="1"/>
  <c r="J48" i="6" a="1"/>
  <c r="J48" i="6" s="1"/>
  <c r="J49" i="6" a="1"/>
  <c r="J49" i="6"/>
  <c r="J50" i="6" a="1"/>
  <c r="J50" i="6"/>
  <c r="J51" i="6" a="1"/>
  <c r="J51" i="6" s="1"/>
  <c r="J52" i="6" a="1"/>
  <c r="J52" i="6" s="1"/>
  <c r="J53" i="6" a="1"/>
  <c r="J53" i="6"/>
  <c r="J54" i="6" a="1"/>
  <c r="J54" i="6"/>
  <c r="J55" i="6" a="1"/>
  <c r="J55" i="6" s="1"/>
  <c r="J56" i="6" a="1"/>
  <c r="J56" i="6" s="1"/>
  <c r="J57" i="6" a="1"/>
  <c r="J57" i="6"/>
  <c r="J58" i="6" a="1"/>
  <c r="J58" i="6"/>
  <c r="J59" i="6" a="1"/>
  <c r="J59" i="6" s="1"/>
  <c r="J60" i="6" a="1"/>
  <c r="J60" i="6" s="1"/>
  <c r="J61" i="6" a="1"/>
  <c r="J61" i="6"/>
  <c r="J62" i="6" a="1"/>
  <c r="J62" i="6"/>
  <c r="J63" i="6" a="1"/>
  <c r="J63" i="6" s="1"/>
  <c r="J64" i="6" a="1"/>
  <c r="J64" i="6" s="1"/>
  <c r="J65" i="6" a="1"/>
  <c r="J65" i="6"/>
  <c r="J66" i="6" a="1"/>
  <c r="J66" i="6"/>
  <c r="J67" i="6" a="1"/>
  <c r="J67" i="6" s="1"/>
  <c r="J68" i="6" a="1"/>
  <c r="J68" i="6" s="1"/>
  <c r="J69" i="6" a="1"/>
  <c r="J69" i="6"/>
  <c r="J70" i="6" a="1"/>
  <c r="J70" i="6"/>
  <c r="J71" i="6" a="1"/>
  <c r="J71" i="6" s="1"/>
  <c r="J72" i="6" a="1"/>
  <c r="J72" i="6" s="1"/>
  <c r="J73" i="6" a="1"/>
  <c r="J73" i="6"/>
  <c r="J74" i="6" a="1"/>
  <c r="J74" i="6"/>
  <c r="J75" i="6" a="1"/>
  <c r="J75" i="6" s="1"/>
  <c r="J76" i="6" a="1"/>
  <c r="J76" i="6" s="1"/>
  <c r="J77" i="6" a="1"/>
  <c r="J77" i="6"/>
  <c r="J78" i="6" a="1"/>
  <c r="J78" i="6"/>
  <c r="J79" i="6" a="1"/>
  <c r="J79" i="6" s="1"/>
  <c r="J80" i="6" a="1"/>
  <c r="J80" i="6" s="1"/>
  <c r="J81" i="6" a="1"/>
  <c r="J81" i="6" s="1"/>
  <c r="J82" i="6" a="1"/>
  <c r="J82" i="6"/>
  <c r="J83" i="6" a="1"/>
  <c r="J83" i="6" s="1"/>
  <c r="J84" i="6" a="1"/>
  <c r="J84" i="6" s="1"/>
  <c r="J85" i="6" a="1"/>
  <c r="J85" i="6"/>
  <c r="J86" i="6" a="1"/>
  <c r="J86" i="6" s="1"/>
  <c r="J87" i="6" a="1"/>
  <c r="J87" i="6" s="1"/>
  <c r="J88" i="6" a="1"/>
  <c r="J88" i="6" s="1"/>
  <c r="J89" i="6" a="1"/>
  <c r="J89" i="6" s="1"/>
  <c r="J90" i="6" a="1"/>
  <c r="J90" i="6" s="1"/>
  <c r="J91" i="6" a="1"/>
  <c r="J91" i="6" s="1"/>
  <c r="J92" i="6" a="1"/>
  <c r="J92" i="6" s="1"/>
  <c r="J93" i="6" a="1"/>
  <c r="J93" i="6"/>
  <c r="J94" i="6" a="1"/>
  <c r="J94" i="6" s="1"/>
  <c r="J95" i="6" a="1"/>
  <c r="J95" i="6" s="1"/>
  <c r="J96" i="6" a="1"/>
  <c r="J96" i="6" s="1"/>
  <c r="J97" i="6" a="1"/>
  <c r="J97" i="6" s="1"/>
  <c r="J98" i="6" a="1"/>
  <c r="J98" i="6"/>
  <c r="J99" i="6" a="1"/>
  <c r="J99" i="6" s="1"/>
  <c r="J100" i="6" a="1"/>
  <c r="J100" i="6" s="1"/>
  <c r="J101" i="6" a="1"/>
  <c r="J101" i="6" s="1"/>
  <c r="J102" i="6" a="1"/>
  <c r="J102" i="6" s="1"/>
  <c r="J103" i="6" a="1"/>
  <c r="J103" i="6" s="1"/>
  <c r="J104" i="6" a="1"/>
  <c r="J104" i="6" s="1"/>
  <c r="J105" i="6" a="1"/>
  <c r="J105" i="6" s="1"/>
  <c r="J106" i="6" a="1"/>
  <c r="J106" i="6" s="1"/>
  <c r="J107" i="6" a="1"/>
  <c r="J107" i="6" s="1"/>
  <c r="J108" i="6" a="1"/>
  <c r="J108" i="6" s="1"/>
  <c r="J109" i="6" a="1"/>
  <c r="J109" i="6"/>
  <c r="J110" i="6" a="1"/>
  <c r="J110" i="6" s="1"/>
  <c r="J111" i="6" a="1"/>
  <c r="J111" i="6" s="1"/>
  <c r="J112" i="6" a="1"/>
  <c r="J112" i="6" s="1"/>
  <c r="J113" i="6" a="1"/>
  <c r="J113" i="6" s="1"/>
  <c r="J114" i="6" a="1"/>
  <c r="J114" i="6"/>
  <c r="J115" i="6" a="1"/>
  <c r="J115" i="6" s="1"/>
  <c r="J116" i="6" a="1"/>
  <c r="J116" i="6" s="1"/>
  <c r="J117" i="6" a="1"/>
  <c r="J117" i="6" s="1"/>
  <c r="J118" i="6" a="1"/>
  <c r="J118" i="6" s="1"/>
  <c r="J119" i="6" a="1"/>
  <c r="J119" i="6" s="1"/>
  <c r="J120" i="6" a="1"/>
  <c r="J120" i="6" s="1"/>
  <c r="J121" i="6" a="1"/>
  <c r="J121" i="6" s="1"/>
  <c r="J122" i="6" a="1"/>
  <c r="J122" i="6" s="1"/>
  <c r="J123" i="6" a="1"/>
  <c r="J123" i="6" s="1"/>
  <c r="J124" i="6" a="1"/>
  <c r="J124" i="6" s="1"/>
  <c r="J125" i="6" a="1"/>
  <c r="J125" i="6" s="1"/>
  <c r="J126" i="6" a="1"/>
  <c r="J126" i="6" s="1"/>
  <c r="J127" i="6" a="1"/>
  <c r="J127" i="6" s="1"/>
  <c r="J128" i="6" a="1"/>
  <c r="J128" i="6" s="1"/>
  <c r="J129" i="6" a="1"/>
  <c r="J129" i="6" s="1"/>
  <c r="J130" i="6" a="1"/>
  <c r="J130" i="6" s="1"/>
  <c r="J131" i="6" a="1"/>
  <c r="J131" i="6" s="1"/>
  <c r="J132" i="6" a="1"/>
  <c r="J132" i="6" s="1"/>
  <c r="J133" i="6" a="1"/>
  <c r="J133" i="6" s="1"/>
  <c r="J134" i="6" a="1"/>
  <c r="J134" i="6" s="1"/>
  <c r="J135" i="6" a="1"/>
  <c r="J135" i="6" s="1"/>
  <c r="J136" i="6" a="1"/>
  <c r="J136" i="6" s="1"/>
  <c r="J137" i="6" a="1"/>
  <c r="J137" i="6" s="1"/>
  <c r="J138" i="6" a="1"/>
  <c r="J138" i="6" s="1"/>
  <c r="J139" i="6" a="1"/>
  <c r="J139" i="6" s="1"/>
  <c r="J140" i="6" a="1"/>
  <c r="J140" i="6" s="1"/>
  <c r="J141" i="6" a="1"/>
  <c r="J141" i="6" s="1"/>
  <c r="J142" i="6" a="1"/>
  <c r="J142" i="6" s="1"/>
  <c r="J143" i="6" a="1"/>
  <c r="J143" i="6" s="1"/>
  <c r="J144" i="6" a="1"/>
  <c r="J144" i="6" s="1"/>
  <c r="J145" i="6" a="1"/>
  <c r="J145" i="6" s="1"/>
  <c r="J146" i="6" a="1"/>
  <c r="J146" i="6" s="1"/>
  <c r="J147" i="6" a="1"/>
  <c r="J147" i="6" s="1"/>
  <c r="J148" i="6" a="1"/>
  <c r="J148" i="6" s="1"/>
  <c r="J149" i="6" a="1"/>
  <c r="J149" i="6"/>
  <c r="J150" i="6" a="1"/>
  <c r="J150" i="6"/>
  <c r="J151" i="6" a="1"/>
  <c r="J151" i="6"/>
  <c r="J152" i="6" a="1"/>
  <c r="J152" i="6" s="1"/>
  <c r="J153" i="6" a="1"/>
  <c r="J153" i="6" s="1"/>
  <c r="J154" i="6" a="1"/>
  <c r="J154" i="6" s="1"/>
  <c r="J155" i="6" a="1"/>
  <c r="J155" i="6" s="1"/>
  <c r="J156" i="6" a="1"/>
  <c r="J156" i="6" s="1"/>
  <c r="J157" i="6" a="1"/>
  <c r="J157" i="6"/>
  <c r="J158" i="6" a="1"/>
  <c r="J158" i="6"/>
  <c r="J159" i="6" a="1"/>
  <c r="J159" i="6"/>
  <c r="J160" i="6" a="1"/>
  <c r="J160" i="6" s="1"/>
  <c r="J161" i="6" a="1"/>
  <c r="J161" i="6" s="1"/>
  <c r="J162" i="6" a="1"/>
  <c r="J162" i="6" s="1"/>
  <c r="J163" i="6" a="1"/>
  <c r="J163" i="6" s="1"/>
  <c r="J164" i="6" a="1"/>
  <c r="J164" i="6" s="1"/>
  <c r="J165" i="6" a="1"/>
  <c r="J165" i="6"/>
  <c r="J166" i="6" a="1"/>
  <c r="J166" i="6"/>
  <c r="J167" i="6" a="1"/>
  <c r="J167" i="6"/>
  <c r="J168" i="6" a="1"/>
  <c r="J168" i="6" s="1"/>
  <c r="J169" i="6" a="1"/>
  <c r="J169" i="6" s="1"/>
  <c r="J170" i="6" a="1"/>
  <c r="J170" i="6" s="1"/>
  <c r="J171" i="6" a="1"/>
  <c r="J171" i="6" s="1"/>
  <c r="J172" i="6" a="1"/>
  <c r="J172" i="6" s="1"/>
  <c r="J173" i="6" a="1"/>
  <c r="J173" i="6"/>
  <c r="J174" i="6" a="1"/>
  <c r="J174" i="6"/>
  <c r="J175" i="6" a="1"/>
  <c r="J175" i="6"/>
  <c r="J176" i="6" a="1"/>
  <c r="J176" i="6" s="1"/>
  <c r="J177" i="6" a="1"/>
  <c r="J177" i="6" s="1"/>
  <c r="J178" i="6" a="1"/>
  <c r="J178" i="6" s="1"/>
  <c r="J179" i="6" a="1"/>
  <c r="J179" i="6" s="1"/>
  <c r="J180" i="6" a="1"/>
  <c r="J180" i="6" s="1"/>
  <c r="J181" i="6" a="1"/>
  <c r="J181" i="6"/>
  <c r="J182" i="6" a="1"/>
  <c r="J182" i="6"/>
  <c r="J183" i="6" a="1"/>
  <c r="J183" i="6"/>
  <c r="J184" i="6" a="1"/>
  <c r="J184" i="6" s="1"/>
  <c r="J185" i="6" a="1"/>
  <c r="J185" i="6" s="1"/>
  <c r="J186" i="6" a="1"/>
  <c r="J186" i="6" s="1"/>
  <c r="J187" i="6" a="1"/>
  <c r="J187" i="6" s="1"/>
  <c r="J188" i="6" a="1"/>
  <c r="J188" i="6" s="1"/>
  <c r="J189" i="6" a="1"/>
  <c r="J189" i="6"/>
  <c r="J190" i="6" a="1"/>
  <c r="J190" i="6"/>
  <c r="J191" i="6" a="1"/>
  <c r="J191" i="6"/>
  <c r="J192" i="6" a="1"/>
  <c r="J192" i="6" s="1"/>
  <c r="J193" i="6" a="1"/>
  <c r="J193" i="6" s="1"/>
  <c r="J194" i="6" a="1"/>
  <c r="J194" i="6" s="1"/>
  <c r="J195" i="6" a="1"/>
  <c r="J195" i="6" s="1"/>
  <c r="J196" i="6" a="1"/>
  <c r="J196" i="6" s="1"/>
  <c r="J197" i="6" a="1"/>
  <c r="J197" i="6"/>
  <c r="J198" i="6" a="1"/>
  <c r="J198" i="6"/>
  <c r="J199" i="6" a="1"/>
  <c r="J199" i="6"/>
  <c r="J200" i="6" a="1"/>
  <c r="J200" i="6" s="1"/>
  <c r="J201" i="6" a="1"/>
  <c r="J201" i="6" s="1"/>
  <c r="J202" i="6" a="1"/>
  <c r="J202" i="6" s="1"/>
  <c r="J203" i="6" a="1"/>
  <c r="J203" i="6" s="1"/>
  <c r="J204" i="6" a="1"/>
  <c r="J204" i="6" s="1"/>
  <c r="J205" i="6" a="1"/>
  <c r="J205" i="6"/>
  <c r="J206" i="6" a="1"/>
  <c r="J206" i="6"/>
  <c r="J207" i="6" a="1"/>
  <c r="J207" i="6"/>
  <c r="J208" i="6" a="1"/>
  <c r="J208" i="6" s="1"/>
  <c r="J209" i="6" a="1"/>
  <c r="J209" i="6" s="1"/>
  <c r="J210" i="6" a="1"/>
  <c r="J210" i="6" s="1"/>
  <c r="J211" i="6" a="1"/>
  <c r="J211" i="6" s="1"/>
  <c r="J212" i="6" a="1"/>
  <c r="J212" i="6" s="1"/>
  <c r="J213" i="6" a="1"/>
  <c r="J213" i="6"/>
  <c r="J214" i="6" a="1"/>
  <c r="J214" i="6"/>
  <c r="J215" i="6" a="1"/>
  <c r="J215" i="6"/>
  <c r="J216" i="6" a="1"/>
  <c r="J216" i="6" s="1"/>
  <c r="J217" i="6" a="1"/>
  <c r="J217" i="6" s="1"/>
  <c r="J218" i="6" a="1"/>
  <c r="J218" i="6" s="1"/>
  <c r="J219" i="6" a="1"/>
  <c r="J219" i="6" s="1"/>
  <c r="J220" i="6" a="1"/>
  <c r="J220" i="6" s="1"/>
  <c r="J221" i="6" a="1"/>
  <c r="J221" i="6"/>
  <c r="J222" i="6" a="1"/>
  <c r="J222" i="6"/>
  <c r="J223" i="6" a="1"/>
  <c r="J223" i="6"/>
  <c r="J224" i="6" a="1"/>
  <c r="J224" i="6" s="1"/>
  <c r="J225" i="6" a="1"/>
  <c r="J225" i="6" s="1"/>
  <c r="J226" i="6" a="1"/>
  <c r="J226" i="6" s="1"/>
  <c r="J227" i="6" a="1"/>
  <c r="J227" i="6" s="1"/>
  <c r="J228" i="6" a="1"/>
  <c r="J228" i="6" s="1"/>
  <c r="J229" i="6" a="1"/>
  <c r="J229" i="6"/>
  <c r="J230" i="6" a="1"/>
  <c r="J230" i="6"/>
  <c r="J231" i="6" a="1"/>
  <c r="J231" i="6"/>
  <c r="J232" i="6" a="1"/>
  <c r="J232" i="6" s="1"/>
  <c r="J233" i="6" a="1"/>
  <c r="J233" i="6" s="1"/>
  <c r="J234" i="6" a="1"/>
  <c r="J234" i="6" s="1"/>
  <c r="J235" i="6" a="1"/>
  <c r="J235" i="6" s="1"/>
  <c r="J236" i="6" a="1"/>
  <c r="J236" i="6" s="1"/>
  <c r="J237" i="6" a="1"/>
  <c r="J237" i="6"/>
  <c r="J238" i="6" a="1"/>
  <c r="J238" i="6"/>
  <c r="J239" i="6" a="1"/>
  <c r="J239" i="6"/>
  <c r="J240" i="6" a="1"/>
  <c r="J240" i="6" s="1"/>
  <c r="J241" i="6" a="1"/>
  <c r="J241" i="6" s="1"/>
  <c r="J242" i="6" a="1"/>
  <c r="J242" i="6" s="1"/>
  <c r="J243" i="6" a="1"/>
  <c r="J243" i="6" s="1"/>
  <c r="J244" i="6" a="1"/>
  <c r="J244" i="6" s="1"/>
  <c r="J245" i="6" a="1"/>
  <c r="J245" i="6"/>
  <c r="J246" i="6" a="1"/>
  <c r="J246" i="6"/>
  <c r="J247" i="6" a="1"/>
  <c r="J247" i="6"/>
  <c r="J248" i="6" a="1"/>
  <c r="J248" i="6" s="1"/>
  <c r="J249" i="6" a="1"/>
  <c r="J249" i="6" s="1"/>
  <c r="J250" i="6" a="1"/>
  <c r="J250" i="6" s="1"/>
  <c r="J251" i="6" a="1"/>
  <c r="J251" i="6" s="1"/>
  <c r="J252" i="6" a="1"/>
  <c r="J252" i="6" s="1"/>
  <c r="J253" i="6" a="1"/>
  <c r="J253" i="6"/>
  <c r="J254" i="6" a="1"/>
  <c r="J254" i="6"/>
  <c r="J255" i="6" a="1"/>
  <c r="J255" i="6"/>
  <c r="J256" i="6" a="1"/>
  <c r="J256" i="6" s="1"/>
  <c r="J257" i="6" a="1"/>
  <c r="J257" i="6" s="1"/>
  <c r="J258" i="6" a="1"/>
  <c r="J258" i="6" s="1"/>
  <c r="J259" i="6" a="1"/>
  <c r="J259" i="6" s="1"/>
  <c r="J260" i="6" a="1"/>
  <c r="J260" i="6" s="1"/>
  <c r="J261" i="6" a="1"/>
  <c r="J261" i="6"/>
  <c r="J262" i="6" a="1"/>
  <c r="J262" i="6"/>
  <c r="J263" i="6" a="1"/>
  <c r="J263" i="6"/>
  <c r="J264" i="6" a="1"/>
  <c r="J264" i="6" s="1"/>
  <c r="J265" i="6" a="1"/>
  <c r="J265" i="6" s="1"/>
  <c r="J266" i="6" a="1"/>
  <c r="J266" i="6" s="1"/>
  <c r="J267" i="6" a="1"/>
  <c r="J267" i="6" s="1"/>
  <c r="J268" i="6" a="1"/>
  <c r="J268" i="6" s="1"/>
  <c r="J269" i="6" a="1"/>
  <c r="J269" i="6"/>
  <c r="J270" i="6" a="1"/>
  <c r="J270" i="6"/>
  <c r="J271" i="6" a="1"/>
  <c r="J271" i="6"/>
  <c r="J272" i="6" a="1"/>
  <c r="J272" i="6" s="1"/>
  <c r="J273" i="6" a="1"/>
  <c r="J273" i="6" s="1"/>
  <c r="J274" i="6" a="1"/>
  <c r="J274" i="6" s="1"/>
  <c r="J275" i="6" a="1"/>
  <c r="J275" i="6" s="1"/>
  <c r="J276" i="6" a="1"/>
  <c r="J276" i="6" s="1"/>
  <c r="J277" i="6" a="1"/>
  <c r="J277" i="6"/>
  <c r="J278" i="6" a="1"/>
  <c r="J278" i="6"/>
  <c r="J279" i="6" a="1"/>
  <c r="J279" i="6"/>
  <c r="J280" i="6" a="1"/>
  <c r="J280" i="6" s="1"/>
  <c r="J281" i="6" a="1"/>
  <c r="J281" i="6" s="1"/>
  <c r="J282" i="6" a="1"/>
  <c r="J282" i="6" s="1"/>
  <c r="J283" i="6" a="1"/>
  <c r="J283" i="6" s="1"/>
  <c r="J284" i="6" a="1"/>
  <c r="J284" i="6" s="1"/>
  <c r="J285" i="6" a="1"/>
  <c r="J285" i="6"/>
  <c r="J286" i="6" a="1"/>
  <c r="J286" i="6"/>
  <c r="J287" i="6" a="1"/>
  <c r="J287" i="6"/>
  <c r="J288" i="6" a="1"/>
  <c r="J288" i="6" s="1"/>
  <c r="J289" i="6" a="1"/>
  <c r="J289" i="6" s="1"/>
  <c r="J290" i="6" a="1"/>
  <c r="J290" i="6" s="1"/>
  <c r="J291" i="6" a="1"/>
  <c r="J291" i="6" s="1"/>
  <c r="J292" i="6" a="1"/>
  <c r="J292" i="6" s="1"/>
  <c r="J293" i="6" a="1"/>
  <c r="J293" i="6"/>
  <c r="J294" i="6" a="1"/>
  <c r="J294" i="6"/>
  <c r="J295" i="6" a="1"/>
  <c r="J295" i="6"/>
  <c r="J296" i="6" a="1"/>
  <c r="J296" i="6" s="1"/>
  <c r="J297" i="6" a="1"/>
  <c r="J297" i="6" s="1"/>
  <c r="J298" i="6" a="1"/>
  <c r="J298" i="6" s="1"/>
  <c r="J299" i="6" a="1"/>
  <c r="J299" i="6" s="1"/>
  <c r="J300" i="6" a="1"/>
  <c r="J300" i="6" s="1"/>
  <c r="J301" i="6" a="1"/>
  <c r="J301" i="6"/>
  <c r="J302" i="6" a="1"/>
  <c r="J302" i="6"/>
  <c r="J303" i="6" a="1"/>
  <c r="J303" i="6"/>
  <c r="J304" i="6" a="1"/>
  <c r="J304" i="6" s="1"/>
  <c r="J305" i="6" a="1"/>
  <c r="J305" i="6" s="1"/>
  <c r="J306" i="6" a="1"/>
  <c r="J306" i="6" s="1"/>
  <c r="J307" i="6" a="1"/>
  <c r="J307" i="6" s="1"/>
  <c r="J308" i="6" a="1"/>
  <c r="J308" i="6" s="1"/>
  <c r="J309" i="6" a="1"/>
  <c r="J309" i="6"/>
  <c r="J310" i="6" a="1"/>
  <c r="J310" i="6"/>
  <c r="J311" i="6" a="1"/>
  <c r="J311" i="6"/>
  <c r="J312" i="6" a="1"/>
  <c r="J312" i="6" s="1"/>
  <c r="J313" i="6" a="1"/>
  <c r="J313" i="6" s="1"/>
  <c r="J314" i="6" a="1"/>
  <c r="J314" i="6" s="1"/>
  <c r="J315" i="6" a="1"/>
  <c r="J315" i="6" s="1"/>
  <c r="J316" i="6" a="1"/>
  <c r="J316" i="6" s="1"/>
  <c r="J317" i="6" a="1"/>
  <c r="J317" i="6"/>
  <c r="J318" i="6" a="1"/>
  <c r="J318" i="6"/>
  <c r="J319" i="6" a="1"/>
  <c r="J319" i="6"/>
  <c r="J320" i="6" a="1"/>
  <c r="J320" i="6" s="1"/>
  <c r="J321" i="6" a="1"/>
  <c r="J321" i="6" s="1"/>
  <c r="J322" i="6" a="1"/>
  <c r="J322" i="6" s="1"/>
  <c r="J323" i="6" a="1"/>
  <c r="J323" i="6" s="1"/>
  <c r="J324" i="6" a="1"/>
  <c r="J324" i="6" s="1"/>
  <c r="J325" i="6" a="1"/>
  <c r="J325" i="6"/>
  <c r="J326" i="6" a="1"/>
  <c r="J326" i="6"/>
  <c r="J327" i="6" a="1"/>
  <c r="J327" i="6"/>
  <c r="J328" i="6" a="1"/>
  <c r="J328" i="6" s="1"/>
  <c r="J329" i="6" a="1"/>
  <c r="J329" i="6" s="1"/>
  <c r="J330" i="6" a="1"/>
  <c r="J330" i="6" s="1"/>
  <c r="J331" i="6" a="1"/>
  <c r="J331" i="6" s="1"/>
  <c r="J332" i="6" a="1"/>
  <c r="J332" i="6" s="1"/>
  <c r="J333" i="6" a="1"/>
  <c r="J333" i="6"/>
  <c r="J334" i="6" a="1"/>
  <c r="J334" i="6"/>
  <c r="J335" i="6" a="1"/>
  <c r="J335" i="6"/>
  <c r="J336" i="6" a="1"/>
  <c r="J336" i="6" s="1"/>
  <c r="J337" i="6" a="1"/>
  <c r="J337" i="6" s="1"/>
  <c r="J338" i="6" a="1"/>
  <c r="J338" i="6" s="1"/>
  <c r="J339" i="6" a="1"/>
  <c r="J339" i="6" s="1"/>
  <c r="J340" i="6" a="1"/>
  <c r="J340" i="6" s="1"/>
  <c r="J341" i="6" a="1"/>
  <c r="J341" i="6"/>
  <c r="J342" i="6" a="1"/>
  <c r="J342" i="6"/>
  <c r="J343" i="6" a="1"/>
  <c r="J343" i="6"/>
  <c r="J344" i="6" a="1"/>
  <c r="J344" i="6"/>
  <c r="J345" i="6" a="1"/>
  <c r="J345" i="6"/>
  <c r="J346" i="6" a="1"/>
  <c r="J346" i="6"/>
  <c r="J347" i="6" a="1"/>
  <c r="J347" i="6"/>
  <c r="J348" i="6" a="1"/>
  <c r="J348" i="6"/>
  <c r="J349" i="6" a="1"/>
  <c r="J349" i="6"/>
  <c r="J350" i="6" a="1"/>
  <c r="J350" i="6"/>
  <c r="J351" i="6" a="1"/>
  <c r="J351" i="6"/>
  <c r="J352" i="6" a="1"/>
  <c r="J352" i="6"/>
  <c r="J353" i="6" a="1"/>
  <c r="J353" i="6"/>
  <c r="J354" i="6" a="1"/>
  <c r="J354" i="6"/>
  <c r="J355" i="6" a="1"/>
  <c r="J355" i="6"/>
  <c r="J356" i="6" a="1"/>
  <c r="J356" i="6"/>
  <c r="J357" i="6" a="1"/>
  <c r="J357" i="6"/>
  <c r="J358" i="6" a="1"/>
  <c r="J358" i="6"/>
  <c r="J359" i="6" a="1"/>
  <c r="J359" i="6"/>
  <c r="J360" i="6" a="1"/>
  <c r="J360" i="6"/>
  <c r="J361" i="6" a="1"/>
  <c r="J361" i="6"/>
  <c r="J362" i="6" a="1"/>
  <c r="J362" i="6"/>
  <c r="J363" i="6" a="1"/>
  <c r="J363" i="6"/>
  <c r="J364" i="6" a="1"/>
  <c r="J364" i="6"/>
  <c r="J365" i="6" a="1"/>
  <c r="J365" i="6"/>
  <c r="J366" i="6" a="1"/>
  <c r="J366" i="6"/>
  <c r="J367" i="6" a="1"/>
  <c r="J367" i="6"/>
  <c r="J368" i="6" a="1"/>
  <c r="J368" i="6"/>
  <c r="J369" i="6" a="1"/>
  <c r="J369" i="6"/>
  <c r="J370" i="6" a="1"/>
  <c r="J370" i="6"/>
  <c r="J371" i="6" a="1"/>
  <c r="J371" i="6"/>
  <c r="J372" i="6" a="1"/>
  <c r="J372" i="6"/>
  <c r="J373" i="6" a="1"/>
  <c r="J373" i="6"/>
  <c r="J374" i="6" a="1"/>
  <c r="J374" i="6"/>
  <c r="J375" i="6" a="1"/>
  <c r="J375" i="6"/>
  <c r="J376" i="6" a="1"/>
  <c r="J376" i="6"/>
  <c r="J377" i="6" a="1"/>
  <c r="J377" i="6"/>
  <c r="J378" i="6" a="1"/>
  <c r="J378" i="6"/>
  <c r="J379" i="6" a="1"/>
  <c r="J379" i="6"/>
  <c r="J380" i="6" a="1"/>
  <c r="J380" i="6"/>
  <c r="J381" i="6" a="1"/>
  <c r="J381" i="6"/>
  <c r="J382" i="6" a="1"/>
  <c r="J382" i="6" s="1"/>
  <c r="J383" i="6" a="1"/>
  <c r="J383" i="6"/>
  <c r="J384" i="6" a="1"/>
  <c r="J384" i="6"/>
  <c r="J385" i="6" a="1"/>
  <c r="J385" i="6"/>
  <c r="J386" i="6" a="1"/>
  <c r="J386" i="6" s="1"/>
  <c r="J387" i="6" a="1"/>
  <c r="J387" i="6"/>
  <c r="J388" i="6" a="1"/>
  <c r="J388" i="6"/>
  <c r="J389" i="6" a="1"/>
  <c r="J389" i="6"/>
  <c r="J390" i="6" a="1"/>
  <c r="J390" i="6" s="1"/>
  <c r="J391" i="6" a="1"/>
  <c r="J391" i="6" s="1"/>
  <c r="J392" i="6" a="1"/>
  <c r="J392" i="6"/>
  <c r="J393" i="6" a="1"/>
  <c r="J393" i="6"/>
  <c r="J394" i="6" a="1"/>
  <c r="J394" i="6" s="1"/>
  <c r="J395" i="6" a="1"/>
  <c r="J395" i="6" s="1"/>
  <c r="J396" i="6" a="1"/>
  <c r="J396" i="6"/>
  <c r="J397" i="6" a="1"/>
  <c r="J397" i="6"/>
  <c r="J398" i="6" a="1"/>
  <c r="J398" i="6" s="1"/>
  <c r="J399" i="6" a="1"/>
  <c r="J399" i="6"/>
  <c r="J400" i="6" a="1"/>
  <c r="J400" i="6"/>
  <c r="J401" i="6" a="1"/>
  <c r="J401" i="6"/>
  <c r="J402" i="6" a="1"/>
  <c r="J402" i="6" s="1"/>
  <c r="J403" i="6" a="1"/>
  <c r="J403" i="6" s="1"/>
  <c r="J404" i="6" a="1"/>
  <c r="J404" i="6"/>
  <c r="J405" i="6" a="1"/>
  <c r="J405" i="6"/>
  <c r="J406" i="6" a="1"/>
  <c r="J406" i="6" s="1"/>
  <c r="J407" i="6" a="1"/>
  <c r="J407" i="6"/>
  <c r="J408" i="6" a="1"/>
  <c r="J408" i="6"/>
  <c r="J409" i="6" a="1"/>
  <c r="J409" i="6" s="1"/>
  <c r="J410" i="6" a="1"/>
  <c r="J410" i="6" s="1"/>
  <c r="J411" i="6" a="1"/>
  <c r="J411" i="6" s="1"/>
  <c r="J412" i="6" a="1"/>
  <c r="J412" i="6"/>
  <c r="J413" i="6" a="1"/>
  <c r="J413" i="6" s="1"/>
  <c r="J414" i="6" a="1"/>
  <c r="J414" i="6" s="1"/>
  <c r="J415" i="6" a="1"/>
  <c r="J415" i="6"/>
  <c r="J416" i="6" a="1"/>
  <c r="J416" i="6"/>
  <c r="J417" i="6" a="1"/>
  <c r="J417" i="6"/>
  <c r="J418" i="6" a="1"/>
  <c r="J418" i="6" s="1"/>
  <c r="J419" i="6" a="1"/>
  <c r="J419" i="6"/>
  <c r="J420" i="6" a="1"/>
  <c r="J420" i="6" s="1"/>
  <c r="J421" i="6" a="1"/>
  <c r="J421" i="6" s="1"/>
  <c r="J422" i="6" a="1"/>
  <c r="J422" i="6" s="1"/>
  <c r="J423" i="6" a="1"/>
  <c r="J423" i="6" s="1"/>
  <c r="J424" i="6" a="1"/>
  <c r="J424" i="6"/>
  <c r="J425" i="6" a="1"/>
  <c r="J425" i="6"/>
  <c r="J426" i="6" a="1"/>
  <c r="J426" i="6" s="1"/>
  <c r="J427" i="6" a="1"/>
  <c r="J427" i="6" s="1"/>
  <c r="J428" i="6" a="1"/>
  <c r="J428" i="6"/>
  <c r="J429" i="6" a="1"/>
  <c r="J429" i="6" s="1"/>
  <c r="J430" i="6" a="1"/>
  <c r="J430" i="6" s="1"/>
  <c r="J431" i="6" a="1"/>
  <c r="J431" i="6"/>
  <c r="J432" i="6" a="1"/>
  <c r="J432" i="6" s="1"/>
  <c r="J433" i="6" a="1"/>
  <c r="J433" i="6"/>
  <c r="J434" i="6" a="1"/>
  <c r="J434" i="6" s="1"/>
  <c r="J435" i="6" a="1"/>
  <c r="J435" i="6" s="1"/>
  <c r="J436" i="6" a="1"/>
  <c r="J436" i="6" s="1"/>
  <c r="J437" i="6" a="1"/>
  <c r="J437" i="6"/>
  <c r="J438" i="6" a="1"/>
  <c r="J438" i="6" s="1"/>
  <c r="J439" i="6" a="1"/>
  <c r="J439" i="6"/>
  <c r="J440" i="6" a="1"/>
  <c r="J440" i="6"/>
  <c r="J441" i="6" a="1"/>
  <c r="J441" i="6" s="1"/>
  <c r="J442" i="6" a="1"/>
  <c r="J442" i="6" s="1"/>
  <c r="J443" i="6" a="1"/>
  <c r="J443" i="6" s="1"/>
  <c r="J444" i="6" a="1"/>
  <c r="J444" i="6" s="1"/>
  <c r="J445" i="6" a="1"/>
  <c r="J445" i="6" s="1"/>
  <c r="J446" i="6" a="1"/>
  <c r="J446" i="6" s="1"/>
  <c r="J447" i="6" a="1"/>
  <c r="J447" i="6"/>
  <c r="J448" i="6" a="1"/>
  <c r="J448" i="6"/>
  <c r="J449" i="6" a="1"/>
  <c r="J449" i="6"/>
  <c r="J450" i="6" a="1"/>
  <c r="J450" i="6" s="1"/>
  <c r="J451" i="6" a="1"/>
  <c r="J451" i="6"/>
  <c r="J452" i="6" a="1"/>
  <c r="J452" i="6" s="1"/>
  <c r="J453" i="6" a="1"/>
  <c r="J453" i="6" s="1"/>
  <c r="J454" i="6" a="1"/>
  <c r="J454" i="6" s="1"/>
  <c r="J455" i="6" a="1"/>
  <c r="J455" i="6" s="1"/>
  <c r="J456" i="6" a="1"/>
  <c r="J456" i="6"/>
  <c r="J457" i="6" a="1"/>
  <c r="J457" i="6"/>
  <c r="J458" i="6" a="1"/>
  <c r="J458" i="6" s="1"/>
  <c r="J459" i="6" a="1"/>
  <c r="J459" i="6" s="1"/>
  <c r="J460" i="6" a="1"/>
  <c r="J460" i="6"/>
  <c r="J461" i="6" a="1"/>
  <c r="J461" i="6" s="1"/>
  <c r="J462" i="6" a="1"/>
  <c r="J462" i="6" s="1"/>
  <c r="J463" i="6" a="1"/>
  <c r="J463" i="6"/>
  <c r="J464" i="6" a="1"/>
  <c r="J464" i="6" s="1"/>
  <c r="J465" i="6" a="1"/>
  <c r="J465" i="6"/>
  <c r="J466" i="6" a="1"/>
  <c r="J466" i="6" s="1"/>
  <c r="J467" i="6" a="1"/>
  <c r="J467" i="6" s="1"/>
  <c r="J468" i="6" a="1"/>
  <c r="J468" i="6" s="1"/>
  <c r="J469" i="6" a="1"/>
  <c r="J469" i="6"/>
  <c r="J470" i="6" a="1"/>
  <c r="J470" i="6" s="1"/>
  <c r="J471" i="6" a="1"/>
  <c r="J471" i="6"/>
  <c r="J472" i="6" a="1"/>
  <c r="J472" i="6"/>
  <c r="J473" i="6" a="1"/>
  <c r="J473" i="6" s="1"/>
  <c r="J474" i="6" a="1"/>
  <c r="J474" i="6" s="1"/>
  <c r="J475" i="6" a="1"/>
  <c r="J475" i="6" s="1"/>
  <c r="J476" i="6" a="1"/>
  <c r="J476" i="6" s="1"/>
  <c r="J477" i="6" a="1"/>
  <c r="J477" i="6" s="1"/>
  <c r="J478" i="6" a="1"/>
  <c r="J478" i="6" s="1"/>
  <c r="J479" i="6" a="1"/>
  <c r="J479" i="6"/>
  <c r="J480" i="6" a="1"/>
  <c r="J480" i="6"/>
  <c r="J481" i="6" a="1"/>
  <c r="J481" i="6"/>
  <c r="J482" i="6" a="1"/>
  <c r="J482" i="6" s="1"/>
  <c r="J483" i="6" a="1"/>
  <c r="J483" i="6"/>
  <c r="J484" i="6" a="1"/>
  <c r="J484" i="6" s="1"/>
  <c r="J485" i="6" a="1"/>
  <c r="J485" i="6" s="1"/>
  <c r="J486" i="6" a="1"/>
  <c r="J486" i="6" s="1"/>
  <c r="J487" i="6" a="1"/>
  <c r="J487" i="6" s="1"/>
  <c r="J488" i="6" a="1"/>
  <c r="J488" i="6"/>
  <c r="J489" i="6" a="1"/>
  <c r="J489" i="6"/>
  <c r="J490" i="6" a="1"/>
  <c r="J490" i="6" s="1"/>
  <c r="J491" i="6" a="1"/>
  <c r="J491" i="6" s="1"/>
  <c r="J492" i="6" a="1"/>
  <c r="J492" i="6"/>
  <c r="J493" i="6" a="1"/>
  <c r="J493" i="6" s="1"/>
  <c r="J494" i="6" a="1"/>
  <c r="J494" i="6" s="1"/>
  <c r="J495" i="6" a="1"/>
  <c r="J495" i="6"/>
  <c r="J496" i="6" a="1"/>
  <c r="J496" i="6" s="1"/>
  <c r="J497" i="6" a="1"/>
  <c r="J497" i="6"/>
  <c r="J498" i="6" a="1"/>
  <c r="J498" i="6" s="1"/>
  <c r="J499" i="6" a="1"/>
  <c r="J499" i="6" s="1"/>
  <c r="J500" i="6" a="1"/>
  <c r="J500" i="6" s="1"/>
  <c r="J501" i="6" a="1"/>
  <c r="J501" i="6"/>
  <c r="J502" i="6" a="1"/>
  <c r="J502" i="6" s="1"/>
  <c r="J503" i="6" a="1"/>
  <c r="J503" i="6"/>
  <c r="J504" i="6" a="1"/>
  <c r="J504" i="6"/>
  <c r="J505" i="6" a="1"/>
  <c r="J505" i="6" s="1"/>
  <c r="J506" i="6" a="1"/>
  <c r="J506" i="6" s="1"/>
  <c r="J507" i="6" a="1"/>
  <c r="J507" i="6" s="1"/>
  <c r="J508" i="6" a="1"/>
  <c r="J508" i="6" s="1"/>
  <c r="J509" i="6" a="1"/>
  <c r="J509" i="6" s="1"/>
  <c r="J510" i="6" a="1"/>
  <c r="J510" i="6" s="1"/>
  <c r="J511" i="6" a="1"/>
  <c r="J511" i="6"/>
  <c r="J512" i="6" a="1"/>
  <c r="J512" i="6"/>
  <c r="J513" i="6" a="1"/>
  <c r="J513" i="6"/>
  <c r="J514" i="6" a="1"/>
  <c r="J514" i="6" s="1"/>
  <c r="J515" i="6" a="1"/>
  <c r="J515" i="6"/>
  <c r="J516" i="6" a="1"/>
  <c r="J516" i="6" s="1"/>
  <c r="J517" i="6" a="1"/>
  <c r="J517" i="6" s="1"/>
  <c r="J518" i="6" a="1"/>
  <c r="J518" i="6" s="1"/>
  <c r="J519" i="6" a="1"/>
  <c r="J519" i="6" s="1"/>
  <c r="J520" i="6" a="1"/>
  <c r="J520" i="6"/>
  <c r="J521" i="6" a="1"/>
  <c r="J521" i="6"/>
  <c r="J522" i="6" a="1"/>
  <c r="J522" i="6" s="1"/>
  <c r="J523" i="6" a="1"/>
  <c r="J523" i="6" s="1"/>
  <c r="J524" i="6" a="1"/>
  <c r="J524" i="6"/>
  <c r="J525" i="6" a="1"/>
  <c r="J525" i="6" s="1"/>
  <c r="J526" i="6" a="1"/>
  <c r="J526" i="6" s="1"/>
  <c r="J527" i="6" a="1"/>
  <c r="J527" i="6"/>
  <c r="J528" i="6" a="1"/>
  <c r="J528" i="6" s="1"/>
  <c r="J529" i="6" a="1"/>
  <c r="J529" i="6"/>
  <c r="J530" i="6" a="1"/>
  <c r="J530" i="6" s="1"/>
  <c r="J531" i="6" a="1"/>
  <c r="J531" i="6" s="1"/>
  <c r="J532" i="6" a="1"/>
  <c r="J532" i="6" s="1"/>
  <c r="J533" i="6" a="1"/>
  <c r="J533" i="6"/>
  <c r="J534" i="6" a="1"/>
  <c r="J534" i="6" s="1"/>
  <c r="J535" i="6" a="1"/>
  <c r="J535" i="6"/>
  <c r="J536" i="6" a="1"/>
  <c r="J536" i="6"/>
  <c r="J537" i="6" a="1"/>
  <c r="J537" i="6" s="1"/>
  <c r="J538" i="6" a="1"/>
  <c r="J538" i="6" s="1"/>
  <c r="J539" i="6" a="1"/>
  <c r="J539" i="6" s="1"/>
  <c r="J540" i="6" a="1"/>
  <c r="J540" i="6" s="1"/>
  <c r="J541" i="6" a="1"/>
  <c r="J541" i="6" s="1"/>
  <c r="J542" i="6" a="1"/>
  <c r="J542" i="6" s="1"/>
  <c r="J543" i="6" a="1"/>
  <c r="J543" i="6"/>
  <c r="J544" i="6" a="1"/>
  <c r="J544" i="6"/>
  <c r="J545" i="6" a="1"/>
  <c r="J545" i="6"/>
  <c r="J546" i="6" a="1"/>
  <c r="J546" i="6" s="1"/>
  <c r="J547" i="6" a="1"/>
  <c r="J547" i="6"/>
  <c r="J548" i="6" a="1"/>
  <c r="J548" i="6" s="1"/>
  <c r="J549" i="6" a="1"/>
  <c r="J549" i="6" s="1"/>
  <c r="J550" i="6" a="1"/>
  <c r="J550" i="6" s="1"/>
  <c r="J551" i="6" a="1"/>
  <c r="J551" i="6" s="1"/>
  <c r="J552" i="6" a="1"/>
  <c r="J552" i="6"/>
  <c r="J553" i="6" a="1"/>
  <c r="J553" i="6"/>
  <c r="J554" i="6" a="1"/>
  <c r="J554" i="6" s="1"/>
  <c r="J555" i="6" a="1"/>
  <c r="J555" i="6" s="1"/>
  <c r="J556" i="6" a="1"/>
  <c r="J556" i="6"/>
  <c r="J557" i="6" a="1"/>
  <c r="J557" i="6" s="1"/>
  <c r="J558" i="6" a="1"/>
  <c r="J558" i="6" s="1"/>
  <c r="J559" i="6" a="1"/>
  <c r="J559" i="6"/>
  <c r="J560" i="6" a="1"/>
  <c r="J560" i="6" s="1"/>
  <c r="J561" i="6" a="1"/>
  <c r="J561" i="6"/>
  <c r="J562" i="6" a="1"/>
  <c r="J562" i="6" s="1"/>
  <c r="J563" i="6" a="1"/>
  <c r="J563" i="6" s="1"/>
  <c r="J564" i="6" a="1"/>
  <c r="J564" i="6" s="1"/>
  <c r="J565" i="6" a="1"/>
  <c r="J565" i="6"/>
  <c r="J566" i="6" a="1"/>
  <c r="J566" i="6" s="1"/>
  <c r="J567" i="6" a="1"/>
  <c r="J567" i="6"/>
  <c r="J568" i="6" a="1"/>
  <c r="J568" i="6"/>
  <c r="J569" i="6" a="1"/>
  <c r="J569" i="6" s="1"/>
  <c r="J570" i="6" a="1"/>
  <c r="J570" i="6" s="1"/>
  <c r="J571" i="6" a="1"/>
  <c r="J571" i="6" s="1"/>
  <c r="J572" i="6" a="1"/>
  <c r="J572" i="6" s="1"/>
  <c r="J573" i="6" a="1"/>
  <c r="J573" i="6" s="1"/>
  <c r="J574" i="6" a="1"/>
  <c r="J574" i="6" s="1"/>
  <c r="J575" i="6" a="1"/>
  <c r="J575" i="6"/>
  <c r="J576" i="6" a="1"/>
  <c r="J576" i="6"/>
  <c r="J577" i="6" a="1"/>
  <c r="J577" i="6"/>
  <c r="J578" i="6" a="1"/>
  <c r="J578" i="6" s="1"/>
  <c r="J579" i="6" a="1"/>
  <c r="J579" i="6"/>
  <c r="J580" i="6" a="1"/>
  <c r="J580" i="6" s="1"/>
  <c r="J581" i="6" a="1"/>
  <c r="J581" i="6" s="1"/>
  <c r="J582" i="6" a="1"/>
  <c r="J582" i="6" s="1"/>
  <c r="J583" i="6" a="1"/>
  <c r="J583" i="6" s="1"/>
  <c r="J584" i="6" a="1"/>
  <c r="J584" i="6"/>
  <c r="J585" i="6" a="1"/>
  <c r="J585" i="6"/>
  <c r="J586" i="6" a="1"/>
  <c r="J586" i="6" s="1"/>
  <c r="J587" i="6" a="1"/>
  <c r="J587" i="6" s="1"/>
  <c r="J588" i="6" a="1"/>
  <c r="J588" i="6"/>
  <c r="J589" i="6" a="1"/>
  <c r="J589" i="6" s="1"/>
  <c r="J590" i="6" a="1"/>
  <c r="J590" i="6" s="1"/>
  <c r="J591" i="6" a="1"/>
  <c r="J591" i="6"/>
  <c r="J592" i="6" a="1"/>
  <c r="J592" i="6" s="1"/>
  <c r="J593" i="6" a="1"/>
  <c r="J593" i="6"/>
  <c r="J594" i="6" a="1"/>
  <c r="J594" i="6" s="1"/>
  <c r="J595" i="6" a="1"/>
  <c r="J595" i="6" s="1"/>
  <c r="J596" i="6" a="1"/>
  <c r="J596" i="6" s="1"/>
  <c r="J597" i="6" a="1"/>
  <c r="J597" i="6"/>
  <c r="J598" i="6" a="1"/>
  <c r="J598" i="6" s="1"/>
  <c r="J599" i="6" a="1"/>
  <c r="J599" i="6"/>
  <c r="J600" i="6" a="1"/>
  <c r="J600" i="6"/>
  <c r="J601" i="6" a="1"/>
  <c r="J601" i="6" s="1"/>
  <c r="J602" i="6" a="1"/>
  <c r="J602" i="6" s="1"/>
  <c r="J603" i="6" a="1"/>
  <c r="J603" i="6" s="1"/>
  <c r="J604" i="6" a="1"/>
  <c r="J604" i="6" s="1"/>
  <c r="J605" i="6" a="1"/>
  <c r="J605" i="6" s="1"/>
  <c r="J606" i="6" a="1"/>
  <c r="J606" i="6" s="1"/>
  <c r="J607" i="6" a="1"/>
  <c r="J607" i="6"/>
  <c r="J608" i="6" a="1"/>
  <c r="J608" i="6"/>
  <c r="J609" i="6" a="1"/>
  <c r="J609" i="6"/>
  <c r="J610" i="6" a="1"/>
  <c r="J610" i="6" s="1"/>
  <c r="J611" i="6" a="1"/>
  <c r="J611" i="6"/>
  <c r="J612" i="6" a="1"/>
  <c r="J612" i="6" s="1"/>
  <c r="J613" i="6" a="1"/>
  <c r="J613" i="6" s="1"/>
  <c r="J614" i="6" a="1"/>
  <c r="J614" i="6" s="1"/>
  <c r="J615" i="6" a="1"/>
  <c r="J615" i="6" s="1"/>
  <c r="J616" i="6" a="1"/>
  <c r="J616" i="6"/>
  <c r="J617" i="6" a="1"/>
  <c r="J617" i="6"/>
  <c r="J618" i="6" a="1"/>
  <c r="J618" i="6" s="1"/>
  <c r="J619" i="6" a="1"/>
  <c r="J619" i="6" s="1"/>
  <c r="J620" i="6" a="1"/>
  <c r="J620" i="6"/>
  <c r="J621" i="6" a="1"/>
  <c r="J621" i="6" s="1"/>
  <c r="J622" i="6" a="1"/>
  <c r="J622" i="6" s="1"/>
  <c r="J623" i="6" a="1"/>
  <c r="J623" i="6"/>
  <c r="J624" i="6" a="1"/>
  <c r="J624" i="6" s="1"/>
  <c r="J625" i="6" a="1"/>
  <c r="J625" i="6"/>
  <c r="J626" i="6" a="1"/>
  <c r="J626" i="6" s="1"/>
  <c r="J627" i="6" a="1"/>
  <c r="J627" i="6" s="1"/>
  <c r="J628" i="6" a="1"/>
  <c r="J628" i="6" s="1"/>
  <c r="J629" i="6" a="1"/>
  <c r="J629" i="6"/>
  <c r="J630" i="6" a="1"/>
  <c r="J630" i="6" s="1"/>
  <c r="J631" i="6" a="1"/>
  <c r="J631" i="6"/>
  <c r="J632" i="6" a="1"/>
  <c r="J632" i="6"/>
  <c r="J633" i="6" a="1"/>
  <c r="J633" i="6" s="1"/>
  <c r="J634" i="6" a="1"/>
  <c r="J634" i="6" s="1"/>
  <c r="J635" i="6" a="1"/>
  <c r="J635" i="6" s="1"/>
  <c r="J636" i="6" a="1"/>
  <c r="J636" i="6" s="1"/>
  <c r="J637" i="6" a="1"/>
  <c r="J637" i="6" s="1"/>
  <c r="J638" i="6" a="1"/>
  <c r="J638" i="6" s="1"/>
  <c r="J639" i="6" a="1"/>
  <c r="J639" i="6"/>
  <c r="J640" i="6" a="1"/>
  <c r="J640" i="6"/>
  <c r="J641" i="6" a="1"/>
  <c r="J641" i="6"/>
  <c r="J642" i="6" a="1"/>
  <c r="J642" i="6" s="1"/>
  <c r="J643" i="6" a="1"/>
  <c r="J643" i="6"/>
  <c r="J644" i="6" a="1"/>
  <c r="J644" i="6" s="1"/>
  <c r="J645" i="6" a="1"/>
  <c r="J645" i="6" s="1"/>
  <c r="J646" i="6" a="1"/>
  <c r="J646" i="6" s="1"/>
  <c r="J647" i="6" a="1"/>
  <c r="J647" i="6" s="1"/>
  <c r="J648" i="6" a="1"/>
  <c r="J648" i="6"/>
  <c r="J649" i="6" a="1"/>
  <c r="J649" i="6"/>
  <c r="J650" i="6" a="1"/>
  <c r="J650" i="6" s="1"/>
  <c r="J651" i="6" a="1"/>
  <c r="J651" i="6" s="1"/>
  <c r="J652" i="6" a="1"/>
  <c r="J652" i="6"/>
  <c r="J653" i="6" a="1"/>
  <c r="J653" i="6" s="1"/>
  <c r="J654" i="6" a="1"/>
  <c r="J654" i="6" s="1"/>
  <c r="J655" i="6" a="1"/>
  <c r="J655" i="6"/>
  <c r="J656" i="6" a="1"/>
  <c r="J656" i="6" s="1"/>
  <c r="J657" i="6" a="1"/>
  <c r="J657" i="6"/>
  <c r="J658" i="6" a="1"/>
  <c r="J658" i="6" s="1"/>
  <c r="J659" i="6" a="1"/>
  <c r="J659" i="6" s="1"/>
  <c r="J660" i="6" a="1"/>
  <c r="J660" i="6" s="1"/>
  <c r="J661" i="6" a="1"/>
  <c r="J661" i="6"/>
  <c r="J662" i="6" a="1"/>
  <c r="J662" i="6" s="1"/>
  <c r="J663" i="6" a="1"/>
  <c r="J663" i="6"/>
  <c r="J664" i="6" a="1"/>
  <c r="J664" i="6"/>
  <c r="J665" i="6" a="1"/>
  <c r="J665" i="6" s="1"/>
  <c r="J666" i="6" a="1"/>
  <c r="J666" i="6" s="1"/>
  <c r="J667" i="6" a="1"/>
  <c r="J667" i="6" s="1"/>
  <c r="J668" i="6" a="1"/>
  <c r="J668" i="6" s="1"/>
  <c r="J669" i="6" a="1"/>
  <c r="J669" i="6" s="1"/>
  <c r="J670" i="6" a="1"/>
  <c r="J670" i="6" s="1"/>
  <c r="J671" i="6" a="1"/>
  <c r="J671" i="6"/>
  <c r="J672" i="6" a="1"/>
  <c r="J672" i="6"/>
  <c r="J673" i="6" a="1"/>
  <c r="J673" i="6"/>
  <c r="J674" i="6" a="1"/>
  <c r="J674" i="6" s="1"/>
  <c r="J675" i="6" a="1"/>
  <c r="J675" i="6"/>
  <c r="J676" i="6" a="1"/>
  <c r="J676" i="6" s="1"/>
  <c r="J677" i="6" a="1"/>
  <c r="J677" i="6" s="1"/>
  <c r="J678" i="6" a="1"/>
  <c r="J678" i="6" s="1"/>
  <c r="J679" i="6" a="1"/>
  <c r="J679" i="6" s="1"/>
  <c r="J680" i="6" a="1"/>
  <c r="J680" i="6"/>
  <c r="J681" i="6" a="1"/>
  <c r="J681" i="6"/>
  <c r="J682" i="6" a="1"/>
  <c r="J682" i="6" s="1"/>
  <c r="J683" i="6" a="1"/>
  <c r="J683" i="6" s="1"/>
  <c r="J684" i="6" a="1"/>
  <c r="J684" i="6"/>
  <c r="J685" i="6" a="1"/>
  <c r="J685" i="6" s="1"/>
  <c r="J686" i="6" a="1"/>
  <c r="J686" i="6" s="1"/>
  <c r="J687" i="6" a="1"/>
  <c r="J687" i="6"/>
  <c r="J688" i="6" a="1"/>
  <c r="J688" i="6" s="1"/>
  <c r="J689" i="6" a="1"/>
  <c r="J689" i="6"/>
  <c r="J690" i="6" a="1"/>
  <c r="J690" i="6" s="1"/>
  <c r="J691" i="6" a="1"/>
  <c r="J691" i="6" s="1"/>
  <c r="J692" i="6" a="1"/>
  <c r="J692" i="6" s="1"/>
  <c r="J693" i="6" a="1"/>
  <c r="J693" i="6"/>
  <c r="J694" i="6" a="1"/>
  <c r="J694" i="6" s="1"/>
  <c r="J695" i="6" a="1"/>
  <c r="J695" i="6"/>
  <c r="J696" i="6" a="1"/>
  <c r="J696" i="6"/>
  <c r="J697" i="6" a="1"/>
  <c r="J697" i="6" s="1"/>
  <c r="J698" i="6" a="1"/>
  <c r="J698" i="6" s="1"/>
  <c r="J699" i="6" a="1"/>
  <c r="J699" i="6" s="1"/>
  <c r="J700" i="6" a="1"/>
  <c r="J700" i="6" s="1"/>
  <c r="J701" i="6" a="1"/>
  <c r="J701" i="6" s="1"/>
  <c r="J702" i="6" a="1"/>
  <c r="J702" i="6" s="1"/>
  <c r="J703" i="6" a="1"/>
  <c r="J703" i="6"/>
  <c r="J704" i="6" a="1"/>
  <c r="J704" i="6"/>
  <c r="J705" i="6" a="1"/>
  <c r="J705" i="6"/>
  <c r="J706" i="6" a="1"/>
  <c r="J706" i="6" s="1"/>
  <c r="J707" i="6" a="1"/>
  <c r="J707" i="6"/>
  <c r="J708" i="6" a="1"/>
  <c r="J708" i="6" s="1"/>
  <c r="J709" i="6" a="1"/>
  <c r="J709" i="6" s="1"/>
  <c r="J710" i="6" a="1"/>
  <c r="J710" i="6" s="1"/>
  <c r="J711" i="6" a="1"/>
  <c r="J711" i="6" s="1"/>
  <c r="J712" i="6" a="1"/>
  <c r="J712" i="6" s="1"/>
  <c r="J713" i="6" a="1"/>
  <c r="J713" i="6"/>
  <c r="J714" i="6" a="1"/>
  <c r="J714" i="6" s="1"/>
  <c r="J715" i="6" a="1"/>
  <c r="J715" i="6" s="1"/>
  <c r="J716" i="6" a="1"/>
  <c r="J716" i="6"/>
  <c r="J717" i="6" a="1"/>
  <c r="J717" i="6" s="1"/>
  <c r="J718" i="6" a="1"/>
  <c r="J718" i="6" s="1"/>
  <c r="J719" i="6" a="1"/>
  <c r="J719" i="6"/>
  <c r="J720" i="6" a="1"/>
  <c r="J720" i="6" s="1"/>
  <c r="J721" i="6" a="1"/>
  <c r="J721" i="6" s="1"/>
  <c r="J722" i="6" a="1"/>
  <c r="J722" i="6"/>
  <c r="J723" i="6" a="1"/>
  <c r="J723" i="6" s="1"/>
  <c r="J724" i="6" a="1"/>
  <c r="J724" i="6" s="1"/>
  <c r="J725" i="6" a="1"/>
  <c r="J725" i="6" s="1"/>
  <c r="J726" i="6" a="1"/>
  <c r="J726" i="6"/>
  <c r="J727" i="6" a="1"/>
  <c r="J727" i="6" s="1"/>
  <c r="J728" i="6" a="1"/>
  <c r="J728" i="6" s="1"/>
  <c r="J729" i="6" a="1"/>
  <c r="J729" i="6" s="1"/>
  <c r="J730" i="6" a="1"/>
  <c r="J730" i="6" s="1"/>
  <c r="J731" i="6" a="1"/>
  <c r="J731" i="6"/>
  <c r="J732" i="6" a="1"/>
  <c r="J732" i="6" s="1"/>
  <c r="J733" i="6" a="1"/>
  <c r="J733" i="6"/>
  <c r="J734" i="6" a="1"/>
  <c r="J734" i="6" s="1"/>
  <c r="J735" i="6" a="1"/>
  <c r="J735" i="6" s="1"/>
  <c r="J736" i="6" a="1"/>
  <c r="J736" i="6" s="1"/>
  <c r="J737" i="6" a="1"/>
  <c r="J737" i="6" s="1"/>
  <c r="J738" i="6" a="1"/>
  <c r="J738" i="6" s="1"/>
  <c r="J739" i="6" a="1"/>
  <c r="J739" i="6" s="1"/>
  <c r="J740" i="6" a="1"/>
  <c r="J740" i="6" s="1"/>
  <c r="J741" i="6" a="1"/>
  <c r="J741" i="6" s="1"/>
  <c r="J742" i="6" a="1"/>
  <c r="J742" i="6"/>
  <c r="J743" i="6" a="1"/>
  <c r="J743" i="6" s="1"/>
  <c r="J744" i="6" a="1"/>
  <c r="J744" i="6" s="1"/>
  <c r="J745" i="6" a="1"/>
  <c r="J745" i="6"/>
  <c r="J746" i="6" a="1"/>
  <c r="J746" i="6" s="1"/>
  <c r="J747" i="6" a="1"/>
  <c r="J747" i="6" s="1"/>
  <c r="J748" i="6" a="1"/>
  <c r="J748" i="6" s="1"/>
  <c r="J749" i="6" a="1"/>
  <c r="J749" i="6" s="1"/>
  <c r="J750" i="6" a="1"/>
  <c r="J750" i="6" s="1"/>
  <c r="J751" i="6" a="1"/>
  <c r="J751" i="6"/>
  <c r="J752" i="6" a="1"/>
  <c r="J752" i="6" s="1"/>
  <c r="J753" i="6" a="1"/>
  <c r="J753" i="6" s="1"/>
  <c r="J754" i="6" a="1"/>
  <c r="J754" i="6"/>
  <c r="J755" i="6" a="1"/>
  <c r="J755" i="6" s="1"/>
  <c r="J756" i="6" a="1"/>
  <c r="J756" i="6" s="1"/>
  <c r="J757" i="6" a="1"/>
  <c r="J757" i="6" s="1"/>
  <c r="J758" i="6" a="1"/>
  <c r="J758" i="6" s="1"/>
  <c r="J759" i="6" a="1"/>
  <c r="J759" i="6" s="1"/>
  <c r="J760" i="6" a="1"/>
  <c r="J760" i="6" s="1"/>
  <c r="J761" i="6" a="1"/>
  <c r="J761" i="6" s="1"/>
  <c r="J762" i="6" a="1"/>
  <c r="J762" i="6" s="1"/>
  <c r="J763" i="6" a="1"/>
  <c r="J763" i="6"/>
  <c r="J764" i="6" a="1"/>
  <c r="J764" i="6" s="1"/>
  <c r="J765" i="6" a="1"/>
  <c r="J765" i="6"/>
  <c r="J766" i="6" a="1"/>
  <c r="J766" i="6" s="1"/>
  <c r="J767" i="6" a="1"/>
  <c r="J767" i="6" s="1"/>
  <c r="J768" i="6" a="1"/>
  <c r="J768" i="6" s="1"/>
  <c r="J769" i="6" a="1"/>
  <c r="J769" i="6" s="1"/>
  <c r="J770" i="6" a="1"/>
  <c r="J770" i="6" s="1"/>
  <c r="J771" i="6" a="1"/>
  <c r="J771" i="6" s="1"/>
  <c r="J772" i="6" a="1"/>
  <c r="J772" i="6" s="1"/>
  <c r="J773" i="6" a="1"/>
  <c r="J773" i="6" s="1"/>
  <c r="J774" i="6" a="1"/>
  <c r="J774" i="6"/>
  <c r="J775" i="6" a="1"/>
  <c r="J775" i="6" s="1"/>
  <c r="J776" i="6" a="1"/>
  <c r="J776" i="6" s="1"/>
  <c r="J777" i="6" a="1"/>
  <c r="J777" i="6"/>
  <c r="J778" i="6" a="1"/>
  <c r="J778" i="6" s="1"/>
  <c r="J779" i="6" a="1"/>
  <c r="J779" i="6" s="1"/>
  <c r="J780" i="6" a="1"/>
  <c r="J780" i="6" s="1"/>
  <c r="J781" i="6" a="1"/>
  <c r="J781" i="6" s="1"/>
  <c r="J782" i="6" a="1"/>
  <c r="J782" i="6" s="1"/>
  <c r="J783" i="6" a="1"/>
  <c r="J783" i="6"/>
  <c r="J784" i="6" a="1"/>
  <c r="J784" i="6" s="1"/>
  <c r="J785" i="6" a="1"/>
  <c r="J785" i="6" s="1"/>
  <c r="J786" i="6" a="1"/>
  <c r="J786" i="6"/>
  <c r="J787" i="6" a="1"/>
  <c r="J787" i="6" s="1"/>
  <c r="J788" i="6" a="1"/>
  <c r="J788" i="6" s="1"/>
  <c r="J789" i="6" a="1"/>
  <c r="J789" i="6" s="1"/>
  <c r="J790" i="6" a="1"/>
  <c r="J790" i="6" s="1"/>
  <c r="J791" i="6" a="1"/>
  <c r="J791" i="6" s="1"/>
  <c r="J792" i="6" a="1"/>
  <c r="J792" i="6" s="1"/>
  <c r="J793" i="6" a="1"/>
  <c r="J793" i="6" s="1"/>
  <c r="J794" i="6" a="1"/>
  <c r="J794" i="6" s="1"/>
  <c r="J795" i="6" a="1"/>
  <c r="J795" i="6"/>
  <c r="J796" i="6" a="1"/>
  <c r="J796" i="6" s="1"/>
  <c r="J797" i="6" a="1"/>
  <c r="J797" i="6"/>
  <c r="J798" i="6" a="1"/>
  <c r="J798" i="6" s="1"/>
  <c r="J799" i="6" a="1"/>
  <c r="J799" i="6" s="1"/>
  <c r="J800" i="6" a="1"/>
  <c r="J800" i="6" s="1"/>
  <c r="J801" i="6" a="1"/>
  <c r="J801" i="6" s="1"/>
  <c r="J802" i="6" a="1"/>
  <c r="J802" i="6" s="1"/>
  <c r="J803" i="6" a="1"/>
  <c r="J803" i="6" s="1"/>
  <c r="J804" i="6" a="1"/>
  <c r="J804" i="6" s="1"/>
  <c r="J805" i="6" a="1"/>
  <c r="J805" i="6" s="1"/>
  <c r="J806" i="6" a="1"/>
  <c r="J806" i="6"/>
  <c r="J807" i="6" a="1"/>
  <c r="J807" i="6" s="1"/>
  <c r="J808" i="6" a="1"/>
  <c r="J808" i="6" s="1"/>
  <c r="J809" i="6" a="1"/>
  <c r="J809" i="6"/>
  <c r="J810" i="6" a="1"/>
  <c r="J810" i="6" s="1"/>
  <c r="J811" i="6" a="1"/>
  <c r="J811" i="6" s="1"/>
  <c r="J812" i="6" a="1"/>
  <c r="J812" i="6" s="1"/>
  <c r="J813" i="6" a="1"/>
  <c r="J813" i="6" s="1"/>
  <c r="J814" i="6" a="1"/>
  <c r="J814" i="6" s="1"/>
  <c r="J815" i="6" a="1"/>
  <c r="J815" i="6"/>
  <c r="J816" i="6" a="1"/>
  <c r="J816" i="6" s="1"/>
  <c r="J817" i="6" a="1"/>
  <c r="J817" i="6" s="1"/>
  <c r="J818" i="6" a="1"/>
  <c r="J818" i="6"/>
  <c r="J819" i="6" a="1"/>
  <c r="J819" i="6" s="1"/>
  <c r="J820" i="6" a="1"/>
  <c r="J820" i="6" s="1"/>
  <c r="J821" i="6" a="1"/>
  <c r="J821" i="6" s="1"/>
  <c r="J822" i="6" a="1"/>
  <c r="J822" i="6" s="1"/>
  <c r="J823" i="6" a="1"/>
  <c r="J823" i="6" s="1"/>
  <c r="J824" i="6" a="1"/>
  <c r="J824" i="6" s="1"/>
  <c r="J825" i="6" a="1"/>
  <c r="J825" i="6" s="1"/>
  <c r="J826" i="6" a="1"/>
  <c r="J826" i="6" s="1"/>
  <c r="J827" i="6" a="1"/>
  <c r="J827" i="6"/>
  <c r="J828" i="6" a="1"/>
  <c r="J828" i="6" s="1"/>
  <c r="J829" i="6" a="1"/>
  <c r="J829" i="6"/>
  <c r="J830" i="6" a="1"/>
  <c r="J830" i="6" s="1"/>
  <c r="J831" i="6" a="1"/>
  <c r="J831" i="6" s="1"/>
  <c r="J832" i="6" a="1"/>
  <c r="J832" i="6" s="1"/>
  <c r="J833" i="6" a="1"/>
  <c r="J833" i="6" s="1"/>
  <c r="J834" i="6" a="1"/>
  <c r="J834" i="6" s="1"/>
  <c r="J835" i="6" a="1"/>
  <c r="J835" i="6" s="1"/>
  <c r="J836" i="6" a="1"/>
  <c r="J836" i="6" s="1"/>
  <c r="J837" i="6" a="1"/>
  <c r="J837" i="6" s="1"/>
  <c r="J838" i="6" a="1"/>
  <c r="J838" i="6"/>
  <c r="J839" i="6" a="1"/>
  <c r="J839" i="6" s="1"/>
  <c r="J840" i="6" a="1"/>
  <c r="J840" i="6" s="1"/>
  <c r="J841" i="6" a="1"/>
  <c r="J841" i="6"/>
  <c r="J842" i="6" a="1"/>
  <c r="J842" i="6" s="1"/>
  <c r="J843" i="6" a="1"/>
  <c r="J843" i="6" s="1"/>
  <c r="J844" i="6" a="1"/>
  <c r="J844" i="6" s="1"/>
  <c r="J845" i="6" a="1"/>
  <c r="J845" i="6" s="1"/>
  <c r="J846" i="6" a="1"/>
  <c r="J846" i="6" s="1"/>
  <c r="J847" i="6" a="1"/>
  <c r="J847" i="6"/>
  <c r="J848" i="6" a="1"/>
  <c r="J848" i="6" s="1"/>
  <c r="J849" i="6" a="1"/>
  <c r="J849" i="6" s="1"/>
  <c r="J850" i="6" a="1"/>
  <c r="J850" i="6"/>
  <c r="J851" i="6" a="1"/>
  <c r="J851" i="6" s="1"/>
  <c r="J852" i="6" a="1"/>
  <c r="J852" i="6" s="1"/>
  <c r="J853" i="6" a="1"/>
  <c r="J853" i="6" s="1"/>
  <c r="J854" i="6" a="1"/>
  <c r="J854" i="6" s="1"/>
  <c r="J855" i="6" a="1"/>
  <c r="J855" i="6" s="1"/>
  <c r="J856" i="6" a="1"/>
  <c r="J856" i="6" s="1"/>
  <c r="J857" i="6" a="1"/>
  <c r="J857" i="6" s="1"/>
  <c r="J858" i="6" a="1"/>
  <c r="J858" i="6" s="1"/>
  <c r="J859" i="6" a="1"/>
  <c r="J859" i="6"/>
  <c r="J860" i="6" a="1"/>
  <c r="J860" i="6" s="1"/>
  <c r="J861" i="6" a="1"/>
  <c r="J861" i="6"/>
  <c r="J862" i="6" a="1"/>
  <c r="J862" i="6" s="1"/>
  <c r="J863" i="6" a="1"/>
  <c r="J863" i="6" s="1"/>
  <c r="J864" i="6" a="1"/>
  <c r="J864" i="6" s="1"/>
  <c r="J865" i="6" a="1"/>
  <c r="J865" i="6" s="1"/>
  <c r="J866" i="6" a="1"/>
  <c r="J866" i="6" s="1"/>
  <c r="J867" i="6" a="1"/>
  <c r="J867" i="6" s="1"/>
  <c r="J868" i="6" a="1"/>
  <c r="J868" i="6" s="1"/>
  <c r="J869" i="6" a="1"/>
  <c r="J869" i="6" s="1"/>
  <c r="J870" i="6" a="1"/>
  <c r="J870" i="6"/>
  <c r="J871" i="6" a="1"/>
  <c r="J871" i="6" s="1"/>
  <c r="J872" i="6" a="1"/>
  <c r="J872" i="6" s="1"/>
  <c r="J873" i="6" a="1"/>
  <c r="J873" i="6"/>
  <c r="J874" i="6" a="1"/>
  <c r="J874" i="6" s="1"/>
  <c r="J875" i="6" a="1"/>
  <c r="J875" i="6" s="1"/>
  <c r="J876" i="6" a="1"/>
  <c r="J876" i="6" s="1"/>
  <c r="J877" i="6" a="1"/>
  <c r="J877" i="6" s="1"/>
  <c r="J878" i="6" a="1"/>
  <c r="J878" i="6" s="1"/>
  <c r="J879" i="6" a="1"/>
  <c r="J879" i="6"/>
  <c r="J880" i="6" a="1"/>
  <c r="J880" i="6" s="1"/>
  <c r="J881" i="6" a="1"/>
  <c r="J881" i="6" s="1"/>
  <c r="J882" i="6" a="1"/>
  <c r="J882" i="6"/>
  <c r="J883" i="6" a="1"/>
  <c r="J883" i="6" s="1"/>
  <c r="J884" i="6" a="1"/>
  <c r="J884" i="6" s="1"/>
  <c r="J885" i="6" a="1"/>
  <c r="J885" i="6" s="1"/>
  <c r="J886" i="6" a="1"/>
  <c r="J886" i="6" s="1"/>
  <c r="J887" i="6" a="1"/>
  <c r="J887" i="6" s="1"/>
  <c r="J888" i="6" a="1"/>
  <c r="J888" i="6" s="1"/>
  <c r="J889" i="6" a="1"/>
  <c r="J889" i="6" s="1"/>
  <c r="J890" i="6" a="1"/>
  <c r="J890" i="6" s="1"/>
  <c r="J891" i="6" a="1"/>
  <c r="J891" i="6"/>
  <c r="J892" i="6" a="1"/>
  <c r="J892" i="6" s="1"/>
  <c r="J893" i="6" a="1"/>
  <c r="J893" i="6"/>
  <c r="J894" i="6" a="1"/>
  <c r="J894" i="6" s="1"/>
  <c r="J895" i="6" a="1"/>
  <c r="J895" i="6" s="1"/>
  <c r="J896" i="6" a="1"/>
  <c r="J896" i="6" s="1"/>
  <c r="J897" i="6" a="1"/>
  <c r="J897" i="6" s="1"/>
  <c r="J898" i="6" a="1"/>
  <c r="J898" i="6" s="1"/>
  <c r="J899" i="6" a="1"/>
  <c r="J899" i="6" s="1"/>
  <c r="J900" i="6" a="1"/>
  <c r="J900" i="6" s="1"/>
  <c r="J901" i="6" a="1"/>
  <c r="J901" i="6" s="1"/>
  <c r="J902" i="6" a="1"/>
  <c r="J902" i="6"/>
  <c r="J903" i="6" a="1"/>
  <c r="J903" i="6" s="1"/>
  <c r="J904" i="6" a="1"/>
  <c r="J904" i="6" s="1"/>
  <c r="J905" i="6" a="1"/>
  <c r="J905" i="6"/>
  <c r="J906" i="6" a="1"/>
  <c r="J906" i="6" s="1"/>
  <c r="J907" i="6" a="1"/>
  <c r="J907" i="6" s="1"/>
  <c r="J908" i="6" a="1"/>
  <c r="J908" i="6" s="1"/>
  <c r="J909" i="6" a="1"/>
  <c r="J909" i="6" s="1"/>
  <c r="J910" i="6" a="1"/>
  <c r="J910" i="6" s="1"/>
  <c r="J911" i="6" a="1"/>
  <c r="J911" i="6"/>
  <c r="J912" i="6" a="1"/>
  <c r="J912" i="6" s="1"/>
  <c r="J913" i="6" a="1"/>
  <c r="J913" i="6" s="1"/>
  <c r="J914" i="6" a="1"/>
  <c r="J914" i="6"/>
  <c r="J915" i="6" a="1"/>
  <c r="J915" i="6" s="1"/>
  <c r="J916" i="6" a="1"/>
  <c r="J916" i="6" s="1"/>
  <c r="J917" i="6" a="1"/>
  <c r="J917" i="6" s="1"/>
  <c r="J918" i="6" a="1"/>
  <c r="J918" i="6" s="1"/>
  <c r="J919" i="6" a="1"/>
  <c r="J919" i="6" s="1"/>
  <c r="J920" i="6" a="1"/>
  <c r="J920" i="6" s="1"/>
  <c r="J921" i="6" a="1"/>
  <c r="J921" i="6" s="1"/>
  <c r="J922" i="6" a="1"/>
  <c r="J922" i="6" s="1"/>
  <c r="J923" i="6" a="1"/>
  <c r="J923" i="6"/>
  <c r="J924" i="6" a="1"/>
  <c r="J924" i="6" s="1"/>
  <c r="J925" i="6" a="1"/>
  <c r="J925" i="6"/>
  <c r="J926" i="6" a="1"/>
  <c r="J926" i="6" s="1"/>
  <c r="J927" i="6" a="1"/>
  <c r="J927" i="6" s="1"/>
  <c r="J928" i="6" a="1"/>
  <c r="J928" i="6" s="1"/>
  <c r="J929" i="6" a="1"/>
  <c r="J929" i="6" s="1"/>
  <c r="J930" i="6" a="1"/>
  <c r="J930" i="6" s="1"/>
  <c r="J931" i="6" a="1"/>
  <c r="J931" i="6" s="1"/>
  <c r="J932" i="6" a="1"/>
  <c r="J932" i="6" s="1"/>
  <c r="J933" i="6" a="1"/>
  <c r="J933" i="6" s="1"/>
  <c r="J934" i="6" a="1"/>
  <c r="J934" i="6"/>
  <c r="J935" i="6" a="1"/>
  <c r="J935" i="6"/>
  <c r="J936" i="6" a="1"/>
  <c r="J936" i="6" s="1"/>
  <c r="J937" i="6" a="1"/>
  <c r="J937" i="6"/>
  <c r="J938" i="6" a="1"/>
  <c r="J938" i="6" s="1"/>
  <c r="J939" i="6" a="1"/>
  <c r="J939" i="6" s="1"/>
  <c r="J940" i="6" a="1"/>
  <c r="J940" i="6" s="1"/>
  <c r="J941" i="6" a="1"/>
  <c r="J941" i="6" s="1"/>
  <c r="J942" i="6" a="1"/>
  <c r="J942" i="6" s="1"/>
  <c r="J943" i="6" a="1"/>
  <c r="J943" i="6" s="1"/>
  <c r="J944" i="6" a="1"/>
  <c r="J944" i="6"/>
  <c r="J945" i="6" a="1"/>
  <c r="J945" i="6" s="1"/>
  <c r="J946" i="6" a="1"/>
  <c r="J946" i="6" s="1"/>
  <c r="J947" i="6" a="1"/>
  <c r="J947" i="6" s="1"/>
  <c r="J948" i="6" a="1"/>
  <c r="J948" i="6" s="1"/>
  <c r="J949" i="6" a="1"/>
  <c r="J949" i="6" s="1"/>
  <c r="J950" i="6" a="1"/>
  <c r="J950" i="6" s="1"/>
  <c r="J951" i="6" a="1"/>
  <c r="J951" i="6"/>
  <c r="J952" i="6" a="1"/>
  <c r="J952" i="6" s="1"/>
  <c r="J953" i="6" a="1"/>
  <c r="J953" i="6"/>
  <c r="J954" i="6" a="1"/>
  <c r="J954" i="6" s="1"/>
  <c r="J955" i="6" a="1"/>
  <c r="J955" i="6" s="1"/>
  <c r="J956" i="6" a="1"/>
  <c r="J956" i="6" s="1"/>
  <c r="J957" i="6" a="1"/>
  <c r="J957" i="6" s="1"/>
  <c r="J958" i="6" a="1"/>
  <c r="J958" i="6" s="1"/>
  <c r="J959" i="6" a="1"/>
  <c r="J959" i="6" s="1"/>
  <c r="J960" i="6" a="1"/>
  <c r="J960" i="6"/>
  <c r="J961" i="6" a="1"/>
  <c r="J961" i="6" s="1"/>
  <c r="J962" i="6" a="1"/>
  <c r="J962" i="6" s="1"/>
  <c r="J963" i="6" a="1"/>
  <c r="J963" i="6" s="1"/>
  <c r="J964" i="6" a="1"/>
  <c r="J964" i="6" s="1"/>
  <c r="J965" i="6" a="1"/>
  <c r="J965" i="6" s="1"/>
  <c r="J966" i="6" a="1"/>
  <c r="J966" i="6" s="1"/>
  <c r="J967" i="6" a="1"/>
  <c r="J967" i="6"/>
  <c r="J968" i="6" a="1"/>
  <c r="J968" i="6"/>
  <c r="J969" i="6" a="1"/>
  <c r="J969" i="6"/>
  <c r="J970" i="6" a="1"/>
  <c r="J970" i="6" s="1"/>
  <c r="J971" i="6" a="1"/>
  <c r="J971" i="6" s="1"/>
  <c r="J972" i="6" a="1"/>
  <c r="J972" i="6" s="1"/>
  <c r="J973" i="6" a="1"/>
  <c r="J973" i="6" s="1"/>
  <c r="J974" i="6" a="1"/>
  <c r="J974" i="6" s="1"/>
  <c r="J975" i="6" a="1"/>
  <c r="J975" i="6" s="1"/>
  <c r="J976" i="6" a="1"/>
  <c r="J976" i="6"/>
  <c r="J977" i="6" a="1"/>
  <c r="J977" i="6"/>
  <c r="J978" i="6" a="1"/>
  <c r="J978" i="6" s="1"/>
  <c r="J979" i="6" a="1"/>
  <c r="J979" i="6" s="1"/>
  <c r="J980" i="6" a="1"/>
  <c r="J980" i="6" s="1"/>
  <c r="J981" i="6" a="1"/>
  <c r="J981" i="6" s="1"/>
  <c r="J982" i="6" a="1"/>
  <c r="J982" i="6" s="1"/>
  <c r="J983" i="6" a="1"/>
  <c r="J983" i="6"/>
  <c r="J984" i="6" a="1"/>
  <c r="J984" i="6" s="1"/>
  <c r="J985" i="6" a="1"/>
  <c r="J985" i="6"/>
  <c r="J986" i="6" a="1"/>
  <c r="J986" i="6" s="1"/>
  <c r="J987" i="6" a="1"/>
  <c r="J987" i="6" s="1"/>
  <c r="J988" i="6" a="1"/>
  <c r="J988" i="6" s="1"/>
  <c r="J989" i="6" a="1"/>
  <c r="J989" i="6" s="1"/>
  <c r="J990" i="6" a="1"/>
  <c r="J990" i="6" s="1"/>
  <c r="J991" i="6" a="1"/>
  <c r="J991" i="6"/>
  <c r="J992" i="6" a="1"/>
  <c r="J992" i="6"/>
  <c r="J993" i="6" a="1"/>
  <c r="J993" i="6" s="1"/>
  <c r="J994" i="6" a="1"/>
  <c r="J994" i="6" s="1"/>
  <c r="J995" i="6" a="1"/>
  <c r="J995" i="6" s="1"/>
  <c r="J996" i="6" a="1"/>
  <c r="J996" i="6" s="1"/>
  <c r="J997" i="6" a="1"/>
  <c r="J997" i="6" s="1"/>
  <c r="J998" i="6" a="1"/>
  <c r="J998" i="6" s="1"/>
  <c r="J999" i="6" a="1"/>
  <c r="J999" i="6"/>
  <c r="J1000" i="6" a="1"/>
  <c r="J1000" i="6"/>
  <c r="J1001" i="6" a="1"/>
  <c r="J1001" i="6"/>
  <c r="J1002" i="6" a="1"/>
  <c r="J1002" i="6" s="1"/>
  <c r="J1003" i="6" a="1"/>
  <c r="J1003" i="6" s="1"/>
  <c r="J1004" i="6" a="1"/>
  <c r="J1004" i="6" s="1"/>
  <c r="J1005" i="6" a="1"/>
  <c r="J1005" i="6" s="1"/>
  <c r="J1006" i="6" a="1"/>
  <c r="J1006" i="6" s="1"/>
  <c r="J1007" i="6" a="1"/>
  <c r="J1007" i="6" s="1"/>
  <c r="J1008" i="6" a="1"/>
  <c r="J1008" i="6"/>
  <c r="J1009" i="6" a="1"/>
  <c r="J1009" i="6"/>
  <c r="J1010" i="6" a="1"/>
  <c r="J1010" i="6" s="1"/>
  <c r="J1011" i="6" a="1"/>
  <c r="J1011" i="6" s="1"/>
  <c r="J1012" i="6" a="1"/>
  <c r="J1012" i="6" s="1"/>
  <c r="J1013" i="6" a="1"/>
  <c r="J1013" i="6" s="1"/>
  <c r="J1014" i="6" a="1"/>
  <c r="J1014" i="6" s="1"/>
  <c r="J1015" i="6" a="1"/>
  <c r="J1015" i="6"/>
  <c r="J1016" i="6" a="1"/>
  <c r="J1016" i="6" s="1"/>
  <c r="J1017" i="6" a="1"/>
  <c r="J1017" i="6"/>
  <c r="J1018" i="6" a="1"/>
  <c r="J1018" i="6" s="1"/>
  <c r="J1019" i="6" a="1"/>
  <c r="J1019" i="6" s="1"/>
  <c r="J1020" i="6" a="1"/>
  <c r="J1020" i="6" s="1"/>
  <c r="J1021" i="6" a="1"/>
  <c r="J1021" i="6" s="1"/>
  <c r="J1022" i="6" a="1"/>
  <c r="J1022" i="6" s="1"/>
  <c r="J1023" i="6" a="1"/>
  <c r="J1023" i="6"/>
  <c r="J1024" i="6" a="1"/>
  <c r="J1024" i="6"/>
  <c r="J1025" i="6" a="1"/>
  <c r="J1025" i="6" s="1"/>
  <c r="J1026" i="6" a="1"/>
  <c r="J1026" i="6" s="1"/>
  <c r="J1027" i="6" a="1"/>
  <c r="J1027" i="6" s="1"/>
  <c r="J1028" i="6" a="1"/>
  <c r="J1028" i="6" s="1"/>
  <c r="J1029" i="6" a="1"/>
  <c r="J1029" i="6" s="1"/>
  <c r="J1030" i="6" a="1"/>
  <c r="J1030" i="6" s="1"/>
  <c r="J1031" i="6" a="1"/>
  <c r="J1031" i="6"/>
  <c r="J1032" i="6" a="1"/>
  <c r="J1032" i="6"/>
  <c r="J1033" i="6" a="1"/>
  <c r="J1033" i="6"/>
  <c r="J1034" i="6" a="1"/>
  <c r="J1034" i="6" s="1"/>
  <c r="J1035" i="6" a="1"/>
  <c r="J1035" i="6" s="1"/>
  <c r="J1036" i="6" a="1"/>
  <c r="J1036" i="6" s="1"/>
  <c r="J1037" i="6" a="1"/>
  <c r="J1037" i="6" s="1"/>
  <c r="J1038" i="6" a="1"/>
  <c r="J1038" i="6" s="1"/>
  <c r="J1039" i="6" a="1"/>
  <c r="J1039" i="6" s="1"/>
  <c r="J1040" i="6" a="1"/>
  <c r="J1040" i="6"/>
  <c r="J1041" i="6" a="1"/>
  <c r="J1041" i="6"/>
  <c r="J1042" i="6" a="1"/>
  <c r="J1042" i="6" s="1"/>
  <c r="J1043" i="6" a="1"/>
  <c r="J1043" i="6" s="1"/>
  <c r="J1044" i="6" a="1"/>
  <c r="J1044" i="6" s="1"/>
  <c r="J1045" i="6" a="1"/>
  <c r="J1045" i="6" s="1"/>
  <c r="J1046" i="6" a="1"/>
  <c r="J1046" i="6" s="1"/>
  <c r="J1047" i="6" a="1"/>
  <c r="J1047" i="6"/>
  <c r="J1048" i="6" a="1"/>
  <c r="J1048" i="6" s="1"/>
  <c r="J1049" i="6" a="1"/>
  <c r="J1049" i="6"/>
  <c r="J1050" i="6" a="1"/>
  <c r="J1050" i="6" s="1"/>
  <c r="J1051" i="6" a="1"/>
  <c r="J1051" i="6" s="1"/>
  <c r="J1052" i="6" a="1"/>
  <c r="J1052" i="6" s="1"/>
  <c r="J1053" i="6" a="1"/>
  <c r="J1053" i="6" s="1"/>
  <c r="J1054" i="6" a="1"/>
  <c r="J1054" i="6" s="1"/>
  <c r="J1055" i="6" a="1"/>
  <c r="J1055" i="6"/>
  <c r="J1056" i="6" a="1"/>
  <c r="J1056" i="6"/>
  <c r="J1057" i="6" a="1"/>
  <c r="J1057" i="6" s="1"/>
  <c r="J1058" i="6" a="1"/>
  <c r="J1058" i="6" s="1"/>
  <c r="J1059" i="6" a="1"/>
  <c r="J1059" i="6" s="1"/>
  <c r="J1060" i="6" a="1"/>
  <c r="J1060" i="6" s="1"/>
  <c r="J1061" i="6" a="1"/>
  <c r="J1061" i="6" s="1"/>
  <c r="J1062" i="6" a="1"/>
  <c r="J1062" i="6" s="1"/>
  <c r="J1063" i="6" a="1"/>
  <c r="J1063" i="6"/>
  <c r="J1064" i="6" a="1"/>
  <c r="J1064" i="6"/>
  <c r="J1065" i="6" a="1"/>
  <c r="J1065" i="6"/>
  <c r="J1066" i="6" a="1"/>
  <c r="J1066" i="6" s="1"/>
  <c r="J1067" i="6" a="1"/>
  <c r="J1067" i="6" s="1"/>
  <c r="J1068" i="6" a="1"/>
  <c r="J1068" i="6" s="1"/>
  <c r="J1069" i="6" a="1"/>
  <c r="J1069" i="6" s="1"/>
  <c r="J1070" i="6" a="1"/>
  <c r="J1070" i="6" s="1"/>
  <c r="J1071" i="6" a="1"/>
  <c r="J1071" i="6" s="1"/>
  <c r="J1072" i="6" a="1"/>
  <c r="J1072" i="6"/>
  <c r="J1073" i="6" a="1"/>
  <c r="J1073" i="6"/>
  <c r="J1074" i="6" a="1"/>
  <c r="J1074" i="6" s="1"/>
  <c r="J1075" i="6" a="1"/>
  <c r="J1075" i="6" s="1"/>
  <c r="J1076" i="6" a="1"/>
  <c r="J1076" i="6" s="1"/>
  <c r="J1077" i="6" a="1"/>
  <c r="J1077" i="6" s="1"/>
  <c r="J1078" i="6" a="1"/>
  <c r="J1078" i="6" s="1"/>
  <c r="J1079" i="6" a="1"/>
  <c r="J1079" i="6"/>
  <c r="J1080" i="6" a="1"/>
  <c r="J1080" i="6" s="1"/>
  <c r="J1081" i="6" a="1"/>
  <c r="J1081" i="6"/>
  <c r="J1082" i="6" a="1"/>
  <c r="J1082" i="6" s="1"/>
  <c r="J1083" i="6" a="1"/>
  <c r="J1083" i="6" s="1"/>
  <c r="J1084" i="6" a="1"/>
  <c r="J1084" i="6" s="1"/>
  <c r="J1085" i="6" a="1"/>
  <c r="J1085" i="6" s="1"/>
  <c r="J1086" i="6" a="1"/>
  <c r="J1086" i="6" s="1"/>
  <c r="J1087" i="6" a="1"/>
  <c r="J1087" i="6"/>
  <c r="J1088" i="6" a="1"/>
  <c r="J1088" i="6"/>
  <c r="J1089" i="6" a="1"/>
  <c r="J1089" i="6" s="1"/>
  <c r="J1090" i="6" a="1"/>
  <c r="J1090" i="6" s="1"/>
  <c r="J1091" i="6" a="1"/>
  <c r="J1091" i="6" s="1"/>
  <c r="J1092" i="6" a="1"/>
  <c r="J1092" i="6" s="1"/>
  <c r="J1093" i="6" a="1"/>
  <c r="J1093" i="6" s="1"/>
  <c r="J1094" i="6" a="1"/>
  <c r="J1094" i="6" s="1"/>
  <c r="J1095" i="6" a="1"/>
  <c r="J1095" i="6"/>
  <c r="J1096" i="6" a="1"/>
  <c r="J1096" i="6" s="1"/>
  <c r="J1097" i="6" a="1"/>
  <c r="J1097" i="6"/>
  <c r="J1098" i="6" a="1"/>
  <c r="J1098" i="6" s="1"/>
  <c r="J1099" i="6" a="1"/>
  <c r="J1099" i="6" s="1"/>
  <c r="J1100" i="6" a="1"/>
  <c r="J1100" i="6" s="1"/>
  <c r="J1101" i="6" a="1"/>
  <c r="J1101" i="6" s="1"/>
  <c r="J1102" i="6" a="1"/>
  <c r="J1102" i="6" s="1"/>
  <c r="J1103" i="6" a="1"/>
  <c r="J1103" i="6" s="1"/>
  <c r="J1104" i="6" a="1"/>
  <c r="J1104" i="6"/>
  <c r="J1105" i="6" a="1"/>
  <c r="J1105" i="6"/>
  <c r="J1106" i="6" a="1"/>
  <c r="J1106" i="6" s="1"/>
  <c r="J1107" i="6" a="1"/>
  <c r="J1107" i="6" s="1"/>
  <c r="J1108" i="6" a="1"/>
  <c r="J1108" i="6" s="1"/>
  <c r="J1109" i="6" a="1"/>
  <c r="J1109" i="6" s="1"/>
  <c r="J1110" i="6" a="1"/>
  <c r="J1110" i="6" s="1"/>
  <c r="J1111" i="6" a="1"/>
  <c r="J1111" i="6"/>
  <c r="J1112" i="6" a="1"/>
  <c r="J1112" i="6" s="1"/>
  <c r="J1113" i="6" a="1"/>
  <c r="J1113" i="6"/>
  <c r="J1114" i="6" a="1"/>
  <c r="J1114" i="6" s="1"/>
  <c r="J1115" i="6" a="1"/>
  <c r="J1115" i="6" s="1"/>
  <c r="J1116" i="6" a="1"/>
  <c r="J1116" i="6" s="1"/>
  <c r="J1117" i="6" a="1"/>
  <c r="J1117" i="6" s="1"/>
  <c r="J1118" i="6" a="1"/>
  <c r="J1118" i="6" s="1"/>
  <c r="J1119" i="6" a="1"/>
  <c r="J1119" i="6"/>
  <c r="J1120" i="6" a="1"/>
  <c r="J1120" i="6"/>
  <c r="J1121" i="6" a="1"/>
  <c r="J1121" i="6" s="1"/>
  <c r="J1122" i="6" a="1"/>
  <c r="J1122" i="6" s="1"/>
  <c r="J1123" i="6" a="1"/>
  <c r="J1123" i="6" s="1"/>
  <c r="J1124" i="6" a="1"/>
  <c r="J1124" i="6" s="1"/>
  <c r="J1125" i="6" a="1"/>
  <c r="J1125" i="6" s="1"/>
  <c r="J1126" i="6" a="1"/>
  <c r="J1126" i="6" s="1"/>
  <c r="J1127" i="6" a="1"/>
  <c r="J1127" i="6"/>
  <c r="J1128" i="6" a="1"/>
  <c r="J1128" i="6"/>
  <c r="J1129" i="6" a="1"/>
  <c r="J1129" i="6"/>
  <c r="J1130" i="6" a="1"/>
  <c r="J1130" i="6" s="1"/>
  <c r="J1131" i="6" a="1"/>
  <c r="J1131" i="6" s="1"/>
  <c r="J1132" i="6" a="1"/>
  <c r="J1132" i="6" s="1"/>
  <c r="J1133" i="6" a="1"/>
  <c r="J1133" i="6" s="1"/>
  <c r="J1134" i="6" a="1"/>
  <c r="J1134" i="6" s="1"/>
  <c r="J1135" i="6" a="1"/>
  <c r="J1135" i="6" s="1"/>
  <c r="J1136" i="6" a="1"/>
  <c r="J1136" i="6"/>
  <c r="J1137" i="6" a="1"/>
  <c r="J1137" i="6"/>
  <c r="J1138" i="6" a="1"/>
  <c r="J1138" i="6" s="1"/>
  <c r="J1139" i="6" a="1"/>
  <c r="J1139" i="6" s="1"/>
  <c r="J1140" i="6" a="1"/>
  <c r="J1140" i="6" s="1"/>
  <c r="J1141" i="6" a="1"/>
  <c r="J1141" i="6" s="1"/>
  <c r="J1142" i="6" a="1"/>
  <c r="J1142" i="6" s="1"/>
  <c r="J1143" i="6" a="1"/>
  <c r="J1143" i="6"/>
  <c r="J1144" i="6" a="1"/>
  <c r="J1144" i="6" s="1"/>
  <c r="J1145" i="6" a="1"/>
  <c r="J1145" i="6"/>
  <c r="J1146" i="6" a="1"/>
  <c r="J1146" i="6" s="1"/>
  <c r="J1147" i="6" a="1"/>
  <c r="J1147" i="6" s="1"/>
  <c r="J1148" i="6" a="1"/>
  <c r="J1148" i="6" s="1"/>
  <c r="J1149" i="6" a="1"/>
  <c r="J1149" i="6" s="1"/>
  <c r="J1150" i="6" a="1"/>
  <c r="J1150" i="6" s="1"/>
  <c r="J1151" i="6" a="1"/>
  <c r="J1151" i="6"/>
  <c r="J1152" i="6" a="1"/>
  <c r="J1152" i="6"/>
  <c r="J1153" i="6" a="1"/>
  <c r="J1153" i="6" s="1"/>
  <c r="J1154" i="6" a="1"/>
  <c r="J1154" i="6" s="1"/>
  <c r="J1155" i="6" a="1"/>
  <c r="J1155" i="6" s="1"/>
  <c r="J1156" i="6" a="1"/>
  <c r="J1156" i="6" s="1"/>
  <c r="J1157" i="6" a="1"/>
  <c r="J1157" i="6" s="1"/>
  <c r="J1158" i="6" a="1"/>
  <c r="J1158" i="6" s="1"/>
  <c r="J1159" i="6" a="1"/>
  <c r="J1159" i="6"/>
  <c r="J1160" i="6" a="1"/>
  <c r="J1160" i="6"/>
  <c r="J1161" i="6" a="1"/>
  <c r="J1161" i="6"/>
  <c r="J1162" i="6" a="1"/>
  <c r="J1162" i="6" s="1"/>
  <c r="J1163" i="6" a="1"/>
  <c r="J1163" i="6" s="1"/>
  <c r="J1164" i="6" a="1"/>
  <c r="J1164" i="6" s="1"/>
  <c r="J1165" i="6" a="1"/>
  <c r="J1165" i="6" s="1"/>
  <c r="J1166" i="6" a="1"/>
  <c r="J1166" i="6" s="1"/>
  <c r="J1167" i="6" a="1"/>
  <c r="J1167" i="6" s="1"/>
  <c r="J1168" i="6" a="1"/>
  <c r="J1168" i="6"/>
  <c r="J1169" i="6" a="1"/>
  <c r="J1169" i="6"/>
  <c r="J1170" i="6" a="1"/>
  <c r="J1170" i="6" s="1"/>
  <c r="J1171" i="6" a="1"/>
  <c r="J1171" i="6" s="1"/>
  <c r="J1172" i="6" a="1"/>
  <c r="J1172" i="6" s="1"/>
  <c r="J1173" i="6" a="1"/>
  <c r="J1173" i="6" s="1"/>
  <c r="J1174" i="6" a="1"/>
  <c r="J1174" i="6" s="1"/>
  <c r="J1175" i="6" a="1"/>
  <c r="J1175" i="6"/>
  <c r="J1176" i="6" a="1"/>
  <c r="J1176" i="6" s="1"/>
  <c r="J1177" i="6" a="1"/>
  <c r="J1177" i="6"/>
  <c r="J1178" i="6" a="1"/>
  <c r="J1178" i="6" s="1"/>
  <c r="J1179" i="6" a="1"/>
  <c r="J1179" i="6" s="1"/>
  <c r="J1180" i="6" a="1"/>
  <c r="J1180" i="6" s="1"/>
  <c r="J1181" i="6" a="1"/>
  <c r="J1181" i="6" s="1"/>
  <c r="J1182" i="6" a="1"/>
  <c r="J1182" i="6" s="1"/>
  <c r="J1183" i="6" a="1"/>
  <c r="J1183" i="6"/>
  <c r="J1184" i="6" a="1"/>
  <c r="J1184" i="6"/>
  <c r="J1185" i="6" a="1"/>
  <c r="J1185" i="6" s="1"/>
  <c r="J1186" i="6" a="1"/>
  <c r="J1186" i="6" s="1"/>
  <c r="J1187" i="6" a="1"/>
  <c r="J1187" i="6" s="1"/>
  <c r="J1188" i="6" a="1"/>
  <c r="J1188" i="6" s="1"/>
  <c r="J1189" i="6" a="1"/>
  <c r="J1189" i="6" s="1"/>
  <c r="J1190" i="6" a="1"/>
  <c r="J1190" i="6" s="1"/>
  <c r="J1191" i="6" a="1"/>
  <c r="J1191" i="6"/>
  <c r="J1192" i="6" a="1"/>
  <c r="J1192" i="6"/>
  <c r="J1193" i="6" a="1"/>
  <c r="J1193" i="6"/>
  <c r="J1194" i="6" a="1"/>
  <c r="J1194" i="6" s="1"/>
  <c r="J1195" i="6" a="1"/>
  <c r="J1195" i="6" s="1"/>
  <c r="J1196" i="6" a="1"/>
  <c r="J1196" i="6" s="1"/>
  <c r="J1197" i="6" a="1"/>
  <c r="J1197" i="6" s="1"/>
  <c r="J1198" i="6" a="1"/>
  <c r="J1198" i="6"/>
  <c r="J1199" i="6" a="1"/>
  <c r="J1199" i="6" s="1"/>
  <c r="J1200" i="6" a="1"/>
  <c r="J1200" i="6" s="1"/>
  <c r="J1201" i="6" a="1"/>
  <c r="J1201" i="6" s="1"/>
  <c r="J1202" i="6" a="1"/>
  <c r="J1202" i="6"/>
  <c r="J1203" i="6" a="1"/>
  <c r="J1203" i="6" s="1"/>
  <c r="J1204" i="6" a="1"/>
  <c r="J1204" i="6" s="1"/>
  <c r="J1205" i="6" a="1"/>
  <c r="J1205" i="6" s="1"/>
  <c r="J1206" i="6" a="1"/>
  <c r="J1206" i="6" s="1"/>
  <c r="J1207" i="6" a="1"/>
  <c r="J1207" i="6" s="1"/>
  <c r="J1208" i="6" a="1"/>
  <c r="J1208" i="6" s="1"/>
  <c r="J1209" i="6" a="1"/>
  <c r="J1209" i="6" s="1"/>
  <c r="J1210" i="6" a="1"/>
  <c r="J1210" i="6" s="1"/>
  <c r="J1211" i="6" a="1"/>
  <c r="J1211" i="6" s="1"/>
  <c r="J1212" i="6" a="1"/>
  <c r="J1212" i="6"/>
  <c r="J1213" i="6" a="1"/>
  <c r="J1213" i="6" s="1"/>
  <c r="J1214" i="6" a="1"/>
  <c r="J1214" i="6" s="1"/>
  <c r="J1215" i="6" a="1"/>
  <c r="J1215" i="6" s="1"/>
  <c r="J1216" i="6" a="1"/>
  <c r="J1216" i="6" s="1"/>
  <c r="J1217" i="6" a="1"/>
  <c r="J1217" i="6" s="1"/>
  <c r="J1218" i="6" a="1"/>
  <c r="J1218" i="6" s="1"/>
  <c r="J1219" i="6" a="1"/>
  <c r="J1219" i="6" s="1"/>
  <c r="J1220" i="6" a="1"/>
  <c r="J1220" i="6" s="1"/>
  <c r="J1221" i="6" a="1"/>
  <c r="J1221" i="6"/>
  <c r="J1222" i="6" a="1"/>
  <c r="J1222" i="6" s="1"/>
  <c r="J1223" i="6" a="1"/>
  <c r="J1223" i="6" s="1"/>
  <c r="J1224" i="6" a="1"/>
  <c r="J1224" i="6" s="1"/>
  <c r="J1225" i="6" a="1"/>
  <c r="J1225" i="6" s="1"/>
  <c r="J1226" i="6" a="1"/>
  <c r="J1226" i="6"/>
  <c r="J1227" i="6" a="1"/>
  <c r="J1227" i="6" s="1"/>
  <c r="J1228" i="6" a="1"/>
  <c r="J1228" i="6" s="1"/>
  <c r="J1229" i="6" a="1"/>
  <c r="J1229" i="6" s="1"/>
  <c r="J1230" i="6" a="1"/>
  <c r="J1230" i="6"/>
  <c r="J1231" i="6" a="1"/>
  <c r="J1231" i="6" s="1"/>
  <c r="J1232" i="6" a="1"/>
  <c r="J1232" i="6" s="1"/>
  <c r="J1233" i="6" a="1"/>
  <c r="J1233" i="6" s="1"/>
  <c r="J1234" i="6" a="1"/>
  <c r="J1234" i="6" s="1"/>
  <c r="J1235" i="6" a="1"/>
  <c r="J1235" i="6" s="1"/>
  <c r="J1236" i="6" a="1"/>
  <c r="J1236" i="6" s="1"/>
  <c r="J1237" i="6" a="1"/>
  <c r="J1237" i="6" s="1"/>
  <c r="J1238" i="6" a="1"/>
  <c r="J1238" i="6" s="1"/>
  <c r="J1239" i="6" a="1"/>
  <c r="J1239" i="6" s="1"/>
  <c r="J1240" i="6" a="1"/>
  <c r="J1240" i="6" s="1"/>
  <c r="J1241" i="6" a="1"/>
  <c r="J1241" i="6" s="1"/>
  <c r="J1242" i="6" a="1"/>
  <c r="J1242" i="6" s="1"/>
  <c r="J1243" i="6" a="1"/>
  <c r="J1243" i="6" s="1"/>
  <c r="J1244" i="6" a="1"/>
  <c r="J1244" i="6"/>
  <c r="J1245" i="6" a="1"/>
  <c r="J1245" i="6" s="1"/>
  <c r="J1246" i="6" a="1"/>
  <c r="J1246" i="6" s="1"/>
  <c r="J1247" i="6" a="1"/>
  <c r="J1247" i="6" s="1"/>
  <c r="J1248" i="6" a="1"/>
  <c r="J1248" i="6"/>
  <c r="J1249" i="6" a="1"/>
  <c r="J1249" i="6" s="1"/>
  <c r="J1250" i="6" a="1"/>
  <c r="J1250" i="6" s="1"/>
  <c r="J1251" i="6" a="1"/>
  <c r="J1251" i="6" s="1"/>
  <c r="J1252" i="6" a="1"/>
  <c r="J1252" i="6" s="1"/>
  <c r="J1253" i="6" a="1"/>
  <c r="J1253" i="6"/>
  <c r="J1254" i="6" a="1"/>
  <c r="J1254" i="6" s="1"/>
  <c r="J1255" i="6" a="1"/>
  <c r="J1255" i="6" s="1"/>
  <c r="J1256" i="6" a="1"/>
  <c r="J1256" i="6" s="1"/>
  <c r="J1257" i="6" a="1"/>
  <c r="J1257" i="6"/>
  <c r="J1258" i="6" a="1"/>
  <c r="J1258" i="6" s="1"/>
  <c r="J1259" i="6" a="1"/>
  <c r="J1259" i="6" s="1"/>
  <c r="J1260" i="6" a="1"/>
  <c r="J1260" i="6" s="1"/>
  <c r="J1261" i="6" a="1"/>
  <c r="J1261" i="6" s="1"/>
  <c r="J1262" i="6" a="1"/>
  <c r="J1262" i="6"/>
  <c r="J1263" i="6" a="1"/>
  <c r="J1263" i="6" s="1"/>
  <c r="J1264" i="6" a="1"/>
  <c r="J1264" i="6" s="1"/>
  <c r="J1265" i="6" a="1"/>
  <c r="J1265" i="6" s="1"/>
  <c r="J1266" i="6" a="1"/>
  <c r="J1266" i="6"/>
  <c r="J1267" i="6" a="1"/>
  <c r="J1267" i="6" s="1"/>
  <c r="J1268" i="6" a="1"/>
  <c r="J1268" i="6" s="1"/>
  <c r="J1269" i="6" a="1"/>
  <c r="J1269" i="6" s="1"/>
  <c r="J1270" i="6" a="1"/>
  <c r="J1270" i="6" s="1"/>
  <c r="J1271" i="6" a="1"/>
  <c r="J1271" i="6" s="1"/>
  <c r="J1272" i="6" a="1"/>
  <c r="J1272" i="6" s="1"/>
  <c r="J1273" i="6" a="1"/>
  <c r="J1273" i="6" s="1"/>
  <c r="J1274" i="6" a="1"/>
  <c r="J1274" i="6" s="1"/>
  <c r="J1275" i="6" a="1"/>
  <c r="J1275" i="6" s="1"/>
  <c r="J1276" i="6" a="1"/>
  <c r="J1276" i="6"/>
  <c r="J1277" i="6" a="1"/>
  <c r="J1277" i="6" s="1"/>
  <c r="J1278" i="6" a="1"/>
  <c r="J1278" i="6" s="1"/>
  <c r="J1279" i="6" a="1"/>
  <c r="J1279" i="6" s="1"/>
  <c r="J1280" i="6" a="1"/>
  <c r="J1280" i="6"/>
  <c r="J1281" i="6" a="1"/>
  <c r="J1281" i="6" s="1"/>
  <c r="J1282" i="6" a="1"/>
  <c r="J1282" i="6" s="1"/>
  <c r="J1283" i="6" a="1"/>
  <c r="J1283" i="6" s="1"/>
  <c r="J1284" i="6" a="1"/>
  <c r="J1284" i="6" s="1"/>
  <c r="J1285" i="6" a="1"/>
  <c r="J1285" i="6"/>
  <c r="J1286" i="6" a="1"/>
  <c r="J1286" i="6" s="1"/>
  <c r="J1287" i="6" a="1"/>
  <c r="J1287" i="6" s="1"/>
  <c r="J1288" i="6" a="1"/>
  <c r="J1288" i="6" s="1"/>
  <c r="J1289" i="6" a="1"/>
  <c r="J1289" i="6"/>
  <c r="J1290" i="6" a="1"/>
  <c r="J1290" i="6" s="1"/>
  <c r="J1291" i="6" a="1"/>
  <c r="J1291" i="6" s="1"/>
  <c r="J1292" i="6" a="1"/>
  <c r="J1292" i="6" s="1"/>
  <c r="J1293" i="6" a="1"/>
  <c r="J1293" i="6" s="1"/>
  <c r="J1294" i="6" a="1"/>
  <c r="J1294" i="6"/>
  <c r="J1295" i="6" a="1"/>
  <c r="J1295" i="6" s="1"/>
  <c r="J1296" i="6" a="1"/>
  <c r="J1296" i="6" s="1"/>
  <c r="J1297" i="6" a="1"/>
  <c r="J1297" i="6" s="1"/>
  <c r="J1298" i="6" a="1"/>
  <c r="J1298" i="6"/>
  <c r="J1299" i="6" a="1"/>
  <c r="J1299" i="6" s="1"/>
  <c r="J1300" i="6" a="1"/>
  <c r="J1300" i="6" s="1"/>
  <c r="J1301" i="6" a="1"/>
  <c r="J1301" i="6" s="1"/>
  <c r="J1302" i="6" a="1"/>
  <c r="J1302" i="6" s="1"/>
  <c r="J1303" i="6" a="1"/>
  <c r="J1303" i="6" s="1"/>
  <c r="J1304" i="6" a="1"/>
  <c r="J1304" i="6" s="1"/>
  <c r="J1305" i="6" a="1"/>
  <c r="J1305" i="6" s="1"/>
  <c r="J1306" i="6" a="1"/>
  <c r="J1306" i="6" s="1"/>
  <c r="J1307" i="6" a="1"/>
  <c r="J1307" i="6" s="1"/>
  <c r="J1308" i="6" a="1"/>
  <c r="J1308" i="6"/>
  <c r="J1309" i="6" a="1"/>
  <c r="J1309" i="6" s="1"/>
  <c r="J1310" i="6" a="1"/>
  <c r="J1310" i="6" s="1"/>
  <c r="J1311" i="6" a="1"/>
  <c r="J1311" i="6" s="1"/>
  <c r="J1312" i="6" a="1"/>
  <c r="J1312" i="6"/>
  <c r="J1313" i="6" a="1"/>
  <c r="J1313" i="6" s="1"/>
  <c r="J1314" i="6" a="1"/>
  <c r="J1314" i="6" s="1"/>
  <c r="J1315" i="6" a="1"/>
  <c r="J1315" i="6" s="1"/>
  <c r="J1316" i="6" a="1"/>
  <c r="J1316" i="6" s="1"/>
  <c r="J1317" i="6" a="1"/>
  <c r="J1317" i="6"/>
  <c r="J1318" i="6" a="1"/>
  <c r="J1318" i="6" s="1"/>
  <c r="J1319" i="6" a="1"/>
  <c r="J1319" i="6" s="1"/>
  <c r="J1320" i="6" a="1"/>
  <c r="J1320" i="6" s="1"/>
  <c r="J1321" i="6" a="1"/>
  <c r="J1321" i="6"/>
  <c r="J1322" i="6" a="1"/>
  <c r="J1322" i="6" s="1"/>
  <c r="J1323" i="6" a="1"/>
  <c r="J1323" i="6" s="1"/>
  <c r="J1324" i="6" a="1"/>
  <c r="J1324" i="6" s="1"/>
  <c r="J1325" i="6" a="1"/>
  <c r="J1325" i="6" s="1"/>
  <c r="J1326" i="6" a="1"/>
  <c r="J1326" i="6"/>
  <c r="J1327" i="6" a="1"/>
  <c r="J1327" i="6" s="1"/>
  <c r="J1328" i="6" a="1"/>
  <c r="J1328" i="6" s="1"/>
  <c r="J1329" i="6" a="1"/>
  <c r="J1329" i="6" s="1"/>
  <c r="J1330" i="6" a="1"/>
  <c r="J1330" i="6"/>
  <c r="J1331" i="6" a="1"/>
  <c r="J1331" i="6" s="1"/>
  <c r="J1332" i="6" a="1"/>
  <c r="J1332" i="6" s="1"/>
  <c r="J1333" i="6" a="1"/>
  <c r="J1333" i="6" s="1"/>
  <c r="J1334" i="6" a="1"/>
  <c r="J1334" i="6" s="1"/>
  <c r="J1335" i="6" a="1"/>
  <c r="J1335" i="6" s="1"/>
  <c r="J1336" i="6" a="1"/>
  <c r="J1336" i="6" s="1"/>
  <c r="J1337" i="6" a="1"/>
  <c r="J1337" i="6" s="1"/>
  <c r="J1338" i="6" a="1"/>
  <c r="J1338" i="6" s="1"/>
  <c r="J1339" i="6" a="1"/>
  <c r="J1339" i="6" s="1"/>
  <c r="J1340" i="6" a="1"/>
  <c r="J1340" i="6"/>
  <c r="J1341" i="6" a="1"/>
  <c r="J1341" i="6" s="1"/>
  <c r="J1342" i="6" a="1"/>
  <c r="J1342" i="6" s="1"/>
  <c r="J1343" i="6" a="1"/>
  <c r="J1343" i="6" s="1"/>
  <c r="J1344" i="6" a="1"/>
  <c r="J1344" i="6"/>
  <c r="J1345" i="6" a="1"/>
  <c r="J1345" i="6" s="1"/>
  <c r="J1346" i="6" a="1"/>
  <c r="J1346" i="6" s="1"/>
  <c r="J1347" i="6" a="1"/>
  <c r="J1347" i="6" s="1"/>
  <c r="J1348" i="6" a="1"/>
  <c r="J1348" i="6" s="1"/>
  <c r="J1349" i="6" a="1"/>
  <c r="J1349" i="6"/>
  <c r="J1350" i="6" a="1"/>
  <c r="J1350" i="6" s="1"/>
  <c r="J1351" i="6" a="1"/>
  <c r="J1351" i="6" s="1"/>
  <c r="J1352" i="6" a="1"/>
  <c r="J1352" i="6" s="1"/>
  <c r="J1353" i="6" a="1"/>
  <c r="J1353" i="6"/>
  <c r="J1354" i="6" a="1"/>
  <c r="J1354" i="6" s="1"/>
  <c r="J1355" i="6" a="1"/>
  <c r="J1355" i="6" s="1"/>
  <c r="J1356" i="6" a="1"/>
  <c r="J1356" i="6" s="1"/>
  <c r="J1357" i="6" a="1"/>
  <c r="J1357" i="6" s="1"/>
  <c r="J1358" i="6" a="1"/>
  <c r="J1358" i="6"/>
  <c r="J1359" i="6" a="1"/>
  <c r="J1359" i="6" s="1"/>
  <c r="J1360" i="6" a="1"/>
  <c r="J1360" i="6" s="1"/>
  <c r="J1361" i="6" a="1"/>
  <c r="J1361" i="6" s="1"/>
  <c r="J1362" i="6" a="1"/>
  <c r="J1362" i="6"/>
  <c r="J1363" i="6" a="1"/>
  <c r="J1363" i="6" s="1"/>
  <c r="J1364" i="6" a="1"/>
  <c r="J1364" i="6" s="1"/>
  <c r="J1365" i="6" a="1"/>
  <c r="J1365" i="6" s="1"/>
  <c r="J1366" i="6" a="1"/>
  <c r="J1366" i="6" s="1"/>
  <c r="J1367" i="6" a="1"/>
  <c r="J1367" i="6" s="1"/>
  <c r="J1368" i="6" a="1"/>
  <c r="J1368" i="6" s="1"/>
  <c r="J1369" i="6" a="1"/>
  <c r="J1369" i="6" s="1"/>
  <c r="J1370" i="6" a="1"/>
  <c r="J1370" i="6" s="1"/>
  <c r="J1371" i="6" a="1"/>
  <c r="J1371" i="6" s="1"/>
  <c r="J1372" i="6" a="1"/>
  <c r="J1372" i="6"/>
  <c r="J1373" i="6" a="1"/>
  <c r="J1373" i="6" s="1"/>
  <c r="J1374" i="6" a="1"/>
  <c r="J1374" i="6" s="1"/>
  <c r="J1375" i="6" a="1"/>
  <c r="J1375" i="6" s="1"/>
  <c r="J1376" i="6" a="1"/>
  <c r="J1376" i="6"/>
  <c r="J1377" i="6" a="1"/>
  <c r="J1377" i="6" s="1"/>
  <c r="J1378" i="6" a="1"/>
  <c r="J1378" i="6" s="1"/>
  <c r="J1379" i="6" a="1"/>
  <c r="J1379" i="6" s="1"/>
  <c r="J1380" i="6" a="1"/>
  <c r="J1380" i="6" s="1"/>
  <c r="J1381" i="6" a="1"/>
  <c r="J1381" i="6"/>
  <c r="J1382" i="6" a="1"/>
  <c r="J1382" i="6" s="1"/>
  <c r="J1383" i="6" a="1"/>
  <c r="J1383" i="6" s="1"/>
  <c r="J1384" i="6" a="1"/>
  <c r="J1384" i="6" s="1"/>
  <c r="J1385" i="6" a="1"/>
  <c r="J1385" i="6"/>
  <c r="J1386" i="6" a="1"/>
  <c r="J1386" i="6" s="1"/>
  <c r="J1387" i="6" a="1"/>
  <c r="J1387" i="6" s="1"/>
  <c r="J1388" i="6" a="1"/>
  <c r="J1388" i="6" s="1"/>
  <c r="J1389" i="6" a="1"/>
  <c r="J1389" i="6" s="1"/>
  <c r="J1390" i="6" a="1"/>
  <c r="J1390" i="6" s="1"/>
  <c r="J1391" i="6" a="1"/>
  <c r="J1391" i="6" s="1"/>
  <c r="J1392" i="6" a="1"/>
  <c r="J1392" i="6" s="1"/>
  <c r="J1393" i="6" a="1"/>
  <c r="J1393" i="6" s="1"/>
  <c r="J1394" i="6" a="1"/>
  <c r="J1394" i="6"/>
  <c r="J1395" i="6" a="1"/>
  <c r="J1395" i="6" s="1"/>
  <c r="J1396" i="6" a="1"/>
  <c r="J1396" i="6" s="1"/>
  <c r="J1397" i="6" a="1"/>
  <c r="J1397" i="6" s="1"/>
  <c r="J1398" i="6" a="1"/>
  <c r="J1398" i="6" s="1"/>
  <c r="J1399" i="6" a="1"/>
  <c r="J1399" i="6" s="1"/>
  <c r="J1400" i="6" a="1"/>
  <c r="J1400" i="6" s="1"/>
  <c r="J1401" i="6" a="1"/>
  <c r="J1401" i="6" s="1"/>
  <c r="J1402" i="6" a="1"/>
  <c r="J1402" i="6" s="1"/>
  <c r="J1403" i="6" a="1"/>
  <c r="J1403" i="6" s="1"/>
  <c r="J1404" i="6" a="1"/>
  <c r="J1404" i="6" s="1"/>
  <c r="J1405" i="6" a="1"/>
  <c r="J1405" i="6" s="1"/>
  <c r="J1406" i="6" a="1"/>
  <c r="J1406" i="6" s="1"/>
  <c r="J1407" i="6" a="1"/>
  <c r="J1407" i="6" s="1"/>
  <c r="J1408" i="6" a="1"/>
  <c r="J1408" i="6"/>
  <c r="J1409" i="6" a="1"/>
  <c r="J1409" i="6" s="1"/>
  <c r="J1410" i="6" a="1"/>
  <c r="J1410" i="6" s="1"/>
  <c r="J1411" i="6" a="1"/>
  <c r="J1411" i="6" s="1"/>
  <c r="J1412" i="6" a="1"/>
  <c r="J1412" i="6" s="1"/>
  <c r="J1413" i="6" a="1"/>
  <c r="J1413" i="6" s="1"/>
  <c r="J1414" i="6" a="1"/>
  <c r="J1414" i="6" s="1"/>
  <c r="J1415" i="6" a="1"/>
  <c r="J1415" i="6" s="1"/>
  <c r="J1416" i="6" a="1"/>
  <c r="J1416" i="6" s="1"/>
  <c r="J1417" i="6" a="1"/>
  <c r="J1417" i="6"/>
  <c r="J1418" i="6" a="1"/>
  <c r="J1418" i="6" s="1"/>
  <c r="J1419" i="6" a="1"/>
  <c r="J1419" i="6" s="1"/>
  <c r="J1420" i="6" a="1"/>
  <c r="J1420" i="6" s="1"/>
  <c r="J1421" i="6" a="1"/>
  <c r="J1421" i="6" s="1"/>
  <c r="J1422" i="6" a="1"/>
  <c r="J1422" i="6" s="1"/>
  <c r="J1423" i="6" a="1"/>
  <c r="J1423" i="6" s="1"/>
  <c r="J1424" i="6" a="1"/>
  <c r="J1424" i="6" s="1"/>
  <c r="J1425" i="6" a="1"/>
  <c r="J1425" i="6" s="1"/>
  <c r="J1426" i="6" a="1"/>
  <c r="J1426" i="6"/>
  <c r="J1427" i="6" a="1"/>
  <c r="J1427" i="6" s="1"/>
  <c r="J1428" i="6" a="1"/>
  <c r="J1428" i="6" s="1"/>
  <c r="J1429" i="6" a="1"/>
  <c r="J1429" i="6" s="1"/>
  <c r="J1430" i="6" a="1"/>
  <c r="J1430" i="6" s="1"/>
  <c r="J1431" i="6" a="1"/>
  <c r="J1431" i="6" s="1"/>
  <c r="J1432" i="6" a="1"/>
  <c r="J1432" i="6" s="1"/>
  <c r="J1433" i="6" a="1"/>
  <c r="J1433" i="6" s="1"/>
  <c r="J1434" i="6" a="1"/>
  <c r="J1434" i="6" s="1"/>
  <c r="J1435" i="6" a="1"/>
  <c r="J1435" i="6" s="1"/>
  <c r="J1436" i="6" a="1"/>
  <c r="J1436" i="6"/>
  <c r="J1437" i="6" a="1"/>
  <c r="J1437" i="6" s="1"/>
  <c r="J1438" i="6" a="1"/>
  <c r="J1438" i="6" s="1"/>
  <c r="J1439" i="6" a="1"/>
  <c r="J1439" i="6" s="1"/>
  <c r="J1440" i="6" a="1"/>
  <c r="J1440" i="6"/>
  <c r="J1441" i="6" a="1"/>
  <c r="J1441" i="6" s="1"/>
  <c r="J1442" i="6" a="1"/>
  <c r="J1442" i="6" s="1"/>
  <c r="J1443" i="6" a="1"/>
  <c r="J1443" i="6" s="1"/>
  <c r="J1444" i="6" a="1"/>
  <c r="J1444" i="6" s="1"/>
  <c r="J1445" i="6" a="1"/>
  <c r="J1445" i="6" s="1"/>
  <c r="J1446" i="6" a="1"/>
  <c r="J1446" i="6" s="1"/>
  <c r="J1447" i="6" a="1"/>
  <c r="J1447" i="6" s="1"/>
  <c r="J1448" i="6" a="1"/>
  <c r="J1448" i="6" s="1"/>
  <c r="J1449" i="6" a="1"/>
  <c r="J1449" i="6"/>
  <c r="J1450" i="6" a="1"/>
  <c r="J1450" i="6" s="1"/>
  <c r="J1451" i="6" a="1"/>
  <c r="J1451" i="6" s="1"/>
  <c r="J1452" i="6" a="1"/>
  <c r="J1452" i="6" s="1"/>
  <c r="J1453" i="6" a="1"/>
  <c r="J1453" i="6" s="1"/>
  <c r="J1454" i="6" a="1"/>
  <c r="J1454" i="6" s="1"/>
  <c r="J1455" i="6" a="1"/>
  <c r="J1455" i="6" s="1"/>
  <c r="J1456" i="6" a="1"/>
  <c r="J1456" i="6" s="1"/>
  <c r="J1457" i="6" a="1"/>
  <c r="J1457" i="6" s="1"/>
  <c r="J1458" i="6" a="1"/>
  <c r="J1458" i="6"/>
  <c r="J1459" i="6" a="1"/>
  <c r="J1459" i="6" s="1"/>
  <c r="J1460" i="6" a="1"/>
  <c r="J1460" i="6" s="1"/>
  <c r="J1461" i="6" a="1"/>
  <c r="J1461" i="6" s="1"/>
  <c r="J1462" i="6" a="1"/>
  <c r="J1462" i="6" s="1"/>
  <c r="J1463" i="6" a="1"/>
  <c r="J1463" i="6" s="1"/>
  <c r="J1464" i="6" a="1"/>
  <c r="J1464" i="6" s="1"/>
  <c r="J1465" i="6" a="1"/>
  <c r="J1465" i="6" s="1"/>
  <c r="J1466" i="6" a="1"/>
  <c r="J1466" i="6" s="1"/>
  <c r="J1467" i="6" a="1"/>
  <c r="J1467" i="6" s="1"/>
  <c r="J1468" i="6" a="1"/>
  <c r="J1468" i="6"/>
  <c r="J1469" i="6" a="1"/>
  <c r="J1469" i="6" s="1"/>
  <c r="J1470" i="6" a="1"/>
  <c r="J1470" i="6" s="1"/>
  <c r="J1471" i="6" a="1"/>
  <c r="J1471" i="6" s="1"/>
  <c r="J1472" i="6" a="1"/>
  <c r="J1472" i="6"/>
  <c r="J1473" i="6" a="1"/>
  <c r="J1473" i="6" s="1"/>
  <c r="J1474" i="6" a="1"/>
  <c r="J1474" i="6" s="1"/>
  <c r="J1475" i="6" a="1"/>
  <c r="J1475" i="6" s="1"/>
  <c r="J1476" i="6" a="1"/>
  <c r="J1476" i="6" s="1"/>
  <c r="J1477" i="6" a="1"/>
  <c r="J1477" i="6" s="1"/>
  <c r="J1478" i="6" a="1"/>
  <c r="J1478" i="6" s="1"/>
  <c r="J1479" i="6" a="1"/>
  <c r="J1479" i="6" s="1"/>
  <c r="J1480" i="6" a="1"/>
  <c r="J1480" i="6" s="1"/>
  <c r="J1481" i="6" a="1"/>
  <c r="J1481" i="6"/>
  <c r="J1482" i="6" a="1"/>
  <c r="J1482" i="6" s="1"/>
  <c r="J1483" i="6" a="1"/>
  <c r="J1483" i="6" s="1"/>
  <c r="J1484" i="6" a="1"/>
  <c r="J1484" i="6" s="1"/>
  <c r="J1485" i="6" a="1"/>
  <c r="J1485" i="6" s="1"/>
  <c r="J1486" i="6" a="1"/>
  <c r="J1486" i="6" s="1"/>
  <c r="J1487" i="6" a="1"/>
  <c r="J1487" i="6" s="1"/>
  <c r="J1488" i="6" a="1"/>
  <c r="J1488" i="6" s="1"/>
  <c r="J1489" i="6" a="1"/>
  <c r="J1489" i="6" s="1"/>
  <c r="J1490" i="6" a="1"/>
  <c r="J1490" i="6"/>
  <c r="J1491" i="6" a="1"/>
  <c r="J1491" i="6" s="1"/>
  <c r="J1492" i="6" a="1"/>
  <c r="J1492" i="6" s="1"/>
  <c r="J1493" i="6" a="1"/>
  <c r="J1493" i="6" s="1"/>
  <c r="J1494" i="6" a="1"/>
  <c r="J1494" i="6" s="1"/>
  <c r="J1495" i="6" a="1"/>
  <c r="J1495" i="6" s="1"/>
  <c r="J1496" i="6" a="1"/>
  <c r="J1496" i="6" s="1"/>
  <c r="J1497" i="6" a="1"/>
  <c r="J1497" i="6" s="1"/>
  <c r="J1498" i="6" a="1"/>
  <c r="J1498" i="6" s="1"/>
  <c r="J1499" i="6" a="1"/>
  <c r="J1499" i="6" s="1"/>
  <c r="J1500" i="6" a="1"/>
  <c r="J1500" i="6" s="1"/>
  <c r="J1501" i="6" a="1"/>
  <c r="J1501" i="6" s="1"/>
  <c r="J1502" i="6" a="1"/>
  <c r="J1502" i="6" s="1"/>
  <c r="J1503" i="6" a="1"/>
  <c r="J1503" i="6" s="1"/>
  <c r="J1504" i="6" a="1"/>
  <c r="J1504" i="6"/>
  <c r="J1505" i="6" a="1"/>
  <c r="J1505" i="6" s="1"/>
  <c r="J1506" i="6" a="1"/>
  <c r="J1506" i="6" s="1"/>
  <c r="J1507" i="6" a="1"/>
  <c r="J1507" i="6" s="1"/>
  <c r="J1508" i="6" a="1"/>
  <c r="J1508" i="6" s="1"/>
  <c r="J1509" i="6" a="1"/>
  <c r="J1509" i="6" s="1"/>
  <c r="J1510" i="6" a="1"/>
  <c r="J1510" i="6" s="1"/>
  <c r="J1511" i="6" a="1"/>
  <c r="J1511" i="6" s="1"/>
  <c r="J1512" i="6" a="1"/>
  <c r="J1512" i="6" s="1"/>
  <c r="J1513" i="6" a="1"/>
  <c r="J1513" i="6"/>
  <c r="J1514" i="6" a="1"/>
  <c r="J1514" i="6" s="1"/>
  <c r="J1515" i="6" a="1"/>
  <c r="J1515" i="6" s="1"/>
  <c r="J1516" i="6" a="1"/>
  <c r="J1516" i="6" s="1"/>
  <c r="J1517" i="6" a="1"/>
  <c r="J1517" i="6" s="1"/>
  <c r="J1518" i="6" a="1"/>
  <c r="J1518" i="6" s="1"/>
  <c r="J1519" i="6" a="1"/>
  <c r="J1519" i="6" s="1"/>
  <c r="J1520" i="6" a="1"/>
  <c r="J1520" i="6" s="1"/>
  <c r="J1521" i="6" a="1"/>
  <c r="J1521" i="6" s="1"/>
  <c r="J1522" i="6" a="1"/>
  <c r="J1522" i="6"/>
  <c r="J1523" i="6" a="1"/>
  <c r="J1523" i="6" s="1"/>
  <c r="J1524" i="6" a="1"/>
  <c r="J1524" i="6" s="1"/>
  <c r="J1525" i="6" a="1"/>
  <c r="J1525" i="6" s="1"/>
  <c r="J1526" i="6" a="1"/>
  <c r="J1526" i="6" s="1"/>
  <c r="J1527" i="6" a="1"/>
  <c r="J1527" i="6" s="1"/>
  <c r="J1528" i="6" a="1"/>
  <c r="J1528" i="6" s="1"/>
  <c r="J1529" i="6" a="1"/>
  <c r="J1529" i="6" s="1"/>
  <c r="J1530" i="6" a="1"/>
  <c r="J1530" i="6" s="1"/>
  <c r="J1531" i="6" a="1"/>
  <c r="J1531" i="6" s="1"/>
  <c r="J1532" i="6" a="1"/>
  <c r="J1532" i="6" s="1"/>
  <c r="J1533" i="6" a="1"/>
  <c r="J1533" i="6" s="1"/>
  <c r="J1534" i="6" a="1"/>
  <c r="J1534" i="6" s="1"/>
  <c r="J1535" i="6" a="1"/>
  <c r="J1535" i="6" s="1"/>
  <c r="J1536" i="6" a="1"/>
  <c r="J1536" i="6"/>
  <c r="J1537" i="6" a="1"/>
  <c r="J1537" i="6" s="1"/>
  <c r="J1538" i="6" a="1"/>
  <c r="J1538" i="6" s="1"/>
  <c r="J1539" i="6" a="1"/>
  <c r="J1539" i="6" s="1"/>
  <c r="J1540" i="6" a="1"/>
  <c r="J1540" i="6" s="1"/>
  <c r="J1541" i="6" a="1"/>
  <c r="J1541" i="6"/>
  <c r="J1542" i="6" a="1"/>
  <c r="J1542" i="6" s="1"/>
  <c r="J1543" i="6" a="1"/>
  <c r="J1543" i="6" s="1"/>
  <c r="J1544" i="6" a="1"/>
  <c r="J1544" i="6" s="1"/>
  <c r="J1545" i="6" a="1"/>
  <c r="J1545" i="6"/>
  <c r="J1546" i="6" a="1"/>
  <c r="J1546" i="6" s="1"/>
  <c r="J1547" i="6" a="1"/>
  <c r="J1547" i="6" s="1"/>
  <c r="J1548" i="6" a="1"/>
  <c r="J1548" i="6" s="1"/>
  <c r="J1549" i="6" a="1"/>
  <c r="J1549" i="6" s="1"/>
  <c r="J1550" i="6" a="1"/>
  <c r="J1550" i="6" s="1"/>
  <c r="J1551" i="6" a="1"/>
  <c r="J1551" i="6" s="1"/>
  <c r="J1552" i="6" a="1"/>
  <c r="J1552" i="6" s="1"/>
  <c r="J1553" i="6" a="1"/>
  <c r="J1553" i="6" s="1"/>
  <c r="J1554" i="6" a="1"/>
  <c r="J1554" i="6"/>
  <c r="J1555" i="6" a="1"/>
  <c r="J1555" i="6" s="1"/>
  <c r="J1556" i="6" a="1"/>
  <c r="J1556" i="6" s="1"/>
  <c r="J1557" i="6" a="1"/>
  <c r="J1557" i="6" s="1"/>
  <c r="J1558" i="6" a="1"/>
  <c r="J1558" i="6" s="1"/>
  <c r="J1559" i="6" a="1"/>
  <c r="J1559" i="6" s="1"/>
  <c r="J1560" i="6" a="1"/>
  <c r="J1560" i="6" s="1"/>
  <c r="J1561" i="6" a="1"/>
  <c r="J1561" i="6" s="1"/>
  <c r="J1562" i="6" a="1"/>
  <c r="J1562" i="6" s="1"/>
  <c r="J1563" i="6" a="1"/>
  <c r="J1563" i="6" s="1"/>
  <c r="J1564" i="6" a="1"/>
  <c r="J1564" i="6" s="1"/>
  <c r="J1565" i="6" a="1"/>
  <c r="J1565" i="6" s="1"/>
  <c r="J1566" i="6" a="1"/>
  <c r="J1566" i="6" s="1"/>
  <c r="J1567" i="6" a="1"/>
  <c r="J1567" i="6" s="1"/>
  <c r="J1568" i="6" a="1"/>
  <c r="J1568" i="6"/>
  <c r="J1569" i="6" a="1"/>
  <c r="J1569" i="6" s="1"/>
  <c r="J1570" i="6" a="1"/>
  <c r="J1570" i="6" s="1"/>
  <c r="J1571" i="6" a="1"/>
  <c r="J1571" i="6" s="1"/>
  <c r="J1572" i="6" a="1"/>
  <c r="J1572" i="6" s="1"/>
  <c r="J1573" i="6" a="1"/>
  <c r="J1573" i="6" s="1"/>
  <c r="J1574" i="6" a="1"/>
  <c r="J1574" i="6" s="1"/>
  <c r="J1575" i="6" a="1"/>
  <c r="J1575" i="6" s="1"/>
  <c r="J1576" i="6" a="1"/>
  <c r="J1576" i="6" s="1"/>
  <c r="J1577" i="6" a="1"/>
  <c r="J1577" i="6"/>
  <c r="J1578" i="6" a="1"/>
  <c r="J1578" i="6" s="1"/>
  <c r="J1579" i="6" a="1"/>
  <c r="J1579" i="6" s="1"/>
  <c r="J1580" i="6" a="1"/>
  <c r="J1580" i="6" s="1"/>
  <c r="J1581" i="6" a="1"/>
  <c r="J1581" i="6" s="1"/>
  <c r="J1582" i="6" a="1"/>
  <c r="J1582" i="6"/>
  <c r="J1583" i="6" a="1"/>
  <c r="J1583" i="6" s="1"/>
  <c r="J1584" i="6" a="1"/>
  <c r="J1584" i="6" s="1"/>
  <c r="J1585" i="6" a="1"/>
  <c r="J1585" i="6" s="1"/>
  <c r="J1586" i="6" a="1"/>
  <c r="J1586" i="6"/>
  <c r="J1587" i="6" a="1"/>
  <c r="J1587" i="6" s="1"/>
  <c r="J1588" i="6" a="1"/>
  <c r="J1588" i="6" s="1"/>
  <c r="J1589" i="6" a="1"/>
  <c r="J1589" i="6" s="1"/>
  <c r="J1590" i="6" a="1"/>
  <c r="J1590" i="6" s="1"/>
  <c r="J1591" i="6" a="1"/>
  <c r="J1591" i="6" s="1"/>
  <c r="J1592" i="6" a="1"/>
  <c r="J1592" i="6" s="1"/>
  <c r="J1593" i="6" a="1"/>
  <c r="J1593" i="6" s="1"/>
  <c r="J1594" i="6" a="1"/>
  <c r="J1594" i="6" s="1"/>
  <c r="J1595" i="6" a="1"/>
  <c r="J1595" i="6" s="1"/>
  <c r="J1596" i="6" a="1"/>
  <c r="J1596" i="6"/>
  <c r="J1597" i="6" a="1"/>
  <c r="J1597" i="6" s="1"/>
  <c r="J1598" i="6" a="1"/>
  <c r="J1598" i="6" s="1"/>
  <c r="J1599" i="6" a="1"/>
  <c r="J1599" i="6" s="1"/>
  <c r="J1600" i="6" a="1"/>
  <c r="J1600" i="6"/>
  <c r="J1601" i="6" a="1"/>
  <c r="J1601" i="6" s="1"/>
  <c r="J1602" i="6" a="1"/>
  <c r="J1602" i="6" s="1"/>
  <c r="J1603" i="6" a="1"/>
  <c r="J1603" i="6" s="1"/>
  <c r="J1604" i="6" a="1"/>
  <c r="J1604" i="6" s="1"/>
  <c r="J1605" i="6" a="1"/>
  <c r="J1605" i="6"/>
  <c r="J1606" i="6" a="1"/>
  <c r="J1606" i="6" s="1"/>
  <c r="J1607" i="6" a="1"/>
  <c r="J1607" i="6" s="1"/>
  <c r="J1608" i="6" a="1"/>
  <c r="J1608" i="6" s="1"/>
  <c r="J1609" i="6" a="1"/>
  <c r="J1609" i="6"/>
  <c r="J1610" i="6" a="1"/>
  <c r="J1610" i="6" s="1"/>
  <c r="J1611" i="6" a="1"/>
  <c r="J1611" i="6" s="1"/>
  <c r="J1612" i="6" a="1"/>
  <c r="J1612" i="6" s="1"/>
  <c r="J1613" i="6" a="1"/>
  <c r="J1613" i="6" s="1"/>
  <c r="J1614" i="6" a="1"/>
  <c r="J1614" i="6"/>
  <c r="J1615" i="6" a="1"/>
  <c r="J1615" i="6" s="1"/>
  <c r="J1616" i="6" a="1"/>
  <c r="J1616" i="6" s="1"/>
  <c r="J1617" i="6" a="1"/>
  <c r="J1617" i="6" s="1"/>
  <c r="J1618" i="6" a="1"/>
  <c r="J1618" i="6"/>
  <c r="J1619" i="6" a="1"/>
  <c r="J1619" i="6" s="1"/>
  <c r="J1620" i="6" a="1"/>
  <c r="J1620" i="6" s="1"/>
  <c r="J1621" i="6" a="1"/>
  <c r="J1621" i="6" s="1"/>
  <c r="J1622" i="6" a="1"/>
  <c r="J1622" i="6" s="1"/>
  <c r="J1623" i="6" a="1"/>
  <c r="J1623" i="6" s="1"/>
  <c r="J1624" i="6" a="1"/>
  <c r="J1624" i="6" s="1"/>
  <c r="J1625" i="6" a="1"/>
  <c r="J1625" i="6" s="1"/>
  <c r="J1626" i="6" a="1"/>
  <c r="J1626" i="6" s="1"/>
  <c r="J1627" i="6" a="1"/>
  <c r="J1627" i="6" s="1"/>
  <c r="J1628" i="6" a="1"/>
  <c r="J1628" i="6"/>
  <c r="J1629" i="6" a="1"/>
  <c r="J1629" i="6" s="1"/>
  <c r="J1630" i="6" a="1"/>
  <c r="J1630" i="6" s="1"/>
  <c r="J1631" i="6" a="1"/>
  <c r="J1631" i="6" s="1"/>
  <c r="J1632" i="6" a="1"/>
  <c r="J1632" i="6"/>
  <c r="J1633" i="6" a="1"/>
  <c r="J1633" i="6" s="1"/>
  <c r="J1634" i="6" a="1"/>
  <c r="J1634" i="6" s="1"/>
  <c r="J1635" i="6" a="1"/>
  <c r="J1635" i="6" s="1"/>
  <c r="J1636" i="6" a="1"/>
  <c r="J1636" i="6" s="1"/>
  <c r="J1637" i="6" a="1"/>
  <c r="J1637" i="6"/>
  <c r="J1638" i="6" a="1"/>
  <c r="J1638" i="6" s="1"/>
  <c r="J1639" i="6" a="1"/>
  <c r="J1639" i="6" s="1"/>
  <c r="J1640" i="6" a="1"/>
  <c r="J1640" i="6" s="1"/>
  <c r="J1641" i="6" a="1"/>
  <c r="J1641" i="6"/>
  <c r="J1642" i="6" a="1"/>
  <c r="J1642" i="6" s="1"/>
  <c r="J1643" i="6" a="1"/>
  <c r="J1643" i="6" s="1"/>
  <c r="J1644" i="6" a="1"/>
  <c r="J1644" i="6" s="1"/>
  <c r="J1645" i="6" a="1"/>
  <c r="J1645" i="6" s="1"/>
  <c r="J1646" i="6" a="1"/>
  <c r="J1646" i="6"/>
  <c r="J1647" i="6" a="1"/>
  <c r="J1647" i="6" s="1"/>
  <c r="J1648" i="6" a="1"/>
  <c r="J1648" i="6" s="1"/>
  <c r="J1649" i="6" a="1"/>
  <c r="J1649" i="6" s="1"/>
  <c r="J1650" i="6" a="1"/>
  <c r="J1650" i="6"/>
  <c r="J1651" i="6" a="1"/>
  <c r="J1651" i="6" s="1"/>
  <c r="J1652" i="6" a="1"/>
  <c r="J1652" i="6" s="1"/>
  <c r="J1653" i="6" a="1"/>
  <c r="J1653" i="6" s="1"/>
  <c r="J1654" i="6" a="1"/>
  <c r="J1654" i="6" s="1"/>
  <c r="J1655" i="6" a="1"/>
  <c r="J1655" i="6" s="1"/>
  <c r="J1656" i="6" a="1"/>
  <c r="J1656" i="6" s="1"/>
  <c r="J1657" i="6" a="1"/>
  <c r="J1657" i="6" s="1"/>
  <c r="J1658" i="6" a="1"/>
  <c r="J1658" i="6" s="1"/>
  <c r="J1659" i="6" a="1"/>
  <c r="J1659" i="6" s="1"/>
  <c r="J1660" i="6" a="1"/>
  <c r="J1660" i="6"/>
  <c r="J1661" i="6" a="1"/>
  <c r="J1661" i="6" s="1"/>
  <c r="J1662" i="6" a="1"/>
  <c r="J1662" i="6" s="1"/>
  <c r="J1663" i="6" a="1"/>
  <c r="J1663" i="6" s="1"/>
  <c r="J1664" i="6" a="1"/>
  <c r="J1664" i="6"/>
  <c r="J1665" i="6" a="1"/>
  <c r="J1665" i="6" s="1"/>
  <c r="J1666" i="6" a="1"/>
  <c r="J1666" i="6" s="1"/>
  <c r="J1667" i="6" a="1"/>
  <c r="J1667" i="6" s="1"/>
  <c r="J1668" i="6" a="1"/>
  <c r="J1668" i="6" s="1"/>
  <c r="J1669" i="6" a="1"/>
  <c r="J1669" i="6"/>
  <c r="J1670" i="6" a="1"/>
  <c r="J1670" i="6" s="1"/>
  <c r="J1671" i="6" a="1"/>
  <c r="J1671" i="6" s="1"/>
  <c r="J1672" i="6" a="1"/>
  <c r="J1672" i="6" s="1"/>
  <c r="J1673" i="6" a="1"/>
  <c r="J1673" i="6"/>
  <c r="J1674" i="6" a="1"/>
  <c r="J1674" i="6" s="1"/>
  <c r="J1675" i="6" a="1"/>
  <c r="J1675" i="6" s="1"/>
  <c r="J1676" i="6" a="1"/>
  <c r="J1676" i="6" s="1"/>
  <c r="J1677" i="6" a="1"/>
  <c r="J1677" i="6" s="1"/>
  <c r="J1678" i="6" a="1"/>
  <c r="J1678" i="6"/>
  <c r="J1679" i="6" a="1"/>
  <c r="J1679" i="6" s="1"/>
  <c r="J1680" i="6" a="1"/>
  <c r="J1680" i="6" s="1"/>
  <c r="J1681" i="6" a="1"/>
  <c r="J1681" i="6" s="1"/>
  <c r="J1682" i="6" a="1"/>
  <c r="J1682" i="6"/>
  <c r="J1683" i="6" a="1"/>
  <c r="J1683" i="6" s="1"/>
  <c r="J1684" i="6" a="1"/>
  <c r="J1684" i="6" s="1"/>
  <c r="J1685" i="6" a="1"/>
  <c r="J1685" i="6" s="1"/>
  <c r="J1686" i="6" a="1"/>
  <c r="J1686" i="6" s="1"/>
  <c r="J1687" i="6" a="1"/>
  <c r="J1687" i="6" s="1"/>
  <c r="J1688" i="6" a="1"/>
  <c r="J1688" i="6" s="1"/>
  <c r="J1689" i="6" a="1"/>
  <c r="J1689" i="6" s="1"/>
  <c r="J1690" i="6" a="1"/>
  <c r="J1690" i="6" s="1"/>
  <c r="J1691" i="6" a="1"/>
  <c r="J1691" i="6" s="1"/>
  <c r="J1692" i="6" a="1"/>
  <c r="J1692" i="6"/>
  <c r="J1693" i="6" a="1"/>
  <c r="J1693" i="6" s="1"/>
  <c r="J1694" i="6" a="1"/>
  <c r="J1694" i="6" s="1"/>
  <c r="J1695" i="6" a="1"/>
  <c r="J1695" i="6" s="1"/>
  <c r="J1696" i="6" a="1"/>
  <c r="J1696" i="6"/>
  <c r="J1697" i="6" a="1"/>
  <c r="J1697" i="6" s="1"/>
  <c r="J1698" i="6" a="1"/>
  <c r="J1698" i="6" s="1"/>
  <c r="J1699" i="6" a="1"/>
  <c r="J1699" i="6" s="1"/>
  <c r="J1700" i="6" a="1"/>
  <c r="J1700" i="6" s="1"/>
  <c r="J1701" i="6" a="1"/>
  <c r="J1701" i="6" s="1"/>
  <c r="J1702" i="6" a="1"/>
  <c r="J1702" i="6" s="1"/>
  <c r="J1703" i="6" a="1"/>
  <c r="J1703" i="6" s="1"/>
  <c r="J1704" i="6" a="1"/>
  <c r="J1704" i="6" s="1"/>
  <c r="J1705" i="6" a="1"/>
  <c r="J1705" i="6"/>
  <c r="J1706" i="6" a="1"/>
  <c r="J1706" i="6" s="1"/>
  <c r="J1707" i="6" a="1"/>
  <c r="J1707" i="6" s="1"/>
  <c r="J1708" i="6" a="1"/>
  <c r="J1708" i="6" s="1"/>
  <c r="J1709" i="6" a="1"/>
  <c r="J1709" i="6" s="1"/>
  <c r="J1710" i="6" a="1"/>
  <c r="J1710" i="6"/>
  <c r="J1711" i="6" a="1"/>
  <c r="J1711" i="6" s="1"/>
  <c r="J1712" i="6" a="1"/>
  <c r="J1712" i="6" s="1"/>
  <c r="J1713" i="6" a="1"/>
  <c r="J1713" i="6" s="1"/>
  <c r="J1714" i="6" a="1"/>
  <c r="J1714" i="6"/>
  <c r="J1715" i="6" a="1"/>
  <c r="J1715" i="6" s="1"/>
  <c r="J1716" i="6" a="1"/>
  <c r="J1716" i="6" s="1"/>
  <c r="J1717" i="6" a="1"/>
  <c r="J1717" i="6" s="1"/>
  <c r="J1718" i="6" a="1"/>
  <c r="J1718" i="6" s="1"/>
  <c r="J1719" i="6" a="1"/>
  <c r="J1719" i="6" s="1"/>
  <c r="J1720" i="6" a="1"/>
  <c r="J1720" i="6" s="1"/>
  <c r="J1721" i="6" a="1"/>
  <c r="J1721" i="6" s="1"/>
  <c r="J1722" i="6" a="1"/>
  <c r="J1722" i="6" s="1"/>
  <c r="J1723" i="6" a="1"/>
  <c r="J1723" i="6" s="1"/>
  <c r="J1724" i="6" a="1"/>
  <c r="J1724" i="6"/>
  <c r="J1725" i="6" a="1"/>
  <c r="J1725" i="6" s="1"/>
  <c r="J1726" i="6" a="1"/>
  <c r="J1726" i="6" s="1"/>
  <c r="J1727" i="6" a="1"/>
  <c r="J1727" i="6" s="1"/>
  <c r="J1728" i="6" a="1"/>
  <c r="J1728" i="6"/>
  <c r="J1729" i="6" a="1"/>
  <c r="J1729" i="6" s="1"/>
  <c r="J1730" i="6" a="1"/>
  <c r="J1730" i="6" s="1"/>
  <c r="J1731" i="6" a="1"/>
  <c r="J1731" i="6" s="1"/>
  <c r="J1732" i="6" a="1"/>
  <c r="J1732" i="6" s="1"/>
  <c r="J1733" i="6" a="1"/>
  <c r="J1733" i="6"/>
  <c r="J1734" i="6" a="1"/>
  <c r="J1734" i="6" s="1"/>
  <c r="J1735" i="6" a="1"/>
  <c r="J1735" i="6" s="1"/>
  <c r="J1736" i="6" a="1"/>
  <c r="J1736" i="6" s="1"/>
  <c r="J1737" i="6" a="1"/>
  <c r="J1737" i="6"/>
  <c r="J1738" i="6" a="1"/>
  <c r="J1738" i="6" s="1"/>
  <c r="J1739" i="6" a="1"/>
  <c r="J1739" i="6" s="1"/>
  <c r="J1740" i="6" a="1"/>
  <c r="J1740" i="6" s="1"/>
  <c r="J1741" i="6" a="1"/>
  <c r="J1741" i="6" s="1"/>
  <c r="J1742" i="6" a="1"/>
  <c r="J1742" i="6"/>
  <c r="J1743" i="6" a="1"/>
  <c r="J1743" i="6" s="1"/>
  <c r="J1744" i="6" a="1"/>
  <c r="J1744" i="6" s="1"/>
  <c r="J1745" i="6" a="1"/>
  <c r="J1745" i="6" s="1"/>
  <c r="J1746" i="6" a="1"/>
  <c r="J1746" i="6"/>
  <c r="J1747" i="6" a="1"/>
  <c r="J1747" i="6" s="1"/>
  <c r="J1748" i="6" a="1"/>
  <c r="J1748" i="6" s="1"/>
  <c r="J1749" i="6" a="1"/>
  <c r="J1749" i="6" s="1"/>
  <c r="J1750" i="6" a="1"/>
  <c r="J1750" i="6" s="1"/>
  <c r="J1751" i="6" a="1"/>
  <c r="J1751" i="6" s="1"/>
  <c r="J1752" i="6" a="1"/>
  <c r="J1752" i="6" s="1"/>
  <c r="J1753" i="6" a="1"/>
  <c r="J1753" i="6" s="1"/>
  <c r="J1754" i="6" a="1"/>
  <c r="J1754" i="6" s="1"/>
  <c r="J1755" i="6" a="1"/>
  <c r="J1755" i="6" s="1"/>
  <c r="J1756" i="6" a="1"/>
  <c r="J1756" i="6"/>
  <c r="J1757" i="6" a="1"/>
  <c r="J1757" i="6" s="1"/>
  <c r="J1758" i="6" a="1"/>
  <c r="J1758" i="6" s="1"/>
  <c r="J1759" i="6" a="1"/>
  <c r="J1759" i="6" s="1"/>
  <c r="J1760" i="6" a="1"/>
  <c r="J1760" i="6"/>
  <c r="J1761" i="6" a="1"/>
  <c r="J1761" i="6" s="1"/>
  <c r="J1762" i="6" a="1"/>
  <c r="J1762" i="6" s="1"/>
  <c r="J1763" i="6" a="1"/>
  <c r="J1763" i="6" s="1"/>
  <c r="J1764" i="6" a="1"/>
  <c r="J1764" i="6" s="1"/>
  <c r="J1765" i="6" a="1"/>
  <c r="J1765" i="6"/>
  <c r="J1766" i="6" a="1"/>
  <c r="J1766" i="6" s="1"/>
  <c r="J1767" i="6" a="1"/>
  <c r="J1767" i="6" s="1"/>
  <c r="J1768" i="6" a="1"/>
  <c r="J1768" i="6" s="1"/>
  <c r="J1769" i="6" a="1"/>
  <c r="J1769" i="6"/>
  <c r="J1770" i="6" a="1"/>
  <c r="J1770" i="6" s="1"/>
  <c r="J1771" i="6" a="1"/>
  <c r="J1771" i="6" s="1"/>
  <c r="J1772" i="6" a="1"/>
  <c r="J1772" i="6" s="1"/>
  <c r="J1773" i="6" a="1"/>
  <c r="J1773" i="6" s="1"/>
  <c r="J1774" i="6" a="1"/>
  <c r="J1774" i="6"/>
  <c r="J1775" i="6" a="1"/>
  <c r="J1775" i="6" s="1"/>
  <c r="J1776" i="6" a="1"/>
  <c r="J1776" i="6" s="1"/>
  <c r="J1777" i="6" a="1"/>
  <c r="J1777" i="6" s="1"/>
  <c r="J1778" i="6" a="1"/>
  <c r="J1778" i="6"/>
  <c r="J1779" i="6" a="1"/>
  <c r="J1779" i="6"/>
  <c r="J1780" i="6" a="1"/>
  <c r="J1780" i="6" s="1"/>
  <c r="J1781" i="6" a="1"/>
  <c r="J1781" i="6" s="1"/>
  <c r="J1782" i="6" a="1"/>
  <c r="J1782" i="6" s="1"/>
  <c r="J1783" i="6" a="1"/>
  <c r="J1783" i="6"/>
  <c r="J1784" i="6" a="1"/>
  <c r="J1784" i="6" s="1"/>
  <c r="J1785" i="6" a="1"/>
  <c r="J1785" i="6" s="1"/>
  <c r="J1786" i="6" a="1"/>
  <c r="J1786" i="6" s="1"/>
  <c r="J1787" i="6" a="1"/>
  <c r="J1787" i="6" s="1"/>
  <c r="J1788" i="6" a="1"/>
  <c r="J1788" i="6" s="1"/>
  <c r="J1789" i="6" a="1"/>
  <c r="J1789" i="6" s="1"/>
  <c r="J1790" i="6" a="1"/>
  <c r="J1790" i="6" s="1"/>
  <c r="J1791" i="6" a="1"/>
  <c r="J1791" i="6" s="1"/>
  <c r="J1792" i="6" a="1"/>
  <c r="J1792" i="6" s="1"/>
  <c r="J1793" i="6" a="1"/>
  <c r="J1793" i="6" s="1"/>
  <c r="J1794" i="6" a="1"/>
  <c r="J1794" i="6" s="1"/>
  <c r="J1795" i="6" a="1"/>
  <c r="J1795" i="6" s="1"/>
  <c r="J1796" i="6" a="1"/>
  <c r="J1796" i="6" s="1"/>
  <c r="J1797" i="6" a="1"/>
  <c r="J1797" i="6" s="1"/>
  <c r="J1798" i="6" a="1"/>
  <c r="J1798" i="6" s="1"/>
  <c r="J1799" i="6" a="1"/>
  <c r="J1799" i="6"/>
  <c r="J1800" i="6" a="1"/>
  <c r="J1800" i="6" s="1"/>
  <c r="J1801" i="6" a="1"/>
  <c r="J1801" i="6" s="1"/>
  <c r="J1802" i="6" a="1"/>
  <c r="J1802" i="6" s="1"/>
  <c r="J1803" i="6" a="1"/>
  <c r="J1803" i="6" s="1"/>
  <c r="J1804" i="6" a="1"/>
  <c r="J1804" i="6" s="1"/>
  <c r="J1805" i="6" a="1"/>
  <c r="J1805" i="6" s="1"/>
  <c r="J1806" i="6" a="1"/>
  <c r="J1806" i="6" s="1"/>
  <c r="J1807" i="6" a="1"/>
  <c r="J1807" i="6" s="1"/>
  <c r="J1808" i="6" a="1"/>
  <c r="J1808" i="6" s="1"/>
  <c r="J1809" i="6" a="1"/>
  <c r="J1809" i="6" s="1"/>
  <c r="J1810" i="6" a="1"/>
  <c r="J1810" i="6" s="1"/>
  <c r="J1811" i="6" a="1"/>
  <c r="J1811" i="6" s="1"/>
  <c r="J1812" i="6" a="1"/>
  <c r="J1812" i="6" s="1"/>
  <c r="J1813" i="6" a="1"/>
  <c r="J1813" i="6" s="1"/>
  <c r="J1814" i="6" a="1"/>
  <c r="J1814" i="6" s="1"/>
  <c r="J1815" i="6" a="1"/>
  <c r="J1815" i="6"/>
  <c r="J1816" i="6" a="1"/>
  <c r="J1816" i="6" s="1"/>
  <c r="J1817" i="6" a="1"/>
  <c r="J1817" i="6" s="1"/>
  <c r="J1818" i="6" a="1"/>
  <c r="J1818" i="6" s="1"/>
  <c r="J1819" i="6" a="1"/>
  <c r="J1819" i="6" s="1"/>
  <c r="J1820" i="6" a="1"/>
  <c r="J1820" i="6" s="1"/>
  <c r="J1821" i="6" a="1"/>
  <c r="J1821" i="6" s="1"/>
  <c r="J1822" i="6" a="1"/>
  <c r="J1822" i="6" s="1"/>
  <c r="J1823" i="6" a="1"/>
  <c r="J1823" i="6" s="1"/>
  <c r="J1824" i="6" a="1"/>
  <c r="J1824" i="6" s="1"/>
  <c r="J1825" i="6" a="1"/>
  <c r="J1825" i="6" s="1"/>
  <c r="J1826" i="6" a="1"/>
  <c r="J1826" i="6" s="1"/>
  <c r="J1827" i="6" a="1"/>
  <c r="J1827" i="6" s="1"/>
  <c r="J1828" i="6" a="1"/>
  <c r="J1828" i="6" s="1"/>
  <c r="J1829" i="6" a="1"/>
  <c r="J1829" i="6" s="1"/>
  <c r="J1830" i="6" a="1"/>
  <c r="J1830" i="6" s="1"/>
  <c r="J1831" i="6" a="1"/>
  <c r="J1831" i="6"/>
  <c r="J1832" i="6" a="1"/>
  <c r="J1832" i="6" s="1"/>
  <c r="J1833" i="6" a="1"/>
  <c r="J1833" i="6" s="1"/>
  <c r="J1834" i="6" a="1"/>
  <c r="J1834" i="6" s="1"/>
  <c r="J1835" i="6" a="1"/>
  <c r="J1835" i="6"/>
  <c r="J1836" i="6" a="1"/>
  <c r="J1836" i="6" s="1"/>
  <c r="J1837" i="6" a="1"/>
  <c r="J1837" i="6" s="1"/>
  <c r="J1838" i="6" a="1"/>
  <c r="J1838" i="6" s="1"/>
  <c r="J1839" i="6" a="1"/>
  <c r="J1839" i="6" s="1"/>
  <c r="J1840" i="6" a="1"/>
  <c r="J1840" i="6" s="1"/>
  <c r="J1841" i="6" a="1"/>
  <c r="J1841" i="6" s="1"/>
  <c r="J1842" i="6" a="1"/>
  <c r="J1842" i="6" s="1"/>
  <c r="J1843" i="6" a="1"/>
  <c r="J1843" i="6" s="1"/>
  <c r="J1844" i="6" a="1"/>
  <c r="J1844" i="6" s="1"/>
  <c r="J1845" i="6" a="1"/>
  <c r="J1845" i="6" s="1"/>
  <c r="J1846" i="6" a="1"/>
  <c r="J1846" i="6" s="1"/>
  <c r="J1847" i="6" a="1"/>
  <c r="J1847" i="6"/>
  <c r="J1848" i="6" a="1"/>
  <c r="J1848" i="6" s="1"/>
  <c r="J1849" i="6" a="1"/>
  <c r="J1849" i="6" s="1"/>
  <c r="J1850" i="6" a="1"/>
  <c r="J1850" i="6" s="1"/>
  <c r="J1851" i="6" a="1"/>
  <c r="J1851" i="6" s="1"/>
  <c r="J1852" i="6" a="1"/>
  <c r="J1852" i="6" s="1"/>
  <c r="J1853" i="6" a="1"/>
  <c r="J1853" i="6" s="1"/>
  <c r="J1854" i="6" a="1"/>
  <c r="J1854" i="6" s="1"/>
  <c r="J1855" i="6" a="1"/>
  <c r="J1855" i="6" s="1"/>
  <c r="J1856" i="6" a="1"/>
  <c r="J1856" i="6" s="1"/>
  <c r="J1857" i="6" a="1"/>
  <c r="J1857" i="6" s="1"/>
  <c r="J1858" i="6" a="1"/>
  <c r="J1858" i="6" s="1"/>
  <c r="J1859" i="6" a="1"/>
  <c r="J1859" i="6" s="1"/>
  <c r="J1860" i="6" a="1"/>
  <c r="J1860" i="6" s="1"/>
  <c r="J1861" i="6" a="1"/>
  <c r="J1861" i="6" s="1"/>
  <c r="J1862" i="6" a="1"/>
  <c r="J1862" i="6" s="1"/>
  <c r="J1863" i="6" a="1"/>
  <c r="J1863" i="6"/>
  <c r="J1864" i="6" a="1"/>
  <c r="J1864" i="6" s="1"/>
  <c r="J1865" i="6" a="1"/>
  <c r="J1865" i="6" s="1"/>
  <c r="J1866" i="6" a="1"/>
  <c r="J1866" i="6" s="1"/>
  <c r="J1867" i="6" a="1"/>
  <c r="J1867" i="6" s="1"/>
  <c r="J1868" i="6" a="1"/>
  <c r="J1868" i="6" s="1"/>
  <c r="J1869" i="6" a="1"/>
  <c r="J1869" i="6" s="1"/>
  <c r="J1870" i="6" a="1"/>
  <c r="J1870" i="6" s="1"/>
  <c r="J1871" i="6" a="1"/>
  <c r="J1871" i="6" s="1"/>
  <c r="J1872" i="6" a="1"/>
  <c r="J1872" i="6" s="1"/>
  <c r="J1873" i="6" a="1"/>
  <c r="J1873" i="6" s="1"/>
  <c r="J1874" i="6" a="1"/>
  <c r="J1874" i="6" s="1"/>
  <c r="J1875" i="6" a="1"/>
  <c r="J1875" i="6" s="1"/>
  <c r="J1876" i="6" a="1"/>
  <c r="J1876" i="6" s="1"/>
  <c r="J1877" i="6" a="1"/>
  <c r="J1877" i="6" s="1"/>
  <c r="J1878" i="6" a="1"/>
  <c r="J1878" i="6" s="1"/>
  <c r="J1879" i="6" a="1"/>
  <c r="J1879" i="6"/>
  <c r="J1880" i="6" a="1"/>
  <c r="J1880" i="6" s="1"/>
  <c r="J1881" i="6" a="1"/>
  <c r="J1881" i="6" s="1"/>
  <c r="J1882" i="6" a="1"/>
  <c r="J1882" i="6" s="1"/>
  <c r="J1883" i="6" a="1"/>
  <c r="J1883" i="6" s="1"/>
  <c r="J1884" i="6" a="1"/>
  <c r="J1884" i="6" s="1"/>
  <c r="J1885" i="6" a="1"/>
  <c r="J1885" i="6" s="1"/>
  <c r="J1886" i="6" a="1"/>
  <c r="J1886" i="6" s="1"/>
  <c r="J1887" i="6" a="1"/>
  <c r="J1887" i="6" s="1"/>
  <c r="J1888" i="6" a="1"/>
  <c r="J1888" i="6" s="1"/>
  <c r="J1889" i="6" a="1"/>
  <c r="J1889" i="6" s="1"/>
  <c r="J1890" i="6" a="1"/>
  <c r="J1890" i="6" s="1"/>
  <c r="J1891" i="6" a="1"/>
  <c r="J1891" i="6" s="1"/>
  <c r="J1892" i="6" a="1"/>
  <c r="J1892" i="6" s="1"/>
  <c r="J1893" i="6" a="1"/>
  <c r="J1893" i="6" s="1"/>
  <c r="J1894" i="6" a="1"/>
  <c r="J1894" i="6" s="1"/>
  <c r="J1895" i="6" a="1"/>
  <c r="J1895" i="6"/>
  <c r="J1896" i="6" a="1"/>
  <c r="J1896" i="6" s="1"/>
  <c r="J1897" i="6" a="1"/>
  <c r="J1897" i="6" s="1"/>
  <c r="J1898" i="6" a="1"/>
  <c r="J1898" i="6" s="1"/>
  <c r="J1899" i="6" a="1"/>
  <c r="J1899" i="6" s="1"/>
  <c r="J1900" i="6" a="1"/>
  <c r="J1900" i="6" s="1"/>
  <c r="J1901" i="6" a="1"/>
  <c r="J1901" i="6" s="1"/>
  <c r="J1902" i="6" a="1"/>
  <c r="J1902" i="6" s="1"/>
  <c r="J1903" i="6" a="1"/>
  <c r="J1903" i="6" s="1"/>
  <c r="J1904" i="6" a="1"/>
  <c r="J1904" i="6" s="1"/>
  <c r="J1905" i="6" a="1"/>
  <c r="J1905" i="6" s="1"/>
  <c r="J1906" i="6" a="1"/>
  <c r="J1906" i="6" s="1"/>
  <c r="J1907" i="6" a="1"/>
  <c r="J1907" i="6"/>
  <c r="J1908" i="6" a="1"/>
  <c r="J1908" i="6" s="1"/>
  <c r="J1909" i="6" a="1"/>
  <c r="J1909" i="6" s="1"/>
  <c r="J1910" i="6" a="1"/>
  <c r="J1910" i="6" s="1"/>
  <c r="J1911" i="6" a="1"/>
  <c r="J1911" i="6" s="1"/>
  <c r="J1912" i="6" a="1"/>
  <c r="J1912" i="6" s="1"/>
  <c r="J1913" i="6" a="1"/>
  <c r="J1913" i="6" s="1"/>
  <c r="J1914" i="6" a="1"/>
  <c r="J1914" i="6" s="1"/>
  <c r="J1915" i="6" a="1"/>
  <c r="J1915" i="6" s="1"/>
  <c r="J1916" i="6" a="1"/>
  <c r="J1916" i="6" s="1"/>
  <c r="J2" i="6" a="1"/>
  <c r="J2" i="6" s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2" i="6"/>
  <c r="K2" i="6" l="1"/>
  <c r="K3" i="6"/>
  <c r="K4" i="6"/>
  <c r="L3" i="6"/>
  <c r="H3" i="6"/>
  <c r="H4" i="6" s="1"/>
  <c r="H5" i="6" s="1"/>
  <c r="H6" i="6" s="1"/>
  <c r="O3" i="6" l="1"/>
  <c r="N3" i="6"/>
  <c r="L4" i="6"/>
  <c r="O4" i="6" s="1"/>
  <c r="N4" i="6" l="1"/>
  <c r="L2" i="6"/>
  <c r="O2" i="6" l="1"/>
  <c r="N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<sst xmlns="http://schemas.openxmlformats.org/spreadsheetml/2006/main" count="18" uniqueCount="18">
  <si>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time</t>
  </si>
  <si>
    <t>open</t>
  </si>
  <si>
    <t>high</t>
  </si>
  <si>
    <t>low</t>
  </si>
  <si>
    <t>close</t>
  </si>
  <si>
    <t>volume</t>
  </si>
  <si>
    <t>week</t>
  </si>
  <si>
    <t>k</t>
  </si>
  <si>
    <t xml:space="preserve">upper limit </t>
  </si>
  <si>
    <t>lower limit</t>
  </si>
  <si>
    <t>weekly ROI</t>
  </si>
  <si>
    <t>weekly Mean</t>
  </si>
  <si>
    <t>weekly Standard deviation</t>
  </si>
  <si>
    <t>mean all ROI</t>
  </si>
  <si>
    <t>STD all ROI</t>
  </si>
  <si>
    <t>highlight ROI for k=0.5</t>
  </si>
  <si>
    <t>highlight ROI for k=1</t>
  </si>
  <si>
    <t>highlight ROI for k=1.5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</si>
</sst>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10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1" fillId="2" borderId="0" xfId="0" applyFont="1" applyFill="1" applyAlignment="1">
      <alignment horizontal="center"/>
    </xf>
    <xf numFmtId="2" fontId="0" fillId="3" borderId="0" xfId="0" applyNumberFormat="1" applyFill="1"/>
    <xf numFmtId="2" fontId="0" fillId="4" borderId="0" xfId="0" applyNumberFormat="1" applyFill="1"/>
  </cellXfs>
  <cellStyles count="1">
    <cellStyle name="Normal" xfId="0" builtinId="0"/>
  </cellStyles>
  <dxfs count="31"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E85D4-3F86-4F7C-AD4C-66E484DFDAE3}">
  <dimension ref="A1:R1916"/>
  <sheetViews>
    <sheetView tabSelected="1" zoomScale="89" workbookViewId="0">
      <selection activeCell="Q13" sqref="Q13"/>
    </sheetView>
  </sheetViews>
  <sheetFormatPr defaultRowHeight="15" x14ac:dyDescent="0.25"/>
  <cols>
    <col min="1" max="1" width="8.42578125" customWidth="1"/>
    <col min="2" max="2" width="20.42578125" customWidth="1"/>
    <col min="3" max="3" width="14" customWidth="1"/>
    <col min="4" max="5" width="14.42578125" customWidth="1"/>
    <col min="6" max="6" width="14.140625" customWidth="1"/>
    <col min="7" max="7" width="21.5703125" customWidth="1"/>
    <col min="8" max="8" width="14.7109375" customWidth="1"/>
    <col min="9" max="9" width="13.85546875" customWidth="1"/>
    <col min="10" max="10" width="25.28515625" customWidth="1"/>
    <col min="11" max="11" width="14" customWidth="1"/>
    <col min="12" max="12" width="13.28515625" customWidth="1"/>
    <col min="14" max="14" width="14.42578125" customWidth="1"/>
    <col min="15" max="15" width="13.85546875" customWidth="1"/>
    <col min="16" max="17" width="27.28515625" customWidth="1"/>
    <col min="18" max="18" width="27.5703125" customWidth="1"/>
  </cols>
  <sheetData>
    <row r="1" spans="1:18" x14ac:dyDescent="0.25">
      <c r="A1" s="4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4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7</v>
      </c>
      <c r="N1" s="5" t="s">
        <v>9</v>
      </c>
      <c r="O1" s="5" t="s">
        <v>8</v>
      </c>
      <c r="P1" s="5" t="s">
        <v>15</v>
      </c>
      <c r="Q1" s="9" t="s">
        <v>16</v>
      </c>
      <c r="R1" s="9" t="s">
        <v>17</v>
      </c>
    </row>
    <row r="2" spans="1:18" x14ac:dyDescent="0.25">
      <c r="A2" s="7">
        <f>INT((ROW(A2)-ROW($A$2))/5) + 1</f>
        <v>1</v>
      </c>
      <c r="B2" s="2">
        <v>42926</v>
      </c>
      <c r="C2" s="3">
        <v>10.56</v>
      </c>
      <c r="D2" s="3">
        <v>10.56</v>
      </c>
      <c r="E2" s="3">
        <v>9.94</v>
      </c>
      <c r="F2" s="3">
        <v>10.3</v>
      </c>
      <c r="G2" s="3">
        <v>2677240</v>
      </c>
      <c r="H2" s="8">
        <f>IF(A2=A1, H1, (F6-F2)/F2*100)</f>
        <v>-4.4660194174757359</v>
      </c>
      <c r="I2">
        <f>AVERAGEIF($A:$A, A2, $F:$F)</f>
        <v>10.077999999999999</v>
      </c>
      <c r="J2" s="6" cm="1">
        <f t="array" ref="J2">_xlfn.STDEV.S(IF($A:$A=A2, $F:$F))</f>
        <v>0.17311845655504238</v>
      </c>
      <c r="K2" s="8">
        <f>AVERAGE(H2:H1916)</f>
        <v>0.6214721960103331</v>
      </c>
      <c r="L2">
        <f>_xlfn.STDEV.P(H2:H1916)</f>
        <v>5.8458734588837737</v>
      </c>
      <c r="M2" s="7">
        <v>0.5</v>
      </c>
      <c r="N2">
        <f>K2-M2*L2</f>
        <v>-2.3014645334315538</v>
      </c>
      <c r="O2">
        <f>K2+M2*L2</f>
        <v>3.54440892545222</v>
      </c>
      <c r="P2" s="8">
        <f>IF(A2=A1,P1,(F6-F2)/F2*100)</f>
        <v>-4.4660194174757359</v>
      </c>
      <c r="Q2" s="8">
        <f>IF(A2=A1,Q1,(F6-F2)/F2*100)</f>
        <v>-4.4660194174757359</v>
      </c>
      <c r="R2" s="8">
        <f>IF(A2=A1,R1,(F6-F2)/F2*100)</f>
        <v>-4.4660194174757359</v>
      </c>
    </row>
    <row r="3" spans="1:18" x14ac:dyDescent="0.25">
      <c r="A3" s="7">
        <f t="shared" ref="A3:A66" si="0">INT((ROW(A3)-ROW($A$2))/5) + 1</f>
        <v>1</v>
      </c>
      <c r="B3" s="2">
        <v>42927</v>
      </c>
      <c r="C3" s="3">
        <v>10.32</v>
      </c>
      <c r="D3" s="3">
        <v>10.32</v>
      </c>
      <c r="E3" s="3">
        <v>9.94</v>
      </c>
      <c r="F3" s="3">
        <v>10.11</v>
      </c>
      <c r="G3" s="3">
        <v>838360</v>
      </c>
      <c r="H3" s="8">
        <f t="shared" ref="H3:H66" si="1">IF(A3=A2, H2, (F7-F3)/F3*100)</f>
        <v>-4.4660194174757359</v>
      </c>
      <c r="I3">
        <f t="shared" ref="I3:I66" si="2">AVERAGEIF($A:$A, A3, $F:$F)</f>
        <v>10.077999999999999</v>
      </c>
      <c r="J3" s="6" cm="1">
        <f t="array" ref="J3">_xlfn.STDEV.S(IF($A:$A=A3, $F:$F))</f>
        <v>0.17311845655504238</v>
      </c>
      <c r="K3" s="8">
        <f>AVERAGE(H2:H1916)</f>
        <v>0.6214721960103331</v>
      </c>
      <c r="L3">
        <f>_xlfn.STDEV.P(H2:H1916)</f>
        <v>5.8458734588837737</v>
      </c>
      <c r="M3" s="7">
        <v>1</v>
      </c>
      <c r="N3">
        <f>K3-M3*L3</f>
        <v>-5.2244012628734406</v>
      </c>
      <c r="O3">
        <f>K3+M3*L3</f>
        <v>6.4673456548941068</v>
      </c>
      <c r="P3" s="8">
        <f t="shared" ref="P3:P66" si="3">IF(A3=A2,P2,(F7-F3)/F3*100)</f>
        <v>-4.4660194174757359</v>
      </c>
      <c r="Q3" s="8">
        <f t="shared" ref="Q3:Q66" si="4">IF(A3=A2,Q2,(F7-F3)/F3*100)</f>
        <v>-4.4660194174757359</v>
      </c>
      <c r="R3" s="8">
        <f t="shared" ref="R3:R66" si="5">IF(A3=A2,R2,(F7-F3)/F3*100)</f>
        <v>-4.4660194174757359</v>
      </c>
    </row>
    <row r="4" spans="1:18" x14ac:dyDescent="0.25">
      <c r="A4" s="7">
        <f t="shared" si="0"/>
        <v>1</v>
      </c>
      <c r="B4" s="2">
        <v>42928</v>
      </c>
      <c r="C4" s="3">
        <v>10.11</v>
      </c>
      <c r="D4" s="3">
        <v>10.27</v>
      </c>
      <c r="E4" s="3">
        <v>10.039999999999999</v>
      </c>
      <c r="F4" s="3">
        <v>10.15</v>
      </c>
      <c r="G4" s="3">
        <v>376520</v>
      </c>
      <c r="H4" s="8">
        <f t="shared" si="1"/>
        <v>-4.4660194174757359</v>
      </c>
      <c r="I4">
        <f t="shared" si="2"/>
        <v>10.077999999999999</v>
      </c>
      <c r="J4" s="6" cm="1">
        <f t="array" ref="J4">_xlfn.STDEV.S(IF($A:$A=A4, $F:$F))</f>
        <v>0.17311845655504238</v>
      </c>
      <c r="K4" s="8">
        <f>AVERAGE(H2:H1916)</f>
        <v>0.6214721960103331</v>
      </c>
      <c r="L4">
        <f>_xlfn.STDEV.P(H2:H1916)</f>
        <v>5.8458734588837737</v>
      </c>
      <c r="M4" s="7">
        <v>1.5</v>
      </c>
      <c r="N4">
        <f>K4-M4*L4</f>
        <v>-8.1473379923153288</v>
      </c>
      <c r="O4">
        <f>K4+M4*L4</f>
        <v>9.3902823843359933</v>
      </c>
      <c r="P4" s="8">
        <f t="shared" si="3"/>
        <v>-4.4660194174757359</v>
      </c>
      <c r="Q4" s="8">
        <f t="shared" si="4"/>
        <v>-4.4660194174757359</v>
      </c>
      <c r="R4" s="8">
        <f t="shared" si="5"/>
        <v>-4.4660194174757359</v>
      </c>
    </row>
    <row r="5" spans="1:18" x14ac:dyDescent="0.25">
      <c r="A5" s="7">
        <f t="shared" si="0"/>
        <v>1</v>
      </c>
      <c r="B5" s="2">
        <v>42929</v>
      </c>
      <c r="C5" s="3">
        <v>10.130000000000001</v>
      </c>
      <c r="D5" s="3">
        <v>10.130000000000001</v>
      </c>
      <c r="E5" s="3">
        <v>9.99</v>
      </c>
      <c r="F5" s="3">
        <v>9.99</v>
      </c>
      <c r="G5" s="3">
        <v>780690</v>
      </c>
      <c r="H5" s="8">
        <f t="shared" si="1"/>
        <v>-4.4660194174757359</v>
      </c>
      <c r="I5">
        <f t="shared" si="2"/>
        <v>10.077999999999999</v>
      </c>
      <c r="J5" s="6" cm="1">
        <f t="array" ref="J5">_xlfn.STDEV.S(IF($A:$A=A5, $F:$F))</f>
        <v>0.17311845655504238</v>
      </c>
      <c r="P5" s="8">
        <f t="shared" si="3"/>
        <v>-4.4660194174757359</v>
      </c>
      <c r="Q5" s="8">
        <f t="shared" si="4"/>
        <v>-4.4660194174757359</v>
      </c>
      <c r="R5" s="8">
        <f t="shared" si="5"/>
        <v>-4.4660194174757359</v>
      </c>
    </row>
    <row r="6" spans="1:18" x14ac:dyDescent="0.25">
      <c r="A6" s="7">
        <f t="shared" si="0"/>
        <v>1</v>
      </c>
      <c r="B6" s="2">
        <v>42930</v>
      </c>
      <c r="C6" s="3">
        <v>9.9600000000000009</v>
      </c>
      <c r="D6" s="3">
        <v>10.039999999999999</v>
      </c>
      <c r="E6" s="3">
        <v>9.82</v>
      </c>
      <c r="F6" s="3">
        <v>9.84</v>
      </c>
      <c r="G6" s="3">
        <v>605590</v>
      </c>
      <c r="H6" s="8">
        <f t="shared" si="1"/>
        <v>-4.4660194174757359</v>
      </c>
      <c r="I6">
        <f t="shared" si="2"/>
        <v>10.077999999999999</v>
      </c>
      <c r="J6" s="6" cm="1">
        <f t="array" ref="J6">_xlfn.STDEV.S(IF($A:$A=A6, $F:$F))</f>
        <v>0.17311845655504238</v>
      </c>
      <c r="P6" s="8">
        <f t="shared" si="3"/>
        <v>-4.4660194174757359</v>
      </c>
      <c r="Q6" s="8">
        <f t="shared" si="4"/>
        <v>-4.4660194174757359</v>
      </c>
      <c r="R6" s="8">
        <f t="shared" si="5"/>
        <v>-4.4660194174757359</v>
      </c>
    </row>
    <row r="7" spans="1:18" x14ac:dyDescent="0.25">
      <c r="A7" s="7">
        <f t="shared" si="0"/>
        <v>2</v>
      </c>
      <c r="B7" s="2">
        <v>42933</v>
      </c>
      <c r="C7" s="3">
        <v>9.92</v>
      </c>
      <c r="D7" s="3">
        <v>10.11</v>
      </c>
      <c r="E7" s="3">
        <v>9.8000000000000007</v>
      </c>
      <c r="F7" s="3">
        <v>9.98</v>
      </c>
      <c r="G7" s="3">
        <v>469140</v>
      </c>
      <c r="H7" s="8">
        <f t="shared" si="1"/>
        <v>-0.90180360721442732</v>
      </c>
      <c r="I7">
        <f t="shared" si="2"/>
        <v>9.9080000000000013</v>
      </c>
      <c r="J7" s="6" cm="1">
        <f t="array" ref="J7">_xlfn.STDEV.S(IF($A:$A=A7, $F:$F))</f>
        <v>4.2661458015403317E-2</v>
      </c>
      <c r="P7" s="8">
        <f t="shared" si="3"/>
        <v>-0.90180360721442732</v>
      </c>
      <c r="Q7" s="8">
        <f t="shared" si="4"/>
        <v>-0.90180360721442732</v>
      </c>
      <c r="R7" s="8">
        <f t="shared" si="5"/>
        <v>-0.90180360721442732</v>
      </c>
    </row>
    <row r="8" spans="1:18" x14ac:dyDescent="0.25">
      <c r="A8" s="7">
        <f t="shared" si="0"/>
        <v>2</v>
      </c>
      <c r="B8" s="2">
        <v>42934</v>
      </c>
      <c r="C8" s="3">
        <v>9.94</v>
      </c>
      <c r="D8" s="3">
        <v>9.98</v>
      </c>
      <c r="E8" s="3">
        <v>9.8699999999999992</v>
      </c>
      <c r="F8" s="3">
        <v>9.8699999999999992</v>
      </c>
      <c r="G8" s="3">
        <v>319370</v>
      </c>
      <c r="H8" s="8">
        <f t="shared" si="1"/>
        <v>-0.90180360721442732</v>
      </c>
      <c r="I8">
        <f t="shared" si="2"/>
        <v>9.9080000000000013</v>
      </c>
      <c r="J8" s="6" cm="1">
        <f t="array" ref="J8">_xlfn.STDEV.S(IF($A:$A=A8, $F:$F))</f>
        <v>4.2661458015403317E-2</v>
      </c>
      <c r="P8" s="8">
        <f t="shared" si="3"/>
        <v>-0.90180360721442732</v>
      </c>
      <c r="Q8" s="8">
        <f t="shared" si="4"/>
        <v>-0.90180360721442732</v>
      </c>
      <c r="R8" s="8">
        <f t="shared" si="5"/>
        <v>-0.90180360721442732</v>
      </c>
    </row>
    <row r="9" spans="1:18" x14ac:dyDescent="0.25">
      <c r="A9" s="7">
        <f t="shared" si="0"/>
        <v>2</v>
      </c>
      <c r="B9" s="2">
        <v>42935</v>
      </c>
      <c r="C9" s="3">
        <v>9.94</v>
      </c>
      <c r="D9" s="3">
        <v>9.99</v>
      </c>
      <c r="E9" s="3">
        <v>9.86</v>
      </c>
      <c r="F9" s="3">
        <v>9.89</v>
      </c>
      <c r="G9" s="3">
        <v>279130</v>
      </c>
      <c r="H9" s="8">
        <f t="shared" si="1"/>
        <v>-0.90180360721442732</v>
      </c>
      <c r="I9">
        <f t="shared" si="2"/>
        <v>9.9080000000000013</v>
      </c>
      <c r="J9" s="6" cm="1">
        <f t="array" ref="J9">_xlfn.STDEV.S(IF($A:$A=A9, $F:$F))</f>
        <v>4.2661458015403317E-2</v>
      </c>
      <c r="P9" s="8">
        <f t="shared" si="3"/>
        <v>-0.90180360721442732</v>
      </c>
      <c r="Q9" s="8">
        <f t="shared" si="4"/>
        <v>-0.90180360721442732</v>
      </c>
      <c r="R9" s="8">
        <f t="shared" si="5"/>
        <v>-0.90180360721442732</v>
      </c>
    </row>
    <row r="10" spans="1:18" x14ac:dyDescent="0.25">
      <c r="A10" s="7">
        <f t="shared" si="0"/>
        <v>2</v>
      </c>
      <c r="B10" s="2">
        <v>42936</v>
      </c>
      <c r="C10" s="3">
        <v>9.91</v>
      </c>
      <c r="D10" s="3">
        <v>9.94</v>
      </c>
      <c r="E10" s="3">
        <v>9.86</v>
      </c>
      <c r="F10" s="3">
        <v>9.91</v>
      </c>
      <c r="G10" s="3">
        <v>342050</v>
      </c>
      <c r="H10" s="8">
        <f t="shared" si="1"/>
        <v>-0.90180360721442732</v>
      </c>
      <c r="I10">
        <f t="shared" si="2"/>
        <v>9.9080000000000013</v>
      </c>
      <c r="J10" s="6" cm="1">
        <f t="array" ref="J10">_xlfn.STDEV.S(IF($A:$A=A10, $F:$F))</f>
        <v>4.2661458015403317E-2</v>
      </c>
      <c r="P10" s="8">
        <f t="shared" si="3"/>
        <v>-0.90180360721442732</v>
      </c>
      <c r="Q10" s="8">
        <f t="shared" si="4"/>
        <v>-0.90180360721442732</v>
      </c>
      <c r="R10" s="8">
        <f t="shared" si="5"/>
        <v>-0.90180360721442732</v>
      </c>
    </row>
    <row r="11" spans="1:18" x14ac:dyDescent="0.25">
      <c r="A11" s="7">
        <f t="shared" si="0"/>
        <v>2</v>
      </c>
      <c r="B11" s="2">
        <v>42937</v>
      </c>
      <c r="C11" s="3">
        <v>9.91</v>
      </c>
      <c r="D11" s="3">
        <v>9.94</v>
      </c>
      <c r="E11" s="3">
        <v>9.8699999999999992</v>
      </c>
      <c r="F11" s="3">
        <v>9.89</v>
      </c>
      <c r="G11" s="3">
        <v>140450</v>
      </c>
      <c r="H11" s="8">
        <f t="shared" si="1"/>
        <v>-0.90180360721442732</v>
      </c>
      <c r="I11">
        <f t="shared" si="2"/>
        <v>9.9080000000000013</v>
      </c>
      <c r="J11" s="6" cm="1">
        <f t="array" ref="J11">_xlfn.STDEV.S(IF($A:$A=A11, $F:$F))</f>
        <v>4.2661458015403317E-2</v>
      </c>
      <c r="P11" s="8">
        <f t="shared" si="3"/>
        <v>-0.90180360721442732</v>
      </c>
      <c r="Q11" s="8">
        <f t="shared" si="4"/>
        <v>-0.90180360721442732</v>
      </c>
      <c r="R11" s="8">
        <f t="shared" si="5"/>
        <v>-0.90180360721442732</v>
      </c>
    </row>
    <row r="12" spans="1:18" x14ac:dyDescent="0.25">
      <c r="A12" s="7">
        <f t="shared" si="0"/>
        <v>3</v>
      </c>
      <c r="B12" s="2">
        <v>42940</v>
      </c>
      <c r="C12" s="3">
        <v>9.89</v>
      </c>
      <c r="D12" s="3">
        <v>9.91</v>
      </c>
      <c r="E12" s="3">
        <v>9.89</v>
      </c>
      <c r="F12" s="3">
        <v>9.89</v>
      </c>
      <c r="G12" s="3">
        <v>282460</v>
      </c>
      <c r="H12" s="8">
        <f t="shared" si="1"/>
        <v>5.7633973710819033</v>
      </c>
      <c r="I12">
        <f t="shared" si="2"/>
        <v>10.118</v>
      </c>
      <c r="J12" s="6" cm="1">
        <f t="array" ref="J12">_xlfn.STDEV.S(IF($A:$A=A12, $F:$F))</f>
        <v>0.25596874809241871</v>
      </c>
      <c r="P12" s="8">
        <f t="shared" si="3"/>
        <v>5.7633973710819033</v>
      </c>
      <c r="Q12" s="8">
        <f t="shared" si="4"/>
        <v>5.7633973710819033</v>
      </c>
      <c r="R12" s="8">
        <f t="shared" si="5"/>
        <v>5.7633973710819033</v>
      </c>
    </row>
    <row r="13" spans="1:18" x14ac:dyDescent="0.25">
      <c r="A13" s="7">
        <f t="shared" si="0"/>
        <v>3</v>
      </c>
      <c r="B13" s="2">
        <v>42941</v>
      </c>
      <c r="C13" s="3">
        <v>9.86</v>
      </c>
      <c r="D13" s="3">
        <v>9.94</v>
      </c>
      <c r="E13" s="3">
        <v>9.82</v>
      </c>
      <c r="F13" s="3">
        <v>9.86</v>
      </c>
      <c r="G13" s="3">
        <v>198020</v>
      </c>
      <c r="H13" s="8">
        <f t="shared" si="1"/>
        <v>5.7633973710819033</v>
      </c>
      <c r="I13">
        <f t="shared" si="2"/>
        <v>10.118</v>
      </c>
      <c r="J13" s="6" cm="1">
        <f t="array" ref="J13">_xlfn.STDEV.S(IF($A:$A=A13, $F:$F))</f>
        <v>0.25596874809241871</v>
      </c>
      <c r="P13" s="8">
        <f t="shared" si="3"/>
        <v>5.7633973710819033</v>
      </c>
      <c r="Q13" s="8">
        <f t="shared" si="4"/>
        <v>5.7633973710819033</v>
      </c>
      <c r="R13" s="8">
        <f t="shared" si="5"/>
        <v>5.7633973710819033</v>
      </c>
    </row>
    <row r="14" spans="1:18" x14ac:dyDescent="0.25">
      <c r="A14" s="7">
        <f t="shared" si="0"/>
        <v>3</v>
      </c>
      <c r="B14" s="2">
        <v>42942</v>
      </c>
      <c r="C14" s="3">
        <v>9.89</v>
      </c>
      <c r="D14" s="3">
        <v>10.199999999999999</v>
      </c>
      <c r="E14" s="3">
        <v>9.8699999999999992</v>
      </c>
      <c r="F14" s="3">
        <v>10.1</v>
      </c>
      <c r="G14" s="3">
        <v>307260</v>
      </c>
      <c r="H14" s="8">
        <f t="shared" si="1"/>
        <v>5.7633973710819033</v>
      </c>
      <c r="I14">
        <f t="shared" si="2"/>
        <v>10.118</v>
      </c>
      <c r="J14" s="6" cm="1">
        <f t="array" ref="J14">_xlfn.STDEV.S(IF($A:$A=A14, $F:$F))</f>
        <v>0.25596874809241871</v>
      </c>
      <c r="P14" s="8">
        <f t="shared" si="3"/>
        <v>5.7633973710819033</v>
      </c>
      <c r="Q14" s="8">
        <f t="shared" si="4"/>
        <v>5.7633973710819033</v>
      </c>
      <c r="R14" s="8">
        <f t="shared" si="5"/>
        <v>5.7633973710819033</v>
      </c>
    </row>
    <row r="15" spans="1:18" x14ac:dyDescent="0.25">
      <c r="A15" s="7">
        <f t="shared" si="0"/>
        <v>3</v>
      </c>
      <c r="B15" s="2">
        <v>42943</v>
      </c>
      <c r="C15" s="3">
        <v>10.18</v>
      </c>
      <c r="D15" s="3">
        <v>10.52</v>
      </c>
      <c r="E15" s="3">
        <v>10.1</v>
      </c>
      <c r="F15" s="3">
        <v>10.28</v>
      </c>
      <c r="G15" s="3">
        <v>438580</v>
      </c>
      <c r="H15" s="8">
        <f t="shared" si="1"/>
        <v>5.7633973710819033</v>
      </c>
      <c r="I15">
        <f t="shared" si="2"/>
        <v>10.118</v>
      </c>
      <c r="J15" s="6" cm="1">
        <f t="array" ref="J15">_xlfn.STDEV.S(IF($A:$A=A15, $F:$F))</f>
        <v>0.25596874809241871</v>
      </c>
      <c r="P15" s="8">
        <f t="shared" si="3"/>
        <v>5.7633973710819033</v>
      </c>
      <c r="Q15" s="8">
        <f t="shared" si="4"/>
        <v>5.7633973710819033</v>
      </c>
      <c r="R15" s="8">
        <f t="shared" si="5"/>
        <v>5.7633973710819033</v>
      </c>
    </row>
    <row r="16" spans="1:18" x14ac:dyDescent="0.25">
      <c r="A16" s="7">
        <f t="shared" si="0"/>
        <v>3</v>
      </c>
      <c r="B16" s="2">
        <v>42944</v>
      </c>
      <c r="C16" s="3">
        <v>10.46</v>
      </c>
      <c r="D16" s="3">
        <v>10.52</v>
      </c>
      <c r="E16" s="3">
        <v>10.28</v>
      </c>
      <c r="F16" s="3">
        <v>10.46</v>
      </c>
      <c r="G16" s="3">
        <v>600310</v>
      </c>
      <c r="H16" s="8">
        <f t="shared" si="1"/>
        <v>5.7633973710819033</v>
      </c>
      <c r="I16">
        <f t="shared" si="2"/>
        <v>10.118</v>
      </c>
      <c r="J16" s="6" cm="1">
        <f t="array" ref="J16">_xlfn.STDEV.S(IF($A:$A=A16, $F:$F))</f>
        <v>0.25596874809241871</v>
      </c>
      <c r="P16" s="8">
        <f t="shared" si="3"/>
        <v>5.7633973710819033</v>
      </c>
      <c r="Q16" s="8">
        <f t="shared" si="4"/>
        <v>5.7633973710819033</v>
      </c>
      <c r="R16" s="8">
        <f t="shared" si="5"/>
        <v>5.7633973710819033</v>
      </c>
    </row>
    <row r="17" spans="1:18" x14ac:dyDescent="0.25">
      <c r="A17" s="7">
        <f t="shared" si="0"/>
        <v>4</v>
      </c>
      <c r="B17" s="2">
        <v>42947</v>
      </c>
      <c r="C17" s="3">
        <v>10.37</v>
      </c>
      <c r="D17" s="3">
        <v>10.49</v>
      </c>
      <c r="E17" s="3">
        <v>10.37</v>
      </c>
      <c r="F17" s="3">
        <v>10.46</v>
      </c>
      <c r="G17" s="3">
        <v>145430</v>
      </c>
      <c r="H17" s="8">
        <f t="shared" si="1"/>
        <v>-0.66921606118547106</v>
      </c>
      <c r="I17">
        <f t="shared" si="2"/>
        <v>10.374000000000001</v>
      </c>
      <c r="J17" s="6" cm="1">
        <f t="array" ref="J17">_xlfn.STDEV.S(IF($A:$A=A17, $F:$F))</f>
        <v>9.0443352436760854E-2</v>
      </c>
      <c r="P17" s="8">
        <f t="shared" si="3"/>
        <v>-0.66921606118547106</v>
      </c>
      <c r="Q17" s="8">
        <f t="shared" si="4"/>
        <v>-0.66921606118547106</v>
      </c>
      <c r="R17" s="8">
        <f t="shared" si="5"/>
        <v>-0.66921606118547106</v>
      </c>
    </row>
    <row r="18" spans="1:18" x14ac:dyDescent="0.25">
      <c r="A18" s="7">
        <f t="shared" si="0"/>
        <v>4</v>
      </c>
      <c r="B18" s="2">
        <v>42948</v>
      </c>
      <c r="C18" s="3">
        <v>10.46</v>
      </c>
      <c r="D18" s="3">
        <v>10.46</v>
      </c>
      <c r="E18" s="3">
        <v>10.28</v>
      </c>
      <c r="F18" s="3">
        <v>10.28</v>
      </c>
      <c r="G18" s="3">
        <v>198280</v>
      </c>
      <c r="H18" s="8">
        <f t="shared" si="1"/>
        <v>-0.66921606118547106</v>
      </c>
      <c r="I18">
        <f t="shared" si="2"/>
        <v>10.374000000000001</v>
      </c>
      <c r="J18" s="6" cm="1">
        <f t="array" ref="J18">_xlfn.STDEV.S(IF($A:$A=A18, $F:$F))</f>
        <v>9.0443352436760854E-2</v>
      </c>
      <c r="P18" s="8">
        <f t="shared" si="3"/>
        <v>-0.66921606118547106</v>
      </c>
      <c r="Q18" s="8">
        <f t="shared" si="4"/>
        <v>-0.66921606118547106</v>
      </c>
      <c r="R18" s="8">
        <f t="shared" si="5"/>
        <v>-0.66921606118547106</v>
      </c>
    </row>
    <row r="19" spans="1:18" x14ac:dyDescent="0.25">
      <c r="A19" s="7">
        <f t="shared" si="0"/>
        <v>4</v>
      </c>
      <c r="B19" s="2">
        <v>42949</v>
      </c>
      <c r="C19" s="3">
        <v>10.28</v>
      </c>
      <c r="D19" s="3">
        <v>10.46</v>
      </c>
      <c r="E19" s="3">
        <v>10.25</v>
      </c>
      <c r="F19" s="3">
        <v>10.28</v>
      </c>
      <c r="G19" s="3">
        <v>530950</v>
      </c>
      <c r="H19" s="8">
        <f t="shared" si="1"/>
        <v>-0.66921606118547106</v>
      </c>
      <c r="I19">
        <f t="shared" si="2"/>
        <v>10.374000000000001</v>
      </c>
      <c r="J19" s="6" cm="1">
        <f t="array" ref="J19">_xlfn.STDEV.S(IF($A:$A=A19, $F:$F))</f>
        <v>9.0443352436760854E-2</v>
      </c>
      <c r="P19" s="8">
        <f t="shared" si="3"/>
        <v>-0.66921606118547106</v>
      </c>
      <c r="Q19" s="8">
        <f t="shared" si="4"/>
        <v>-0.66921606118547106</v>
      </c>
      <c r="R19" s="8">
        <f t="shared" si="5"/>
        <v>-0.66921606118547106</v>
      </c>
    </row>
    <row r="20" spans="1:18" x14ac:dyDescent="0.25">
      <c r="A20" s="7">
        <f t="shared" si="0"/>
        <v>4</v>
      </c>
      <c r="B20" s="2">
        <v>42950</v>
      </c>
      <c r="C20" s="3">
        <v>10.3</v>
      </c>
      <c r="D20" s="3">
        <v>10.47</v>
      </c>
      <c r="E20" s="3">
        <v>10.3</v>
      </c>
      <c r="F20" s="3">
        <v>10.46</v>
      </c>
      <c r="G20" s="3">
        <v>476970</v>
      </c>
      <c r="H20" s="8">
        <f t="shared" si="1"/>
        <v>-0.66921606118547106</v>
      </c>
      <c r="I20">
        <f t="shared" si="2"/>
        <v>10.374000000000001</v>
      </c>
      <c r="J20" s="6" cm="1">
        <f t="array" ref="J20">_xlfn.STDEV.S(IF($A:$A=A20, $F:$F))</f>
        <v>9.0443352436760854E-2</v>
      </c>
      <c r="P20" s="8">
        <f t="shared" si="3"/>
        <v>-0.66921606118547106</v>
      </c>
      <c r="Q20" s="8">
        <f t="shared" si="4"/>
        <v>-0.66921606118547106</v>
      </c>
      <c r="R20" s="8">
        <f t="shared" si="5"/>
        <v>-0.66921606118547106</v>
      </c>
    </row>
    <row r="21" spans="1:18" x14ac:dyDescent="0.25">
      <c r="A21" s="7">
        <f t="shared" si="0"/>
        <v>4</v>
      </c>
      <c r="B21" s="2">
        <v>42951</v>
      </c>
      <c r="C21" s="3">
        <v>10.46</v>
      </c>
      <c r="D21" s="3">
        <v>10.46</v>
      </c>
      <c r="E21" s="3">
        <v>10.37</v>
      </c>
      <c r="F21" s="3">
        <v>10.39</v>
      </c>
      <c r="G21" s="3">
        <v>267610</v>
      </c>
      <c r="H21" s="8">
        <f t="shared" si="1"/>
        <v>-0.66921606118547106</v>
      </c>
      <c r="I21">
        <f t="shared" si="2"/>
        <v>10.374000000000001</v>
      </c>
      <c r="J21" s="6" cm="1">
        <f t="array" ref="J21">_xlfn.STDEV.S(IF($A:$A=A21, $F:$F))</f>
        <v>9.0443352436760854E-2</v>
      </c>
      <c r="P21" s="8">
        <f t="shared" si="3"/>
        <v>-0.66921606118547106</v>
      </c>
      <c r="Q21" s="8">
        <f t="shared" si="4"/>
        <v>-0.66921606118547106</v>
      </c>
      <c r="R21" s="8">
        <f t="shared" si="5"/>
        <v>-0.66921606118547106</v>
      </c>
    </row>
    <row r="22" spans="1:18" x14ac:dyDescent="0.25">
      <c r="A22" s="7">
        <f t="shared" si="0"/>
        <v>5</v>
      </c>
      <c r="B22" s="2">
        <v>42954</v>
      </c>
      <c r="C22" s="3">
        <v>10.39</v>
      </c>
      <c r="D22" s="3">
        <v>10.49</v>
      </c>
      <c r="E22" s="3">
        <v>10.39</v>
      </c>
      <c r="F22" s="3">
        <v>10.46</v>
      </c>
      <c r="G22" s="3">
        <v>447390</v>
      </c>
      <c r="H22" s="8">
        <f t="shared" si="1"/>
        <v>-1.5296367112810718</v>
      </c>
      <c r="I22">
        <f t="shared" si="2"/>
        <v>10.341999999999999</v>
      </c>
      <c r="J22" s="6" cm="1">
        <f t="array" ref="J22">_xlfn.STDEV.S(IF($A:$A=A22, $F:$F))</f>
        <v>7.4296702484027033E-2</v>
      </c>
      <c r="P22" s="8">
        <f t="shared" si="3"/>
        <v>-1.5296367112810718</v>
      </c>
      <c r="Q22" s="8">
        <f t="shared" si="4"/>
        <v>-1.5296367112810718</v>
      </c>
      <c r="R22" s="8">
        <f t="shared" si="5"/>
        <v>-1.5296367112810718</v>
      </c>
    </row>
    <row r="23" spans="1:18" x14ac:dyDescent="0.25">
      <c r="A23" s="7">
        <f t="shared" si="0"/>
        <v>5</v>
      </c>
      <c r="B23" s="2">
        <v>42955</v>
      </c>
      <c r="C23" s="3">
        <v>10.46</v>
      </c>
      <c r="D23" s="3">
        <v>10.46</v>
      </c>
      <c r="E23" s="3">
        <v>10.34</v>
      </c>
      <c r="F23" s="3">
        <v>10.37</v>
      </c>
      <c r="G23" s="3">
        <v>236400</v>
      </c>
      <c r="H23" s="8">
        <f t="shared" si="1"/>
        <v>-1.5296367112810718</v>
      </c>
      <c r="I23">
        <f t="shared" si="2"/>
        <v>10.341999999999999</v>
      </c>
      <c r="J23" s="6" cm="1">
        <f t="array" ref="J23">_xlfn.STDEV.S(IF($A:$A=A23, $F:$F))</f>
        <v>7.4296702484027033E-2</v>
      </c>
      <c r="P23" s="8">
        <f t="shared" si="3"/>
        <v>-1.5296367112810718</v>
      </c>
      <c r="Q23" s="8">
        <f t="shared" si="4"/>
        <v>-1.5296367112810718</v>
      </c>
      <c r="R23" s="8">
        <f t="shared" si="5"/>
        <v>-1.5296367112810718</v>
      </c>
    </row>
    <row r="24" spans="1:18" x14ac:dyDescent="0.25">
      <c r="A24" s="7">
        <f t="shared" si="0"/>
        <v>5</v>
      </c>
      <c r="B24" s="2">
        <v>42956</v>
      </c>
      <c r="C24" s="3">
        <v>10.3</v>
      </c>
      <c r="D24" s="3">
        <v>10.44</v>
      </c>
      <c r="E24" s="3">
        <v>10.199999999999999</v>
      </c>
      <c r="F24" s="3">
        <v>10.28</v>
      </c>
      <c r="G24" s="3">
        <v>384710</v>
      </c>
      <c r="H24" s="8">
        <f t="shared" si="1"/>
        <v>-1.5296367112810718</v>
      </c>
      <c r="I24">
        <f t="shared" si="2"/>
        <v>10.341999999999999</v>
      </c>
      <c r="J24" s="6" cm="1">
        <f t="array" ref="J24">_xlfn.STDEV.S(IF($A:$A=A24, $F:$F))</f>
        <v>7.4296702484027033E-2</v>
      </c>
      <c r="P24" s="8">
        <f t="shared" si="3"/>
        <v>-1.5296367112810718</v>
      </c>
      <c r="Q24" s="8">
        <f t="shared" si="4"/>
        <v>-1.5296367112810718</v>
      </c>
      <c r="R24" s="8">
        <f t="shared" si="5"/>
        <v>-1.5296367112810718</v>
      </c>
    </row>
    <row r="25" spans="1:18" x14ac:dyDescent="0.25">
      <c r="A25" s="7">
        <f t="shared" si="0"/>
        <v>5</v>
      </c>
      <c r="B25" s="2">
        <v>42957</v>
      </c>
      <c r="C25" s="3">
        <v>10.15</v>
      </c>
      <c r="D25" s="3">
        <v>10.37</v>
      </c>
      <c r="E25" s="3">
        <v>10.130000000000001</v>
      </c>
      <c r="F25" s="3">
        <v>10.3</v>
      </c>
      <c r="G25" s="3">
        <v>172920</v>
      </c>
      <c r="H25" s="8">
        <f t="shared" si="1"/>
        <v>-1.5296367112810718</v>
      </c>
      <c r="I25">
        <f t="shared" si="2"/>
        <v>10.341999999999999</v>
      </c>
      <c r="J25" s="6" cm="1">
        <f t="array" ref="J25">_xlfn.STDEV.S(IF($A:$A=A25, $F:$F))</f>
        <v>7.4296702484027033E-2</v>
      </c>
      <c r="P25" s="8">
        <f t="shared" si="3"/>
        <v>-1.5296367112810718</v>
      </c>
      <c r="Q25" s="8">
        <f t="shared" si="4"/>
        <v>-1.5296367112810718</v>
      </c>
      <c r="R25" s="8">
        <f t="shared" si="5"/>
        <v>-1.5296367112810718</v>
      </c>
    </row>
    <row r="26" spans="1:18" x14ac:dyDescent="0.25">
      <c r="A26" s="7">
        <f t="shared" si="0"/>
        <v>5</v>
      </c>
      <c r="B26" s="2">
        <v>42958</v>
      </c>
      <c r="C26" s="3">
        <v>10.27</v>
      </c>
      <c r="D26" s="3">
        <v>10.34</v>
      </c>
      <c r="E26" s="3">
        <v>10.27</v>
      </c>
      <c r="F26" s="3">
        <v>10.3</v>
      </c>
      <c r="G26" s="3">
        <v>125740</v>
      </c>
      <c r="H26" s="8">
        <f t="shared" si="1"/>
        <v>-1.5296367112810718</v>
      </c>
      <c r="I26">
        <f t="shared" si="2"/>
        <v>10.341999999999999</v>
      </c>
      <c r="J26" s="6" cm="1">
        <f t="array" ref="J26">_xlfn.STDEV.S(IF($A:$A=A26, $F:$F))</f>
        <v>7.4296702484027033E-2</v>
      </c>
      <c r="P26" s="8">
        <f t="shared" si="3"/>
        <v>-1.5296367112810718</v>
      </c>
      <c r="Q26" s="8">
        <f t="shared" si="4"/>
        <v>-1.5296367112810718</v>
      </c>
      <c r="R26" s="8">
        <f t="shared" si="5"/>
        <v>-1.5296367112810718</v>
      </c>
    </row>
    <row r="27" spans="1:18" x14ac:dyDescent="0.25">
      <c r="A27" s="7">
        <f t="shared" si="0"/>
        <v>6</v>
      </c>
      <c r="B27" s="2">
        <v>42961</v>
      </c>
      <c r="C27" s="3">
        <v>10.37</v>
      </c>
      <c r="D27" s="3">
        <v>10.37</v>
      </c>
      <c r="E27" s="3">
        <v>10.199999999999999</v>
      </c>
      <c r="F27" s="3">
        <v>10.28</v>
      </c>
      <c r="G27" s="3">
        <v>168300</v>
      </c>
      <c r="H27" s="8">
        <f t="shared" si="1"/>
        <v>0</v>
      </c>
      <c r="I27">
        <f t="shared" si="2"/>
        <v>10.28</v>
      </c>
      <c r="J27" s="6" cm="1">
        <f t="array" ref="J27">_xlfn.STDEV.S(IF($A:$A=A27, $F:$F))</f>
        <v>0</v>
      </c>
      <c r="P27" s="8">
        <f t="shared" si="3"/>
        <v>0</v>
      </c>
      <c r="Q27" s="8">
        <f t="shared" si="4"/>
        <v>0</v>
      </c>
      <c r="R27" s="8">
        <f t="shared" si="5"/>
        <v>0</v>
      </c>
    </row>
    <row r="28" spans="1:18" x14ac:dyDescent="0.25">
      <c r="A28" s="7">
        <f t="shared" si="0"/>
        <v>6</v>
      </c>
      <c r="B28" s="2">
        <v>42962</v>
      </c>
      <c r="C28" s="3">
        <v>10.46</v>
      </c>
      <c r="D28" s="3">
        <v>10.46</v>
      </c>
      <c r="E28" s="3">
        <v>9.94</v>
      </c>
      <c r="F28" s="3">
        <v>10.28</v>
      </c>
      <c r="G28" s="3">
        <v>145160</v>
      </c>
      <c r="H28" s="8">
        <f t="shared" si="1"/>
        <v>0</v>
      </c>
      <c r="I28">
        <f t="shared" si="2"/>
        <v>10.28</v>
      </c>
      <c r="J28" s="6" cm="1">
        <f t="array" ref="J28">_xlfn.STDEV.S(IF($A:$A=A28, $F:$F))</f>
        <v>0</v>
      </c>
      <c r="P28" s="8">
        <f t="shared" si="3"/>
        <v>0</v>
      </c>
      <c r="Q28" s="8">
        <f t="shared" si="4"/>
        <v>0</v>
      </c>
      <c r="R28" s="8">
        <f t="shared" si="5"/>
        <v>0</v>
      </c>
    </row>
    <row r="29" spans="1:18" x14ac:dyDescent="0.25">
      <c r="A29" s="7">
        <f t="shared" si="0"/>
        <v>6</v>
      </c>
      <c r="B29" s="2">
        <v>42963</v>
      </c>
      <c r="C29" s="3">
        <v>10.11</v>
      </c>
      <c r="D29" s="3">
        <v>10.32</v>
      </c>
      <c r="E29" s="3">
        <v>10.11</v>
      </c>
      <c r="F29" s="3">
        <v>10.28</v>
      </c>
      <c r="G29" s="3">
        <v>73300</v>
      </c>
      <c r="H29" s="8">
        <f t="shared" si="1"/>
        <v>0</v>
      </c>
      <c r="I29">
        <f t="shared" si="2"/>
        <v>10.28</v>
      </c>
      <c r="J29" s="6" cm="1">
        <f t="array" ref="J29">_xlfn.STDEV.S(IF($A:$A=A29, $F:$F))</f>
        <v>0</v>
      </c>
      <c r="P29" s="8">
        <f t="shared" si="3"/>
        <v>0</v>
      </c>
      <c r="Q29" s="8">
        <f t="shared" si="4"/>
        <v>0</v>
      </c>
      <c r="R29" s="8">
        <f t="shared" si="5"/>
        <v>0</v>
      </c>
    </row>
    <row r="30" spans="1:18" x14ac:dyDescent="0.25">
      <c r="A30" s="7">
        <f t="shared" si="0"/>
        <v>6</v>
      </c>
      <c r="B30" s="2">
        <v>42964</v>
      </c>
      <c r="C30" s="3">
        <v>10.28</v>
      </c>
      <c r="D30" s="3">
        <v>10.3</v>
      </c>
      <c r="E30" s="3">
        <v>10.199999999999999</v>
      </c>
      <c r="F30" s="3">
        <v>10.28</v>
      </c>
      <c r="G30" s="3">
        <v>190470</v>
      </c>
      <c r="H30" s="8">
        <f t="shared" si="1"/>
        <v>0</v>
      </c>
      <c r="I30">
        <f t="shared" si="2"/>
        <v>10.28</v>
      </c>
      <c r="J30" s="6" cm="1">
        <f t="array" ref="J30">_xlfn.STDEV.S(IF($A:$A=A30, $F:$F))</f>
        <v>0</v>
      </c>
      <c r="P30" s="8">
        <f t="shared" si="3"/>
        <v>0</v>
      </c>
      <c r="Q30" s="8">
        <f t="shared" si="4"/>
        <v>0</v>
      </c>
      <c r="R30" s="8">
        <f t="shared" si="5"/>
        <v>0</v>
      </c>
    </row>
    <row r="31" spans="1:18" x14ac:dyDescent="0.25">
      <c r="A31" s="7">
        <f t="shared" si="0"/>
        <v>6</v>
      </c>
      <c r="B31" s="2">
        <v>42965</v>
      </c>
      <c r="C31" s="3">
        <v>10.27</v>
      </c>
      <c r="D31" s="3">
        <v>10.28</v>
      </c>
      <c r="E31" s="3">
        <v>10.27</v>
      </c>
      <c r="F31" s="3">
        <v>10.28</v>
      </c>
      <c r="G31" s="3">
        <v>159680</v>
      </c>
      <c r="H31" s="8">
        <f t="shared" si="1"/>
        <v>0</v>
      </c>
      <c r="I31">
        <f t="shared" si="2"/>
        <v>10.28</v>
      </c>
      <c r="J31" s="6" cm="1">
        <f t="array" ref="J31">_xlfn.STDEV.S(IF($A:$A=A31, $F:$F))</f>
        <v>0</v>
      </c>
      <c r="P31" s="8">
        <f t="shared" si="3"/>
        <v>0</v>
      </c>
      <c r="Q31" s="8">
        <f t="shared" si="4"/>
        <v>0</v>
      </c>
      <c r="R31" s="8">
        <f t="shared" si="5"/>
        <v>0</v>
      </c>
    </row>
    <row r="32" spans="1:18" x14ac:dyDescent="0.25">
      <c r="A32" s="7">
        <f t="shared" si="0"/>
        <v>7</v>
      </c>
      <c r="B32" s="2">
        <v>42968</v>
      </c>
      <c r="C32" s="3">
        <v>10.28</v>
      </c>
      <c r="D32" s="3">
        <v>10.35</v>
      </c>
      <c r="E32" s="3">
        <v>10.25</v>
      </c>
      <c r="F32" s="3">
        <v>10.28</v>
      </c>
      <c r="G32" s="3">
        <v>176960</v>
      </c>
      <c r="H32" s="8">
        <f t="shared" si="1"/>
        <v>-0.48638132295718811</v>
      </c>
      <c r="I32">
        <f t="shared" si="2"/>
        <v>10.26</v>
      </c>
      <c r="J32" s="6" cm="1">
        <f t="array" ref="J32">_xlfn.STDEV.S(IF($A:$A=A32, $F:$F))</f>
        <v>1.9999999999999574E-2</v>
      </c>
      <c r="P32" s="8">
        <f t="shared" si="3"/>
        <v>-0.48638132295718811</v>
      </c>
      <c r="Q32" s="8">
        <f t="shared" si="4"/>
        <v>-0.48638132295718811</v>
      </c>
      <c r="R32" s="8">
        <f t="shared" si="5"/>
        <v>-0.48638132295718811</v>
      </c>
    </row>
    <row r="33" spans="1:18" x14ac:dyDescent="0.25">
      <c r="A33" s="7">
        <f t="shared" si="0"/>
        <v>7</v>
      </c>
      <c r="B33" s="2">
        <v>42969</v>
      </c>
      <c r="C33" s="3">
        <v>10.28</v>
      </c>
      <c r="D33" s="3">
        <v>10.28</v>
      </c>
      <c r="E33" s="3">
        <v>10.23</v>
      </c>
      <c r="F33" s="3">
        <v>10.27</v>
      </c>
      <c r="G33" s="3">
        <v>71320</v>
      </c>
      <c r="H33" s="8">
        <f t="shared" si="1"/>
        <v>-0.48638132295718811</v>
      </c>
      <c r="I33">
        <f t="shared" si="2"/>
        <v>10.26</v>
      </c>
      <c r="J33" s="6" cm="1">
        <f t="array" ref="J33">_xlfn.STDEV.S(IF($A:$A=A33, $F:$F))</f>
        <v>1.9999999999999574E-2</v>
      </c>
      <c r="P33" s="8">
        <f t="shared" si="3"/>
        <v>-0.48638132295718811</v>
      </c>
      <c r="Q33" s="8">
        <f t="shared" si="4"/>
        <v>-0.48638132295718811</v>
      </c>
      <c r="R33" s="8">
        <f t="shared" si="5"/>
        <v>-0.48638132295718811</v>
      </c>
    </row>
    <row r="34" spans="1:18" x14ac:dyDescent="0.25">
      <c r="A34" s="7">
        <f t="shared" si="0"/>
        <v>7</v>
      </c>
      <c r="B34" s="2">
        <v>42970</v>
      </c>
      <c r="C34" s="3">
        <v>10.28</v>
      </c>
      <c r="D34" s="3">
        <v>10.28</v>
      </c>
      <c r="E34" s="3">
        <v>10.23</v>
      </c>
      <c r="F34" s="3">
        <v>10.25</v>
      </c>
      <c r="G34" s="3">
        <v>61150</v>
      </c>
      <c r="H34" s="8">
        <f t="shared" si="1"/>
        <v>-0.48638132295718811</v>
      </c>
      <c r="I34">
        <f t="shared" si="2"/>
        <v>10.26</v>
      </c>
      <c r="J34" s="6" cm="1">
        <f t="array" ref="J34">_xlfn.STDEV.S(IF($A:$A=A34, $F:$F))</f>
        <v>1.9999999999999574E-2</v>
      </c>
      <c r="P34" s="8">
        <f t="shared" si="3"/>
        <v>-0.48638132295718811</v>
      </c>
      <c r="Q34" s="8">
        <f t="shared" si="4"/>
        <v>-0.48638132295718811</v>
      </c>
      <c r="R34" s="8">
        <f t="shared" si="5"/>
        <v>-0.48638132295718811</v>
      </c>
    </row>
    <row r="35" spans="1:18" x14ac:dyDescent="0.25">
      <c r="A35" s="7">
        <f t="shared" si="0"/>
        <v>7</v>
      </c>
      <c r="B35" s="2">
        <v>42971</v>
      </c>
      <c r="C35" s="3">
        <v>10.27</v>
      </c>
      <c r="D35" s="3">
        <v>10.27</v>
      </c>
      <c r="E35" s="3">
        <v>10.23</v>
      </c>
      <c r="F35" s="3">
        <v>10.27</v>
      </c>
      <c r="G35" s="3">
        <v>199860</v>
      </c>
      <c r="H35" s="8">
        <f t="shared" si="1"/>
        <v>-0.48638132295718811</v>
      </c>
      <c r="I35">
        <f t="shared" si="2"/>
        <v>10.26</v>
      </c>
      <c r="J35" s="6" cm="1">
        <f t="array" ref="J35">_xlfn.STDEV.S(IF($A:$A=A35, $F:$F))</f>
        <v>1.9999999999999574E-2</v>
      </c>
      <c r="P35" s="8">
        <f t="shared" si="3"/>
        <v>-0.48638132295718811</v>
      </c>
      <c r="Q35" s="8">
        <f t="shared" si="4"/>
        <v>-0.48638132295718811</v>
      </c>
      <c r="R35" s="8">
        <f t="shared" si="5"/>
        <v>-0.48638132295718811</v>
      </c>
    </row>
    <row r="36" spans="1:18" x14ac:dyDescent="0.25">
      <c r="A36" s="7">
        <f t="shared" si="0"/>
        <v>7</v>
      </c>
      <c r="B36" s="2">
        <v>42972</v>
      </c>
      <c r="C36" s="3">
        <v>10.23</v>
      </c>
      <c r="D36" s="3">
        <v>10.27</v>
      </c>
      <c r="E36" s="3">
        <v>10.199999999999999</v>
      </c>
      <c r="F36" s="3">
        <v>10.23</v>
      </c>
      <c r="G36" s="3">
        <v>60460</v>
      </c>
      <c r="H36" s="8">
        <f t="shared" si="1"/>
        <v>-0.48638132295718811</v>
      </c>
      <c r="I36">
        <f t="shared" si="2"/>
        <v>10.26</v>
      </c>
      <c r="J36" s="6" cm="1">
        <f t="array" ref="J36">_xlfn.STDEV.S(IF($A:$A=A36, $F:$F))</f>
        <v>1.9999999999999574E-2</v>
      </c>
      <c r="P36" s="8">
        <f t="shared" si="3"/>
        <v>-0.48638132295718811</v>
      </c>
      <c r="Q36" s="8">
        <f t="shared" si="4"/>
        <v>-0.48638132295718811</v>
      </c>
      <c r="R36" s="8">
        <f t="shared" si="5"/>
        <v>-0.48638132295718811</v>
      </c>
    </row>
    <row r="37" spans="1:18" x14ac:dyDescent="0.25">
      <c r="A37" s="7">
        <f t="shared" si="0"/>
        <v>8</v>
      </c>
      <c r="B37" s="2">
        <v>42975</v>
      </c>
      <c r="C37" s="3">
        <v>10.199999999999999</v>
      </c>
      <c r="D37" s="3">
        <v>10.23</v>
      </c>
      <c r="E37" s="3">
        <v>10.16</v>
      </c>
      <c r="F37" s="3">
        <v>10.16</v>
      </c>
      <c r="G37" s="3">
        <v>58920</v>
      </c>
      <c r="H37" s="8">
        <f t="shared" si="1"/>
        <v>-9.8425196850391597E-2</v>
      </c>
      <c r="I37">
        <f t="shared" si="2"/>
        <v>10.156000000000001</v>
      </c>
      <c r="J37" s="6" cm="1">
        <f t="array" ref="J37">_xlfn.STDEV.S(IF($A:$A=A37, $F:$F))</f>
        <v>5.4772255750515442E-3</v>
      </c>
      <c r="P37" s="8">
        <f t="shared" si="3"/>
        <v>-9.8425196850391597E-2</v>
      </c>
      <c r="Q37" s="8">
        <f t="shared" si="4"/>
        <v>-9.8425196850391597E-2</v>
      </c>
      <c r="R37" s="8">
        <f t="shared" si="5"/>
        <v>-9.8425196850391597E-2</v>
      </c>
    </row>
    <row r="38" spans="1:18" x14ac:dyDescent="0.25">
      <c r="A38" s="7">
        <f t="shared" si="0"/>
        <v>8</v>
      </c>
      <c r="B38" s="2">
        <v>42976</v>
      </c>
      <c r="C38" s="3">
        <v>10.15</v>
      </c>
      <c r="D38" s="3">
        <v>10.199999999999999</v>
      </c>
      <c r="E38" s="3">
        <v>10.11</v>
      </c>
      <c r="F38" s="3">
        <v>10.16</v>
      </c>
      <c r="G38" s="3">
        <v>49710</v>
      </c>
      <c r="H38" s="8">
        <f t="shared" si="1"/>
        <v>-9.8425196850391597E-2</v>
      </c>
      <c r="I38">
        <f t="shared" si="2"/>
        <v>10.156000000000001</v>
      </c>
      <c r="J38" s="6" cm="1">
        <f t="array" ref="J38">_xlfn.STDEV.S(IF($A:$A=A38, $F:$F))</f>
        <v>5.4772255750515442E-3</v>
      </c>
      <c r="P38" s="8">
        <f t="shared" si="3"/>
        <v>-9.8425196850391597E-2</v>
      </c>
      <c r="Q38" s="8">
        <f t="shared" si="4"/>
        <v>-9.8425196850391597E-2</v>
      </c>
      <c r="R38" s="8">
        <f t="shared" si="5"/>
        <v>-9.8425196850391597E-2</v>
      </c>
    </row>
    <row r="39" spans="1:18" x14ac:dyDescent="0.25">
      <c r="A39" s="7">
        <f t="shared" si="0"/>
        <v>8</v>
      </c>
      <c r="B39" s="2">
        <v>42977</v>
      </c>
      <c r="C39" s="3">
        <v>10.16</v>
      </c>
      <c r="D39" s="3">
        <v>10.16</v>
      </c>
      <c r="E39" s="3">
        <v>10.11</v>
      </c>
      <c r="F39" s="3">
        <v>10.16</v>
      </c>
      <c r="G39" s="3">
        <v>72360</v>
      </c>
      <c r="H39" s="8">
        <f t="shared" si="1"/>
        <v>-9.8425196850391597E-2</v>
      </c>
      <c r="I39">
        <f t="shared" si="2"/>
        <v>10.156000000000001</v>
      </c>
      <c r="J39" s="6" cm="1">
        <f t="array" ref="J39">_xlfn.STDEV.S(IF($A:$A=A39, $F:$F))</f>
        <v>5.4772255750515442E-3</v>
      </c>
      <c r="P39" s="8">
        <f t="shared" si="3"/>
        <v>-9.8425196850391597E-2</v>
      </c>
      <c r="Q39" s="8">
        <f t="shared" si="4"/>
        <v>-9.8425196850391597E-2</v>
      </c>
      <c r="R39" s="8">
        <f t="shared" si="5"/>
        <v>-9.8425196850391597E-2</v>
      </c>
    </row>
    <row r="40" spans="1:18" x14ac:dyDescent="0.25">
      <c r="A40" s="7">
        <f t="shared" si="0"/>
        <v>8</v>
      </c>
      <c r="B40" s="2">
        <v>42978</v>
      </c>
      <c r="C40" s="3">
        <v>10.16</v>
      </c>
      <c r="D40" s="3">
        <v>10.16</v>
      </c>
      <c r="E40" s="3">
        <v>10.11</v>
      </c>
      <c r="F40" s="3">
        <v>10.15</v>
      </c>
      <c r="G40" s="3">
        <v>63060</v>
      </c>
      <c r="H40" s="8">
        <f t="shared" si="1"/>
        <v>-9.8425196850391597E-2</v>
      </c>
      <c r="I40">
        <f t="shared" si="2"/>
        <v>10.156000000000001</v>
      </c>
      <c r="J40" s="6" cm="1">
        <f t="array" ref="J40">_xlfn.STDEV.S(IF($A:$A=A40, $F:$F))</f>
        <v>5.4772255750515442E-3</v>
      </c>
      <c r="P40" s="8">
        <f t="shared" si="3"/>
        <v>-9.8425196850391597E-2</v>
      </c>
      <c r="Q40" s="8">
        <f t="shared" si="4"/>
        <v>-9.8425196850391597E-2</v>
      </c>
      <c r="R40" s="8">
        <f t="shared" si="5"/>
        <v>-9.8425196850391597E-2</v>
      </c>
    </row>
    <row r="41" spans="1:18" x14ac:dyDescent="0.25">
      <c r="A41" s="7">
        <f t="shared" si="0"/>
        <v>8</v>
      </c>
      <c r="B41" s="2">
        <v>42979</v>
      </c>
      <c r="C41" s="3">
        <v>10.199999999999999</v>
      </c>
      <c r="D41" s="3">
        <v>10.199999999999999</v>
      </c>
      <c r="E41" s="3">
        <v>10.15</v>
      </c>
      <c r="F41" s="3">
        <v>10.15</v>
      </c>
      <c r="G41" s="3">
        <v>19610</v>
      </c>
      <c r="H41" s="8">
        <f t="shared" si="1"/>
        <v>-9.8425196850391597E-2</v>
      </c>
      <c r="I41">
        <f t="shared" si="2"/>
        <v>10.156000000000001</v>
      </c>
      <c r="J41" s="6" cm="1">
        <f t="array" ref="J41">_xlfn.STDEV.S(IF($A:$A=A41, $F:$F))</f>
        <v>5.4772255750515442E-3</v>
      </c>
      <c r="P41" s="8">
        <f t="shared" si="3"/>
        <v>-9.8425196850391597E-2</v>
      </c>
      <c r="Q41" s="8">
        <f t="shared" si="4"/>
        <v>-9.8425196850391597E-2</v>
      </c>
      <c r="R41" s="8">
        <f t="shared" si="5"/>
        <v>-9.8425196850391597E-2</v>
      </c>
    </row>
    <row r="42" spans="1:18" x14ac:dyDescent="0.25">
      <c r="A42" s="7">
        <f t="shared" si="0"/>
        <v>9</v>
      </c>
      <c r="B42" s="2">
        <v>42983</v>
      </c>
      <c r="C42" s="3">
        <v>10.11</v>
      </c>
      <c r="D42" s="3">
        <v>10.130000000000001</v>
      </c>
      <c r="E42" s="3">
        <v>10.08</v>
      </c>
      <c r="F42" s="3">
        <v>10.11</v>
      </c>
      <c r="G42" s="3">
        <v>41150</v>
      </c>
      <c r="H42" s="8">
        <f t="shared" si="1"/>
        <v>-6.4292779426310451</v>
      </c>
      <c r="I42">
        <f t="shared" si="2"/>
        <v>9.8439999999999976</v>
      </c>
      <c r="J42" s="6" cm="1">
        <f t="array" ref="J42">_xlfn.STDEV.S(IF($A:$A=A42, $F:$F))</f>
        <v>0.23880954754783096</v>
      </c>
      <c r="P42" s="8">
        <f t="shared" si="3"/>
        <v>-6.4292779426310451</v>
      </c>
      <c r="Q42" s="8">
        <f t="shared" si="4"/>
        <v>-6.4292779426310451</v>
      </c>
      <c r="R42" s="8">
        <f t="shared" si="5"/>
        <v>-6.4292779426310451</v>
      </c>
    </row>
    <row r="43" spans="1:18" x14ac:dyDescent="0.25">
      <c r="A43" s="7">
        <f t="shared" si="0"/>
        <v>9</v>
      </c>
      <c r="B43" s="2">
        <v>42984</v>
      </c>
      <c r="C43" s="3">
        <v>10.08</v>
      </c>
      <c r="D43" s="3">
        <v>10.08</v>
      </c>
      <c r="E43" s="3">
        <v>9.94</v>
      </c>
      <c r="F43" s="3">
        <v>9.94</v>
      </c>
      <c r="G43" s="3">
        <v>63080</v>
      </c>
      <c r="H43" s="8">
        <f t="shared" si="1"/>
        <v>-6.4292779426310451</v>
      </c>
      <c r="I43">
        <f t="shared" si="2"/>
        <v>9.8439999999999976</v>
      </c>
      <c r="J43" s="6" cm="1">
        <f t="array" ref="J43">_xlfn.STDEV.S(IF($A:$A=A43, $F:$F))</f>
        <v>0.23880954754783096</v>
      </c>
      <c r="P43" s="8">
        <f t="shared" si="3"/>
        <v>-6.4292779426310451</v>
      </c>
      <c r="Q43" s="8">
        <f t="shared" si="4"/>
        <v>-6.4292779426310451</v>
      </c>
      <c r="R43" s="8">
        <f t="shared" si="5"/>
        <v>-6.4292779426310451</v>
      </c>
    </row>
    <row r="44" spans="1:18" x14ac:dyDescent="0.25">
      <c r="A44" s="7">
        <f t="shared" si="0"/>
        <v>9</v>
      </c>
      <c r="B44" s="2">
        <v>42985</v>
      </c>
      <c r="C44" s="3">
        <v>9.94</v>
      </c>
      <c r="D44" s="3">
        <v>9.94</v>
      </c>
      <c r="E44" s="3">
        <v>9.86</v>
      </c>
      <c r="F44" s="3">
        <v>9.8699999999999992</v>
      </c>
      <c r="G44" s="3">
        <v>174740</v>
      </c>
      <c r="H44" s="8">
        <f t="shared" si="1"/>
        <v>-6.4292779426310451</v>
      </c>
      <c r="I44">
        <f t="shared" si="2"/>
        <v>9.8439999999999976</v>
      </c>
      <c r="J44" s="6" cm="1">
        <f t="array" ref="J44">_xlfn.STDEV.S(IF($A:$A=A44, $F:$F))</f>
        <v>0.23880954754783096</v>
      </c>
      <c r="P44" s="8">
        <f t="shared" si="3"/>
        <v>-6.4292779426310451</v>
      </c>
      <c r="Q44" s="8">
        <f t="shared" si="4"/>
        <v>-6.4292779426310451</v>
      </c>
      <c r="R44" s="8">
        <f t="shared" si="5"/>
        <v>-6.4292779426310451</v>
      </c>
    </row>
    <row r="45" spans="1:18" x14ac:dyDescent="0.25">
      <c r="A45" s="7">
        <f t="shared" si="0"/>
        <v>9</v>
      </c>
      <c r="B45" s="2">
        <v>42986</v>
      </c>
      <c r="C45" s="3">
        <v>9.99</v>
      </c>
      <c r="D45" s="3">
        <v>9.99</v>
      </c>
      <c r="E45" s="3">
        <v>9.84</v>
      </c>
      <c r="F45" s="3">
        <v>9.84</v>
      </c>
      <c r="G45" s="3">
        <v>81480</v>
      </c>
      <c r="H45" s="8">
        <f t="shared" si="1"/>
        <v>-6.4292779426310451</v>
      </c>
      <c r="I45">
        <f t="shared" si="2"/>
        <v>9.8439999999999976</v>
      </c>
      <c r="J45" s="6" cm="1">
        <f t="array" ref="J45">_xlfn.STDEV.S(IF($A:$A=A45, $F:$F))</f>
        <v>0.23880954754783096</v>
      </c>
      <c r="P45" s="8">
        <f t="shared" si="3"/>
        <v>-6.4292779426310451</v>
      </c>
      <c r="Q45" s="8">
        <f t="shared" si="4"/>
        <v>-6.4292779426310451</v>
      </c>
      <c r="R45" s="8">
        <f t="shared" si="5"/>
        <v>-6.4292779426310451</v>
      </c>
    </row>
    <row r="46" spans="1:18" x14ac:dyDescent="0.25">
      <c r="A46" s="7">
        <f t="shared" si="0"/>
        <v>9</v>
      </c>
      <c r="B46" s="2">
        <v>42989</v>
      </c>
      <c r="C46" s="3">
        <v>9.86</v>
      </c>
      <c r="D46" s="3">
        <v>9.86</v>
      </c>
      <c r="E46" s="3">
        <v>9.4600000000000009</v>
      </c>
      <c r="F46" s="3">
        <v>9.4600000000000009</v>
      </c>
      <c r="G46" s="3">
        <v>95710</v>
      </c>
      <c r="H46" s="8">
        <f t="shared" si="1"/>
        <v>-6.4292779426310451</v>
      </c>
      <c r="I46">
        <f t="shared" si="2"/>
        <v>9.8439999999999976</v>
      </c>
      <c r="J46" s="6" cm="1">
        <f t="array" ref="J46">_xlfn.STDEV.S(IF($A:$A=A46, $F:$F))</f>
        <v>0.23880954754783096</v>
      </c>
      <c r="P46" s="8">
        <f t="shared" si="3"/>
        <v>-6.4292779426310451</v>
      </c>
      <c r="Q46" s="8">
        <f t="shared" si="4"/>
        <v>-6.4292779426310451</v>
      </c>
      <c r="R46" s="8">
        <f t="shared" si="5"/>
        <v>-6.4292779426310451</v>
      </c>
    </row>
    <row r="47" spans="1:18" x14ac:dyDescent="0.25">
      <c r="A47" s="7">
        <f t="shared" si="0"/>
        <v>10</v>
      </c>
      <c r="B47" s="2">
        <v>42990</v>
      </c>
      <c r="C47" s="3">
        <v>9.44</v>
      </c>
      <c r="D47" s="3">
        <v>9.6300000000000008</v>
      </c>
      <c r="E47" s="3">
        <v>9.44</v>
      </c>
      <c r="F47" s="3">
        <v>9.6</v>
      </c>
      <c r="G47" s="3">
        <v>110930</v>
      </c>
      <c r="H47" s="8">
        <f t="shared" si="1"/>
        <v>0</v>
      </c>
      <c r="I47">
        <f t="shared" si="2"/>
        <v>9.6560000000000006</v>
      </c>
      <c r="J47" s="6" cm="1">
        <f t="array" ref="J47">_xlfn.STDEV.S(IF($A:$A=A47, $F:$F))</f>
        <v>0.1559807680452947</v>
      </c>
      <c r="P47" s="8">
        <f t="shared" si="3"/>
        <v>0</v>
      </c>
      <c r="Q47" s="8">
        <f t="shared" si="4"/>
        <v>0</v>
      </c>
      <c r="R47" s="8">
        <f t="shared" si="5"/>
        <v>0</v>
      </c>
    </row>
    <row r="48" spans="1:18" x14ac:dyDescent="0.25">
      <c r="A48" s="7">
        <f t="shared" si="0"/>
        <v>10</v>
      </c>
      <c r="B48" s="2">
        <v>42991</v>
      </c>
      <c r="C48" s="3">
        <v>9.6</v>
      </c>
      <c r="D48" s="3">
        <v>9.92</v>
      </c>
      <c r="E48" s="3">
        <v>9.56</v>
      </c>
      <c r="F48" s="3">
        <v>9.92</v>
      </c>
      <c r="G48" s="3">
        <v>109080</v>
      </c>
      <c r="H48" s="8">
        <f t="shared" si="1"/>
        <v>0</v>
      </c>
      <c r="I48">
        <f t="shared" si="2"/>
        <v>9.6560000000000006</v>
      </c>
      <c r="J48" s="6" cm="1">
        <f t="array" ref="J48">_xlfn.STDEV.S(IF($A:$A=A48, $F:$F))</f>
        <v>0.1559807680452947</v>
      </c>
      <c r="P48" s="8">
        <f t="shared" si="3"/>
        <v>0</v>
      </c>
      <c r="Q48" s="8">
        <f t="shared" si="4"/>
        <v>0</v>
      </c>
      <c r="R48" s="8">
        <f t="shared" si="5"/>
        <v>0</v>
      </c>
    </row>
    <row r="49" spans="1:18" x14ac:dyDescent="0.25">
      <c r="A49" s="7">
        <f t="shared" si="0"/>
        <v>10</v>
      </c>
      <c r="B49" s="2">
        <v>42992</v>
      </c>
      <c r="C49" s="3">
        <v>9.77</v>
      </c>
      <c r="D49" s="3">
        <v>9.7899999999999991</v>
      </c>
      <c r="E49" s="3">
        <v>9.65</v>
      </c>
      <c r="F49" s="3">
        <v>9.65</v>
      </c>
      <c r="G49" s="3">
        <v>57710</v>
      </c>
      <c r="H49" s="8">
        <f t="shared" si="1"/>
        <v>0</v>
      </c>
      <c r="I49">
        <f t="shared" si="2"/>
        <v>9.6560000000000006</v>
      </c>
      <c r="J49" s="6" cm="1">
        <f t="array" ref="J49">_xlfn.STDEV.S(IF($A:$A=A49, $F:$F))</f>
        <v>0.1559807680452947</v>
      </c>
      <c r="P49" s="8">
        <f t="shared" si="3"/>
        <v>0</v>
      </c>
      <c r="Q49" s="8">
        <f t="shared" si="4"/>
        <v>0</v>
      </c>
      <c r="R49" s="8">
        <f t="shared" si="5"/>
        <v>0</v>
      </c>
    </row>
    <row r="50" spans="1:18" x14ac:dyDescent="0.25">
      <c r="A50" s="7">
        <f t="shared" si="0"/>
        <v>10</v>
      </c>
      <c r="B50" s="2">
        <v>42993</v>
      </c>
      <c r="C50" s="3">
        <v>9.65</v>
      </c>
      <c r="D50" s="3">
        <v>9.67</v>
      </c>
      <c r="E50" s="3">
        <v>9.51</v>
      </c>
      <c r="F50" s="3">
        <v>9.51</v>
      </c>
      <c r="G50" s="3">
        <v>170940</v>
      </c>
      <c r="H50" s="8">
        <f t="shared" si="1"/>
        <v>0</v>
      </c>
      <c r="I50">
        <f t="shared" si="2"/>
        <v>9.6560000000000006</v>
      </c>
      <c r="J50" s="6" cm="1">
        <f t="array" ref="J50">_xlfn.STDEV.S(IF($A:$A=A50, $F:$F))</f>
        <v>0.1559807680452947</v>
      </c>
      <c r="P50" s="8">
        <f t="shared" si="3"/>
        <v>0</v>
      </c>
      <c r="Q50" s="8">
        <f t="shared" si="4"/>
        <v>0</v>
      </c>
      <c r="R50" s="8">
        <f t="shared" si="5"/>
        <v>0</v>
      </c>
    </row>
    <row r="51" spans="1:18" x14ac:dyDescent="0.25">
      <c r="A51" s="7">
        <f t="shared" si="0"/>
        <v>10</v>
      </c>
      <c r="B51" s="2">
        <v>42996</v>
      </c>
      <c r="C51" s="3">
        <v>9.51</v>
      </c>
      <c r="D51" s="3">
        <v>9.6</v>
      </c>
      <c r="E51" s="3">
        <v>9.43</v>
      </c>
      <c r="F51" s="3">
        <v>9.6</v>
      </c>
      <c r="G51" s="3">
        <v>97640</v>
      </c>
      <c r="H51" s="8">
        <f t="shared" si="1"/>
        <v>0</v>
      </c>
      <c r="I51">
        <f t="shared" si="2"/>
        <v>9.6560000000000006</v>
      </c>
      <c r="J51" s="6" cm="1">
        <f t="array" ref="J51">_xlfn.STDEV.S(IF($A:$A=A51, $F:$F))</f>
        <v>0.1559807680452947</v>
      </c>
      <c r="P51" s="8">
        <f t="shared" si="3"/>
        <v>0</v>
      </c>
      <c r="Q51" s="8">
        <f t="shared" si="4"/>
        <v>0</v>
      </c>
      <c r="R51" s="8">
        <f t="shared" si="5"/>
        <v>0</v>
      </c>
    </row>
    <row r="52" spans="1:18" x14ac:dyDescent="0.25">
      <c r="A52" s="7">
        <f t="shared" si="0"/>
        <v>11</v>
      </c>
      <c r="B52" s="2">
        <v>42997</v>
      </c>
      <c r="C52" s="3">
        <v>9.6</v>
      </c>
      <c r="D52" s="3">
        <v>9.6</v>
      </c>
      <c r="E52" s="3">
        <v>9.51</v>
      </c>
      <c r="F52" s="3">
        <v>9.58</v>
      </c>
      <c r="G52" s="3">
        <v>131570</v>
      </c>
      <c r="H52" s="8">
        <f t="shared" si="1"/>
        <v>0.9394572025052178</v>
      </c>
      <c r="I52">
        <f t="shared" si="2"/>
        <v>9.6419999999999995</v>
      </c>
      <c r="J52" s="6" cm="1">
        <f t="array" ref="J52">_xlfn.STDEV.S(IF($A:$A=A52, $F:$F))</f>
        <v>4.8166378315169116E-2</v>
      </c>
      <c r="P52" s="8">
        <f t="shared" si="3"/>
        <v>0.9394572025052178</v>
      </c>
      <c r="Q52" s="8">
        <f t="shared" si="4"/>
        <v>0.9394572025052178</v>
      </c>
      <c r="R52" s="8">
        <f t="shared" si="5"/>
        <v>0.9394572025052178</v>
      </c>
    </row>
    <row r="53" spans="1:18" x14ac:dyDescent="0.25">
      <c r="A53" s="7">
        <f t="shared" si="0"/>
        <v>11</v>
      </c>
      <c r="B53" s="2">
        <v>42998</v>
      </c>
      <c r="C53" s="3">
        <v>9.6</v>
      </c>
      <c r="D53" s="3">
        <v>9.7899999999999991</v>
      </c>
      <c r="E53" s="3">
        <v>9.58</v>
      </c>
      <c r="F53" s="3">
        <v>9.68</v>
      </c>
      <c r="G53" s="3">
        <v>122020</v>
      </c>
      <c r="H53" s="8">
        <f t="shared" si="1"/>
        <v>0.9394572025052178</v>
      </c>
      <c r="I53">
        <f t="shared" si="2"/>
        <v>9.6419999999999995</v>
      </c>
      <c r="J53" s="6" cm="1">
        <f t="array" ref="J53">_xlfn.STDEV.S(IF($A:$A=A53, $F:$F))</f>
        <v>4.8166378315169116E-2</v>
      </c>
      <c r="P53" s="8">
        <f t="shared" si="3"/>
        <v>0.9394572025052178</v>
      </c>
      <c r="Q53" s="8">
        <f t="shared" si="4"/>
        <v>0.9394572025052178</v>
      </c>
      <c r="R53" s="8">
        <f t="shared" si="5"/>
        <v>0.9394572025052178</v>
      </c>
    </row>
    <row r="54" spans="1:18" x14ac:dyDescent="0.25">
      <c r="A54" s="7">
        <f t="shared" si="0"/>
        <v>11</v>
      </c>
      <c r="B54" s="2">
        <v>42999</v>
      </c>
      <c r="C54" s="3">
        <v>9.68</v>
      </c>
      <c r="D54" s="3">
        <v>9.68</v>
      </c>
      <c r="E54" s="3">
        <v>9.5500000000000007</v>
      </c>
      <c r="F54" s="3">
        <v>9.6</v>
      </c>
      <c r="G54" s="3">
        <v>19560</v>
      </c>
      <c r="H54" s="8">
        <f t="shared" si="1"/>
        <v>0.9394572025052178</v>
      </c>
      <c r="I54">
        <f t="shared" si="2"/>
        <v>9.6419999999999995</v>
      </c>
      <c r="J54" s="6" cm="1">
        <f t="array" ref="J54">_xlfn.STDEV.S(IF($A:$A=A54, $F:$F))</f>
        <v>4.8166378315169116E-2</v>
      </c>
      <c r="P54" s="8">
        <f t="shared" si="3"/>
        <v>0.9394572025052178</v>
      </c>
      <c r="Q54" s="8">
        <f t="shared" si="4"/>
        <v>0.9394572025052178</v>
      </c>
      <c r="R54" s="8">
        <f t="shared" si="5"/>
        <v>0.9394572025052178</v>
      </c>
    </row>
    <row r="55" spans="1:18" x14ac:dyDescent="0.25">
      <c r="A55" s="7">
        <f t="shared" si="0"/>
        <v>11</v>
      </c>
      <c r="B55" s="2">
        <v>43000</v>
      </c>
      <c r="C55" s="3">
        <v>9.6</v>
      </c>
      <c r="D55" s="3">
        <v>9.74</v>
      </c>
      <c r="E55" s="3">
        <v>9.6</v>
      </c>
      <c r="F55" s="3">
        <v>9.68</v>
      </c>
      <c r="G55" s="3">
        <v>75900</v>
      </c>
      <c r="H55" s="8">
        <f t="shared" si="1"/>
        <v>0.9394572025052178</v>
      </c>
      <c r="I55">
        <f t="shared" si="2"/>
        <v>9.6419999999999995</v>
      </c>
      <c r="J55" s="6" cm="1">
        <f t="array" ref="J55">_xlfn.STDEV.S(IF($A:$A=A55, $F:$F))</f>
        <v>4.8166378315169116E-2</v>
      </c>
      <c r="P55" s="8">
        <f t="shared" si="3"/>
        <v>0.9394572025052178</v>
      </c>
      <c r="Q55" s="8">
        <f t="shared" si="4"/>
        <v>0.9394572025052178</v>
      </c>
      <c r="R55" s="8">
        <f t="shared" si="5"/>
        <v>0.9394572025052178</v>
      </c>
    </row>
    <row r="56" spans="1:18" x14ac:dyDescent="0.25">
      <c r="A56" s="7">
        <f t="shared" si="0"/>
        <v>11</v>
      </c>
      <c r="B56" s="2">
        <v>43003</v>
      </c>
      <c r="C56" s="3">
        <v>9.67</v>
      </c>
      <c r="D56" s="3">
        <v>9.68</v>
      </c>
      <c r="E56" s="3">
        <v>9.5299999999999994</v>
      </c>
      <c r="F56" s="3">
        <v>9.67</v>
      </c>
      <c r="G56" s="3">
        <v>23790</v>
      </c>
      <c r="H56" s="8">
        <f t="shared" si="1"/>
        <v>0.9394572025052178</v>
      </c>
      <c r="I56">
        <f t="shared" si="2"/>
        <v>9.6419999999999995</v>
      </c>
      <c r="J56" s="6" cm="1">
        <f t="array" ref="J56">_xlfn.STDEV.S(IF($A:$A=A56, $F:$F))</f>
        <v>4.8166378315169116E-2</v>
      </c>
      <c r="P56" s="8">
        <f t="shared" si="3"/>
        <v>0.9394572025052178</v>
      </c>
      <c r="Q56" s="8">
        <f t="shared" si="4"/>
        <v>0.9394572025052178</v>
      </c>
      <c r="R56" s="8">
        <f t="shared" si="5"/>
        <v>0.9394572025052178</v>
      </c>
    </row>
    <row r="57" spans="1:18" x14ac:dyDescent="0.25">
      <c r="A57" s="7">
        <f t="shared" si="0"/>
        <v>12</v>
      </c>
      <c r="B57" s="2">
        <v>43004</v>
      </c>
      <c r="C57" s="3">
        <v>9.68</v>
      </c>
      <c r="D57" s="3">
        <v>10.01</v>
      </c>
      <c r="E57" s="3">
        <v>9.6300000000000008</v>
      </c>
      <c r="F57" s="3">
        <v>9.98</v>
      </c>
      <c r="G57" s="3">
        <v>115860</v>
      </c>
      <c r="H57" s="8">
        <f t="shared" si="1"/>
        <v>0</v>
      </c>
      <c r="I57">
        <f t="shared" si="2"/>
        <v>10.060000000000002</v>
      </c>
      <c r="J57" s="6" cm="1">
        <f t="array" ref="J57">_xlfn.STDEV.S(IF($A:$A=A57, $F:$F))</f>
        <v>0.10700467279516347</v>
      </c>
      <c r="P57" s="8">
        <f t="shared" si="3"/>
        <v>0</v>
      </c>
      <c r="Q57" s="8">
        <f t="shared" si="4"/>
        <v>0</v>
      </c>
      <c r="R57" s="8">
        <f t="shared" si="5"/>
        <v>0</v>
      </c>
    </row>
    <row r="58" spans="1:18" x14ac:dyDescent="0.25">
      <c r="A58" s="7">
        <f t="shared" si="0"/>
        <v>12</v>
      </c>
      <c r="B58" s="2">
        <v>43005</v>
      </c>
      <c r="C58" s="3">
        <v>9.98</v>
      </c>
      <c r="D58" s="3">
        <v>10.08</v>
      </c>
      <c r="E58" s="3">
        <v>9.91</v>
      </c>
      <c r="F58" s="3">
        <v>10.01</v>
      </c>
      <c r="G58" s="3">
        <v>162700</v>
      </c>
      <c r="H58" s="8">
        <f t="shared" si="1"/>
        <v>0</v>
      </c>
      <c r="I58">
        <f t="shared" si="2"/>
        <v>10.060000000000002</v>
      </c>
      <c r="J58" s="6" cm="1">
        <f t="array" ref="J58">_xlfn.STDEV.S(IF($A:$A=A58, $F:$F))</f>
        <v>0.10700467279516347</v>
      </c>
      <c r="P58" s="8">
        <f t="shared" si="3"/>
        <v>0</v>
      </c>
      <c r="Q58" s="8">
        <f t="shared" si="4"/>
        <v>0</v>
      </c>
      <c r="R58" s="8">
        <f t="shared" si="5"/>
        <v>0</v>
      </c>
    </row>
    <row r="59" spans="1:18" x14ac:dyDescent="0.25">
      <c r="A59" s="7">
        <f t="shared" si="0"/>
        <v>12</v>
      </c>
      <c r="B59" s="2">
        <v>43006</v>
      </c>
      <c r="C59" s="3">
        <v>10.08</v>
      </c>
      <c r="D59" s="3">
        <v>10.199999999999999</v>
      </c>
      <c r="E59" s="3">
        <v>10.01</v>
      </c>
      <c r="F59" s="3">
        <v>10.1</v>
      </c>
      <c r="G59" s="3">
        <v>135840</v>
      </c>
      <c r="H59" s="8">
        <f t="shared" si="1"/>
        <v>0</v>
      </c>
      <c r="I59">
        <f t="shared" si="2"/>
        <v>10.060000000000002</v>
      </c>
      <c r="J59" s="6" cm="1">
        <f t="array" ref="J59">_xlfn.STDEV.S(IF($A:$A=A59, $F:$F))</f>
        <v>0.10700467279516347</v>
      </c>
      <c r="P59" s="8">
        <f t="shared" si="3"/>
        <v>0</v>
      </c>
      <c r="Q59" s="8">
        <f t="shared" si="4"/>
        <v>0</v>
      </c>
      <c r="R59" s="8">
        <f t="shared" si="5"/>
        <v>0</v>
      </c>
    </row>
    <row r="60" spans="1:18" x14ac:dyDescent="0.25">
      <c r="A60" s="7">
        <f t="shared" si="0"/>
        <v>12</v>
      </c>
      <c r="B60" s="2">
        <v>43007</v>
      </c>
      <c r="C60" s="3">
        <v>10.11</v>
      </c>
      <c r="D60" s="3">
        <v>10.25</v>
      </c>
      <c r="E60" s="3">
        <v>10.11</v>
      </c>
      <c r="F60" s="3">
        <v>10.23</v>
      </c>
      <c r="G60" s="3">
        <v>146220</v>
      </c>
      <c r="H60" s="8">
        <f t="shared" si="1"/>
        <v>0</v>
      </c>
      <c r="I60">
        <f t="shared" si="2"/>
        <v>10.060000000000002</v>
      </c>
      <c r="J60" s="6" cm="1">
        <f t="array" ref="J60">_xlfn.STDEV.S(IF($A:$A=A60, $F:$F))</f>
        <v>0.10700467279516347</v>
      </c>
      <c r="P60" s="8">
        <f t="shared" si="3"/>
        <v>0</v>
      </c>
      <c r="Q60" s="8">
        <f t="shared" si="4"/>
        <v>0</v>
      </c>
      <c r="R60" s="8">
        <f t="shared" si="5"/>
        <v>0</v>
      </c>
    </row>
    <row r="61" spans="1:18" x14ac:dyDescent="0.25">
      <c r="A61" s="7">
        <f t="shared" si="0"/>
        <v>12</v>
      </c>
      <c r="B61" s="2">
        <v>43010</v>
      </c>
      <c r="C61" s="3">
        <v>10.28</v>
      </c>
      <c r="D61" s="3">
        <v>10.28</v>
      </c>
      <c r="E61" s="3">
        <v>9.98</v>
      </c>
      <c r="F61" s="3">
        <v>9.98</v>
      </c>
      <c r="G61" s="3">
        <v>32020</v>
      </c>
      <c r="H61" s="8">
        <f t="shared" si="1"/>
        <v>0</v>
      </c>
      <c r="I61">
        <f t="shared" si="2"/>
        <v>10.060000000000002</v>
      </c>
      <c r="J61" s="6" cm="1">
        <f t="array" ref="J61">_xlfn.STDEV.S(IF($A:$A=A61, $F:$F))</f>
        <v>0.10700467279516347</v>
      </c>
      <c r="P61" s="8">
        <f t="shared" si="3"/>
        <v>0</v>
      </c>
      <c r="Q61" s="8">
        <f t="shared" si="4"/>
        <v>0</v>
      </c>
      <c r="R61" s="8">
        <f t="shared" si="5"/>
        <v>0</v>
      </c>
    </row>
    <row r="62" spans="1:18" x14ac:dyDescent="0.25">
      <c r="A62" s="7">
        <f t="shared" si="0"/>
        <v>13</v>
      </c>
      <c r="B62" s="2">
        <v>43011</v>
      </c>
      <c r="C62" s="3">
        <v>10.11</v>
      </c>
      <c r="D62" s="3">
        <v>10.11</v>
      </c>
      <c r="E62" s="3">
        <v>9.94</v>
      </c>
      <c r="F62" s="3">
        <v>9.9600000000000009</v>
      </c>
      <c r="G62" s="3">
        <v>40260</v>
      </c>
      <c r="H62" s="8">
        <f t="shared" si="1"/>
        <v>1.7068273092369468</v>
      </c>
      <c r="I62">
        <f t="shared" si="2"/>
        <v>10.082000000000001</v>
      </c>
      <c r="J62" s="6" cm="1">
        <f t="array" ref="J62">_xlfn.STDEV.S(IF($A:$A=A62, $F:$F))</f>
        <v>6.9065186599327644E-2</v>
      </c>
      <c r="P62" s="8">
        <f t="shared" si="3"/>
        <v>1.7068273092369468</v>
      </c>
      <c r="Q62" s="8">
        <f t="shared" si="4"/>
        <v>1.7068273092369468</v>
      </c>
      <c r="R62" s="8">
        <f t="shared" si="5"/>
        <v>1.7068273092369468</v>
      </c>
    </row>
    <row r="63" spans="1:18" x14ac:dyDescent="0.25">
      <c r="A63" s="7">
        <f t="shared" si="0"/>
        <v>13</v>
      </c>
      <c r="B63" s="2">
        <v>43012</v>
      </c>
      <c r="C63" s="3">
        <v>9.94</v>
      </c>
      <c r="D63" s="3">
        <v>10.11</v>
      </c>
      <c r="E63" s="3">
        <v>9.94</v>
      </c>
      <c r="F63" s="3">
        <v>10.11</v>
      </c>
      <c r="G63" s="3">
        <v>15340</v>
      </c>
      <c r="H63" s="8">
        <f t="shared" si="1"/>
        <v>1.7068273092369468</v>
      </c>
      <c r="I63">
        <f t="shared" si="2"/>
        <v>10.082000000000001</v>
      </c>
      <c r="J63" s="6" cm="1">
        <f t="array" ref="J63">_xlfn.STDEV.S(IF($A:$A=A63, $F:$F))</f>
        <v>6.9065186599327644E-2</v>
      </c>
      <c r="P63" s="8">
        <f t="shared" si="3"/>
        <v>1.7068273092369468</v>
      </c>
      <c r="Q63" s="8">
        <f t="shared" si="4"/>
        <v>1.7068273092369468</v>
      </c>
      <c r="R63" s="8">
        <f t="shared" si="5"/>
        <v>1.7068273092369468</v>
      </c>
    </row>
    <row r="64" spans="1:18" x14ac:dyDescent="0.25">
      <c r="A64" s="7">
        <f t="shared" si="0"/>
        <v>13</v>
      </c>
      <c r="B64" s="2">
        <v>43013</v>
      </c>
      <c r="C64" s="3">
        <v>10.029999999999999</v>
      </c>
      <c r="D64" s="3">
        <v>10.130000000000001</v>
      </c>
      <c r="E64" s="3">
        <v>10.029999999999999</v>
      </c>
      <c r="F64" s="3">
        <v>10.11</v>
      </c>
      <c r="G64" s="3">
        <v>34120</v>
      </c>
      <c r="H64" s="8">
        <f t="shared" si="1"/>
        <v>1.7068273092369468</v>
      </c>
      <c r="I64">
        <f t="shared" si="2"/>
        <v>10.082000000000001</v>
      </c>
      <c r="J64" s="6" cm="1">
        <f t="array" ref="J64">_xlfn.STDEV.S(IF($A:$A=A64, $F:$F))</f>
        <v>6.9065186599327644E-2</v>
      </c>
      <c r="P64" s="8">
        <f t="shared" si="3"/>
        <v>1.7068273092369468</v>
      </c>
      <c r="Q64" s="8">
        <f t="shared" si="4"/>
        <v>1.7068273092369468</v>
      </c>
      <c r="R64" s="8">
        <f t="shared" si="5"/>
        <v>1.7068273092369468</v>
      </c>
    </row>
    <row r="65" spans="1:18" x14ac:dyDescent="0.25">
      <c r="A65" s="7">
        <f t="shared" si="0"/>
        <v>13</v>
      </c>
      <c r="B65" s="2">
        <v>43014</v>
      </c>
      <c r="C65" s="3">
        <v>10.15</v>
      </c>
      <c r="D65" s="3">
        <v>10.15</v>
      </c>
      <c r="E65" s="3">
        <v>10.029999999999999</v>
      </c>
      <c r="F65" s="3">
        <v>10.1</v>
      </c>
      <c r="G65" s="3">
        <v>23010</v>
      </c>
      <c r="H65" s="8">
        <f t="shared" si="1"/>
        <v>1.7068273092369468</v>
      </c>
      <c r="I65">
        <f t="shared" si="2"/>
        <v>10.082000000000001</v>
      </c>
      <c r="J65" s="6" cm="1">
        <f t="array" ref="J65">_xlfn.STDEV.S(IF($A:$A=A65, $F:$F))</f>
        <v>6.9065186599327644E-2</v>
      </c>
      <c r="P65" s="8">
        <f t="shared" si="3"/>
        <v>1.7068273092369468</v>
      </c>
      <c r="Q65" s="8">
        <f t="shared" si="4"/>
        <v>1.7068273092369468</v>
      </c>
      <c r="R65" s="8">
        <f t="shared" si="5"/>
        <v>1.7068273092369468</v>
      </c>
    </row>
    <row r="66" spans="1:18" x14ac:dyDescent="0.25">
      <c r="A66" s="7">
        <f t="shared" si="0"/>
        <v>13</v>
      </c>
      <c r="B66" s="2">
        <v>43017</v>
      </c>
      <c r="C66" s="3">
        <v>10.11</v>
      </c>
      <c r="D66" s="3">
        <v>10.199999999999999</v>
      </c>
      <c r="E66" s="3">
        <v>10.11</v>
      </c>
      <c r="F66" s="3">
        <v>10.130000000000001</v>
      </c>
      <c r="G66" s="3">
        <v>105800</v>
      </c>
      <c r="H66" s="8">
        <f t="shared" si="1"/>
        <v>1.7068273092369468</v>
      </c>
      <c r="I66">
        <f t="shared" si="2"/>
        <v>10.082000000000001</v>
      </c>
      <c r="J66" s="6" cm="1">
        <f t="array" ref="J66">_xlfn.STDEV.S(IF($A:$A=A66, $F:$F))</f>
        <v>6.9065186599327644E-2</v>
      </c>
      <c r="P66" s="8">
        <f t="shared" si="3"/>
        <v>1.7068273092369468</v>
      </c>
      <c r="Q66" s="8">
        <f t="shared" si="4"/>
        <v>1.7068273092369468</v>
      </c>
      <c r="R66" s="8">
        <f t="shared" si="5"/>
        <v>1.7068273092369468</v>
      </c>
    </row>
    <row r="67" spans="1:18" x14ac:dyDescent="0.25">
      <c r="A67" s="7">
        <f t="shared" ref="A67:A130" si="6">INT((ROW(A67)-ROW($A$2))/5) + 1</f>
        <v>14</v>
      </c>
      <c r="B67" s="2">
        <v>43018</v>
      </c>
      <c r="C67" s="3">
        <v>10.18</v>
      </c>
      <c r="D67" s="3">
        <v>10.18</v>
      </c>
      <c r="E67" s="3">
        <v>10.130000000000001</v>
      </c>
      <c r="F67" s="3">
        <v>10.15</v>
      </c>
      <c r="G67" s="3">
        <v>70890</v>
      </c>
      <c r="H67" s="8">
        <f t="shared" ref="H67:H130" si="7">IF(A67=A66, H66, (F71-F67)/F67*100)</f>
        <v>11.428571428571429</v>
      </c>
      <c r="I67">
        <f t="shared" ref="I67:I130" si="8">AVERAGEIF($A:$A, A67, $F:$F)</f>
        <v>10.580000000000002</v>
      </c>
      <c r="J67" s="6" cm="1">
        <f t="array" ref="J67">_xlfn.STDEV.S(IF($A:$A=A67, $F:$F))</f>
        <v>0.48492267424817348</v>
      </c>
      <c r="P67" s="8">
        <f t="shared" ref="P67:P130" si="9">IF(A67=A66,P66,(F71-F67)/F67*100)</f>
        <v>11.428571428571429</v>
      </c>
      <c r="Q67" s="8">
        <f t="shared" ref="Q67:Q130" si="10">IF(A67=A66,Q66,(F71-F67)/F67*100)</f>
        <v>11.428571428571429</v>
      </c>
      <c r="R67" s="10">
        <f t="shared" ref="R67:R130" si="11">IF(A67=A66,R66,(F71-F67)/F67*100)</f>
        <v>11.428571428571429</v>
      </c>
    </row>
    <row r="68" spans="1:18" x14ac:dyDescent="0.25">
      <c r="A68" s="7">
        <f t="shared" si="6"/>
        <v>14</v>
      </c>
      <c r="B68" s="2">
        <v>43019</v>
      </c>
      <c r="C68" s="3">
        <v>10.16</v>
      </c>
      <c r="D68" s="3">
        <v>10.18</v>
      </c>
      <c r="E68" s="3">
        <v>10.15</v>
      </c>
      <c r="F68" s="3">
        <v>10.18</v>
      </c>
      <c r="G68" s="3">
        <v>40670</v>
      </c>
      <c r="H68" s="8">
        <f t="shared" si="7"/>
        <v>11.428571428571429</v>
      </c>
      <c r="I68">
        <f t="shared" si="8"/>
        <v>10.580000000000002</v>
      </c>
      <c r="J68" s="6" cm="1">
        <f t="array" ref="J68">_xlfn.STDEV.S(IF($A:$A=A68, $F:$F))</f>
        <v>0.48492267424817348</v>
      </c>
      <c r="P68" s="8">
        <f t="shared" si="9"/>
        <v>11.428571428571429</v>
      </c>
      <c r="Q68" s="8">
        <f t="shared" si="10"/>
        <v>11.428571428571429</v>
      </c>
      <c r="R68" s="10">
        <f t="shared" si="11"/>
        <v>11.428571428571429</v>
      </c>
    </row>
    <row r="69" spans="1:18" x14ac:dyDescent="0.25">
      <c r="A69" s="7">
        <f t="shared" si="6"/>
        <v>14</v>
      </c>
      <c r="B69" s="2">
        <v>43020</v>
      </c>
      <c r="C69" s="3">
        <v>10.199999999999999</v>
      </c>
      <c r="D69" s="3">
        <v>10.46</v>
      </c>
      <c r="E69" s="3">
        <v>10.199999999999999</v>
      </c>
      <c r="F69" s="3">
        <v>10.46</v>
      </c>
      <c r="G69" s="3">
        <v>489320</v>
      </c>
      <c r="H69" s="8">
        <f t="shared" si="7"/>
        <v>11.428571428571429</v>
      </c>
      <c r="I69">
        <f t="shared" si="8"/>
        <v>10.580000000000002</v>
      </c>
      <c r="J69" s="6" cm="1">
        <f t="array" ref="J69">_xlfn.STDEV.S(IF($A:$A=A69, $F:$F))</f>
        <v>0.48492267424817348</v>
      </c>
      <c r="P69" s="8">
        <f t="shared" si="9"/>
        <v>11.428571428571429</v>
      </c>
      <c r="Q69" s="8">
        <f t="shared" si="10"/>
        <v>11.428571428571429</v>
      </c>
      <c r="R69" s="10">
        <f t="shared" si="11"/>
        <v>11.428571428571429</v>
      </c>
    </row>
    <row r="70" spans="1:18" x14ac:dyDescent="0.25">
      <c r="A70" s="7">
        <f t="shared" si="6"/>
        <v>14</v>
      </c>
      <c r="B70" s="2">
        <v>43021</v>
      </c>
      <c r="C70" s="3">
        <v>10.54</v>
      </c>
      <c r="D70" s="3">
        <v>10.87</v>
      </c>
      <c r="E70" s="3">
        <v>10.54</v>
      </c>
      <c r="F70" s="3">
        <v>10.8</v>
      </c>
      <c r="G70" s="3">
        <v>289190</v>
      </c>
      <c r="H70" s="8">
        <f t="shared" si="7"/>
        <v>11.428571428571429</v>
      </c>
      <c r="I70">
        <f t="shared" si="8"/>
        <v>10.580000000000002</v>
      </c>
      <c r="J70" s="6" cm="1">
        <f t="array" ref="J70">_xlfn.STDEV.S(IF($A:$A=A70, $F:$F))</f>
        <v>0.48492267424817348</v>
      </c>
      <c r="P70" s="8">
        <f t="shared" si="9"/>
        <v>11.428571428571429</v>
      </c>
      <c r="Q70" s="8">
        <f t="shared" si="10"/>
        <v>11.428571428571429</v>
      </c>
      <c r="R70" s="10">
        <f t="shared" si="11"/>
        <v>11.428571428571429</v>
      </c>
    </row>
    <row r="71" spans="1:18" x14ac:dyDescent="0.25">
      <c r="A71" s="7">
        <f t="shared" si="6"/>
        <v>14</v>
      </c>
      <c r="B71" s="2">
        <v>43024</v>
      </c>
      <c r="C71" s="3">
        <v>11</v>
      </c>
      <c r="D71" s="3">
        <v>11.31</v>
      </c>
      <c r="E71" s="3">
        <v>10.82</v>
      </c>
      <c r="F71" s="3">
        <v>11.31</v>
      </c>
      <c r="G71" s="3">
        <v>255590</v>
      </c>
      <c r="H71" s="8">
        <f t="shared" si="7"/>
        <v>11.428571428571429</v>
      </c>
      <c r="I71">
        <f t="shared" si="8"/>
        <v>10.580000000000002</v>
      </c>
      <c r="J71" s="6" cm="1">
        <f t="array" ref="J71">_xlfn.STDEV.S(IF($A:$A=A71, $F:$F))</f>
        <v>0.48492267424817348</v>
      </c>
      <c r="P71" s="8">
        <f t="shared" si="9"/>
        <v>11.428571428571429</v>
      </c>
      <c r="Q71" s="8">
        <f t="shared" si="10"/>
        <v>11.428571428571429</v>
      </c>
      <c r="R71" s="10">
        <f t="shared" si="11"/>
        <v>11.428571428571429</v>
      </c>
    </row>
    <row r="72" spans="1:18" x14ac:dyDescent="0.25">
      <c r="A72" s="7">
        <f t="shared" si="6"/>
        <v>15</v>
      </c>
      <c r="B72" s="2">
        <v>43025</v>
      </c>
      <c r="C72" s="3">
        <v>11.47</v>
      </c>
      <c r="D72" s="3">
        <v>11.48</v>
      </c>
      <c r="E72" s="3">
        <v>10.97</v>
      </c>
      <c r="F72" s="3">
        <v>11.11</v>
      </c>
      <c r="G72" s="3">
        <v>164700</v>
      </c>
      <c r="H72" s="8">
        <f t="shared" si="7"/>
        <v>-2.7902790279027792</v>
      </c>
      <c r="I72">
        <f t="shared" si="8"/>
        <v>10.946000000000002</v>
      </c>
      <c r="J72" s="6" cm="1">
        <f t="array" ref="J72">_xlfn.STDEV.S(IF($A:$A=A72, $F:$F))</f>
        <v>0.11781341180018461</v>
      </c>
      <c r="P72" s="8">
        <f t="shared" si="9"/>
        <v>-2.7902790279027792</v>
      </c>
      <c r="Q72" s="8">
        <f t="shared" si="10"/>
        <v>-2.7902790279027792</v>
      </c>
      <c r="R72" s="8">
        <f t="shared" si="11"/>
        <v>-2.7902790279027792</v>
      </c>
    </row>
    <row r="73" spans="1:18" x14ac:dyDescent="0.25">
      <c r="A73" s="7">
        <f t="shared" si="6"/>
        <v>15</v>
      </c>
      <c r="B73" s="2">
        <v>43026</v>
      </c>
      <c r="C73" s="3">
        <v>11.14</v>
      </c>
      <c r="D73" s="3">
        <v>11.14</v>
      </c>
      <c r="E73" s="3">
        <v>10.88</v>
      </c>
      <c r="F73" s="3">
        <v>10.88</v>
      </c>
      <c r="G73" s="3">
        <v>164000</v>
      </c>
      <c r="H73" s="8">
        <f t="shared" si="7"/>
        <v>-2.7902790279027792</v>
      </c>
      <c r="I73">
        <f t="shared" si="8"/>
        <v>10.946000000000002</v>
      </c>
      <c r="J73" s="6" cm="1">
        <f t="array" ref="J73">_xlfn.STDEV.S(IF($A:$A=A73, $F:$F))</f>
        <v>0.11781341180018461</v>
      </c>
      <c r="P73" s="8">
        <f t="shared" si="9"/>
        <v>-2.7902790279027792</v>
      </c>
      <c r="Q73" s="8">
        <f t="shared" si="10"/>
        <v>-2.7902790279027792</v>
      </c>
      <c r="R73" s="8">
        <f t="shared" si="11"/>
        <v>-2.7902790279027792</v>
      </c>
    </row>
    <row r="74" spans="1:18" x14ac:dyDescent="0.25">
      <c r="A74" s="7">
        <f t="shared" si="6"/>
        <v>15</v>
      </c>
      <c r="B74" s="2">
        <v>43027</v>
      </c>
      <c r="C74" s="3">
        <v>11.04</v>
      </c>
      <c r="D74" s="3">
        <v>11.04</v>
      </c>
      <c r="E74" s="3">
        <v>10.8</v>
      </c>
      <c r="F74" s="3">
        <v>11</v>
      </c>
      <c r="G74" s="3">
        <v>82610</v>
      </c>
      <c r="H74" s="8">
        <f t="shared" si="7"/>
        <v>-2.7902790279027792</v>
      </c>
      <c r="I74">
        <f t="shared" si="8"/>
        <v>10.946000000000002</v>
      </c>
      <c r="J74" s="6" cm="1">
        <f t="array" ref="J74">_xlfn.STDEV.S(IF($A:$A=A74, $F:$F))</f>
        <v>0.11781341180018461</v>
      </c>
      <c r="P74" s="8">
        <f t="shared" si="9"/>
        <v>-2.7902790279027792</v>
      </c>
      <c r="Q74" s="8">
        <f t="shared" si="10"/>
        <v>-2.7902790279027792</v>
      </c>
      <c r="R74" s="8">
        <f t="shared" si="11"/>
        <v>-2.7902790279027792</v>
      </c>
    </row>
    <row r="75" spans="1:18" x14ac:dyDescent="0.25">
      <c r="A75" s="7">
        <f t="shared" si="6"/>
        <v>15</v>
      </c>
      <c r="B75" s="2">
        <v>43028</v>
      </c>
      <c r="C75" s="3">
        <v>10.95</v>
      </c>
      <c r="D75" s="3">
        <v>10.99</v>
      </c>
      <c r="E75" s="3">
        <v>10.8</v>
      </c>
      <c r="F75" s="3">
        <v>10.94</v>
      </c>
      <c r="G75" s="3">
        <v>85110</v>
      </c>
      <c r="H75" s="8">
        <f t="shared" si="7"/>
        <v>-2.7902790279027792</v>
      </c>
      <c r="I75">
        <f t="shared" si="8"/>
        <v>10.946000000000002</v>
      </c>
      <c r="J75" s="6" cm="1">
        <f t="array" ref="J75">_xlfn.STDEV.S(IF($A:$A=A75, $F:$F))</f>
        <v>0.11781341180018461</v>
      </c>
      <c r="P75" s="8">
        <f t="shared" si="9"/>
        <v>-2.7902790279027792</v>
      </c>
      <c r="Q75" s="8">
        <f t="shared" si="10"/>
        <v>-2.7902790279027792</v>
      </c>
      <c r="R75" s="8">
        <f t="shared" si="11"/>
        <v>-2.7902790279027792</v>
      </c>
    </row>
    <row r="76" spans="1:18" x14ac:dyDescent="0.25">
      <c r="A76" s="7">
        <f t="shared" si="6"/>
        <v>15</v>
      </c>
      <c r="B76" s="2">
        <v>43031</v>
      </c>
      <c r="C76" s="3">
        <v>10.88</v>
      </c>
      <c r="D76" s="3">
        <v>10.95</v>
      </c>
      <c r="E76" s="3">
        <v>10.8</v>
      </c>
      <c r="F76" s="3">
        <v>10.8</v>
      </c>
      <c r="G76" s="3">
        <v>97230</v>
      </c>
      <c r="H76" s="8">
        <f t="shared" si="7"/>
        <v>-2.7902790279027792</v>
      </c>
      <c r="I76">
        <f t="shared" si="8"/>
        <v>10.946000000000002</v>
      </c>
      <c r="J76" s="6" cm="1">
        <f t="array" ref="J76">_xlfn.STDEV.S(IF($A:$A=A76, $F:$F))</f>
        <v>0.11781341180018461</v>
      </c>
      <c r="P76" s="8">
        <f t="shared" si="9"/>
        <v>-2.7902790279027792</v>
      </c>
      <c r="Q76" s="8">
        <f t="shared" si="10"/>
        <v>-2.7902790279027792</v>
      </c>
      <c r="R76" s="8">
        <f t="shared" si="11"/>
        <v>-2.7902790279027792</v>
      </c>
    </row>
    <row r="77" spans="1:18" x14ac:dyDescent="0.25">
      <c r="A77" s="7">
        <f t="shared" si="6"/>
        <v>16</v>
      </c>
      <c r="B77" s="2">
        <v>43032</v>
      </c>
      <c r="C77" s="3">
        <v>10.63</v>
      </c>
      <c r="D77" s="3">
        <v>10.83</v>
      </c>
      <c r="E77" s="3">
        <v>10.63</v>
      </c>
      <c r="F77" s="3">
        <v>10.83</v>
      </c>
      <c r="G77" s="3">
        <v>45500</v>
      </c>
      <c r="H77" s="8">
        <f t="shared" si="7"/>
        <v>-0.923361034164355</v>
      </c>
      <c r="I77">
        <f t="shared" si="8"/>
        <v>10.780000000000001</v>
      </c>
      <c r="J77" s="6" cm="1">
        <f t="array" ref="J77">_xlfn.STDEV.S(IF($A:$A=A77, $F:$F))</f>
        <v>5.6568542494923539E-2</v>
      </c>
      <c r="P77" s="8">
        <f t="shared" si="9"/>
        <v>-0.923361034164355</v>
      </c>
      <c r="Q77" s="8">
        <f t="shared" si="10"/>
        <v>-0.923361034164355</v>
      </c>
      <c r="R77" s="8">
        <f t="shared" si="11"/>
        <v>-0.923361034164355</v>
      </c>
    </row>
    <row r="78" spans="1:18" x14ac:dyDescent="0.25">
      <c r="A78" s="7">
        <f t="shared" si="6"/>
        <v>16</v>
      </c>
      <c r="B78" s="2">
        <v>43033</v>
      </c>
      <c r="C78" s="3">
        <v>11.04</v>
      </c>
      <c r="D78" s="3">
        <v>11.04</v>
      </c>
      <c r="E78" s="3">
        <v>10.83</v>
      </c>
      <c r="F78" s="3">
        <v>10.83</v>
      </c>
      <c r="G78" s="3">
        <v>71080</v>
      </c>
      <c r="H78" s="8">
        <f t="shared" si="7"/>
        <v>-0.923361034164355</v>
      </c>
      <c r="I78">
        <f t="shared" si="8"/>
        <v>10.780000000000001</v>
      </c>
      <c r="J78" s="6" cm="1">
        <f t="array" ref="J78">_xlfn.STDEV.S(IF($A:$A=A78, $F:$F))</f>
        <v>5.6568542494923539E-2</v>
      </c>
      <c r="P78" s="8">
        <f t="shared" si="9"/>
        <v>-0.923361034164355</v>
      </c>
      <c r="Q78" s="8">
        <f t="shared" si="10"/>
        <v>-0.923361034164355</v>
      </c>
      <c r="R78" s="8">
        <f t="shared" si="11"/>
        <v>-0.923361034164355</v>
      </c>
    </row>
    <row r="79" spans="1:18" x14ac:dyDescent="0.25">
      <c r="A79" s="7">
        <f t="shared" si="6"/>
        <v>16</v>
      </c>
      <c r="B79" s="2">
        <v>43034</v>
      </c>
      <c r="C79" s="3">
        <v>10.68</v>
      </c>
      <c r="D79" s="3">
        <v>11.12</v>
      </c>
      <c r="E79" s="3">
        <v>10.68</v>
      </c>
      <c r="F79" s="3">
        <v>10.71</v>
      </c>
      <c r="G79" s="3">
        <v>10540</v>
      </c>
      <c r="H79" s="8">
        <f t="shared" si="7"/>
        <v>-0.923361034164355</v>
      </c>
      <c r="I79">
        <f t="shared" si="8"/>
        <v>10.780000000000001</v>
      </c>
      <c r="J79" s="6" cm="1">
        <f t="array" ref="J79">_xlfn.STDEV.S(IF($A:$A=A79, $F:$F))</f>
        <v>5.6568542494923539E-2</v>
      </c>
      <c r="P79" s="8">
        <f t="shared" si="9"/>
        <v>-0.923361034164355</v>
      </c>
      <c r="Q79" s="8">
        <f t="shared" si="10"/>
        <v>-0.923361034164355</v>
      </c>
      <c r="R79" s="8">
        <f t="shared" si="11"/>
        <v>-0.923361034164355</v>
      </c>
    </row>
    <row r="80" spans="1:18" x14ac:dyDescent="0.25">
      <c r="A80" s="7">
        <f t="shared" si="6"/>
        <v>16</v>
      </c>
      <c r="B80" s="2">
        <v>43035</v>
      </c>
      <c r="C80" s="3">
        <v>10.71</v>
      </c>
      <c r="D80" s="3">
        <v>10.8</v>
      </c>
      <c r="E80" s="3">
        <v>10.63</v>
      </c>
      <c r="F80" s="3">
        <v>10.8</v>
      </c>
      <c r="G80" s="3">
        <v>33230</v>
      </c>
      <c r="H80" s="8">
        <f t="shared" si="7"/>
        <v>-0.923361034164355</v>
      </c>
      <c r="I80">
        <f t="shared" si="8"/>
        <v>10.780000000000001</v>
      </c>
      <c r="J80" s="6" cm="1">
        <f t="array" ref="J80">_xlfn.STDEV.S(IF($A:$A=A80, $F:$F))</f>
        <v>5.6568542494923539E-2</v>
      </c>
      <c r="P80" s="8">
        <f t="shared" si="9"/>
        <v>-0.923361034164355</v>
      </c>
      <c r="Q80" s="8">
        <f t="shared" si="10"/>
        <v>-0.923361034164355</v>
      </c>
      <c r="R80" s="8">
        <f t="shared" si="11"/>
        <v>-0.923361034164355</v>
      </c>
    </row>
    <row r="81" spans="1:18" x14ac:dyDescent="0.25">
      <c r="A81" s="7">
        <f t="shared" si="6"/>
        <v>16</v>
      </c>
      <c r="B81" s="2">
        <v>43038</v>
      </c>
      <c r="C81" s="3">
        <v>10.83</v>
      </c>
      <c r="D81" s="3">
        <v>10.97</v>
      </c>
      <c r="E81" s="3">
        <v>10.64</v>
      </c>
      <c r="F81" s="3">
        <v>10.73</v>
      </c>
      <c r="G81" s="3">
        <v>85240</v>
      </c>
      <c r="H81" s="8">
        <f t="shared" si="7"/>
        <v>-0.923361034164355</v>
      </c>
      <c r="I81">
        <f t="shared" si="8"/>
        <v>10.780000000000001</v>
      </c>
      <c r="J81" s="6" cm="1">
        <f t="array" ref="J81">_xlfn.STDEV.S(IF($A:$A=A81, $F:$F))</f>
        <v>5.6568542494923539E-2</v>
      </c>
      <c r="P81" s="8">
        <f t="shared" si="9"/>
        <v>-0.923361034164355</v>
      </c>
      <c r="Q81" s="8">
        <f t="shared" si="10"/>
        <v>-0.923361034164355</v>
      </c>
      <c r="R81" s="8">
        <f t="shared" si="11"/>
        <v>-0.923361034164355</v>
      </c>
    </row>
    <row r="82" spans="1:18" x14ac:dyDescent="0.25">
      <c r="A82" s="7">
        <f t="shared" si="6"/>
        <v>17</v>
      </c>
      <c r="B82" s="2">
        <v>43039</v>
      </c>
      <c r="C82" s="3">
        <v>10.73</v>
      </c>
      <c r="D82" s="3">
        <v>10.88</v>
      </c>
      <c r="E82" s="3">
        <v>10.71</v>
      </c>
      <c r="F82" s="3">
        <v>10.73</v>
      </c>
      <c r="G82" s="3">
        <v>107550</v>
      </c>
      <c r="H82" s="8">
        <f t="shared" si="7"/>
        <v>3.6346691519105199</v>
      </c>
      <c r="I82">
        <f t="shared" si="8"/>
        <v>10.808</v>
      </c>
      <c r="J82" s="6" cm="1">
        <f t="array" ref="J82">_xlfn.STDEV.S(IF($A:$A=A82, $F:$F))</f>
        <v>0.17441330224498305</v>
      </c>
      <c r="P82" s="8">
        <f t="shared" si="9"/>
        <v>3.6346691519105199</v>
      </c>
      <c r="Q82" s="8">
        <f t="shared" si="10"/>
        <v>3.6346691519105199</v>
      </c>
      <c r="R82" s="8">
        <f t="shared" si="11"/>
        <v>3.6346691519105199</v>
      </c>
    </row>
    <row r="83" spans="1:18" x14ac:dyDescent="0.25">
      <c r="A83" s="7">
        <f t="shared" si="6"/>
        <v>17</v>
      </c>
      <c r="B83" s="2">
        <v>43040</v>
      </c>
      <c r="C83" s="3">
        <v>10.73</v>
      </c>
      <c r="D83" s="3">
        <v>10.78</v>
      </c>
      <c r="E83" s="3">
        <v>10.71</v>
      </c>
      <c r="F83" s="3">
        <v>10.73</v>
      </c>
      <c r="G83" s="3">
        <v>45500</v>
      </c>
      <c r="H83" s="8">
        <f t="shared" si="7"/>
        <v>3.6346691519105199</v>
      </c>
      <c r="I83">
        <f t="shared" si="8"/>
        <v>10.808</v>
      </c>
      <c r="J83" s="6" cm="1">
        <f t="array" ref="J83">_xlfn.STDEV.S(IF($A:$A=A83, $F:$F))</f>
        <v>0.17441330224498305</v>
      </c>
      <c r="P83" s="8">
        <f t="shared" si="9"/>
        <v>3.6346691519105199</v>
      </c>
      <c r="Q83" s="8">
        <f t="shared" si="10"/>
        <v>3.6346691519105199</v>
      </c>
      <c r="R83" s="8">
        <f t="shared" si="11"/>
        <v>3.6346691519105199</v>
      </c>
    </row>
    <row r="84" spans="1:18" x14ac:dyDescent="0.25">
      <c r="A84" s="7">
        <f t="shared" si="6"/>
        <v>17</v>
      </c>
      <c r="B84" s="2">
        <v>43041</v>
      </c>
      <c r="C84" s="3">
        <v>10.87</v>
      </c>
      <c r="D84" s="3">
        <v>10.87</v>
      </c>
      <c r="E84" s="3">
        <v>10.73</v>
      </c>
      <c r="F84" s="3">
        <v>10.73</v>
      </c>
      <c r="G84" s="3">
        <v>85810</v>
      </c>
      <c r="H84" s="8">
        <f t="shared" si="7"/>
        <v>3.6346691519105199</v>
      </c>
      <c r="I84">
        <f t="shared" si="8"/>
        <v>10.808</v>
      </c>
      <c r="J84" s="6" cm="1">
        <f t="array" ref="J84">_xlfn.STDEV.S(IF($A:$A=A84, $F:$F))</f>
        <v>0.17441330224498305</v>
      </c>
      <c r="P84" s="8">
        <f t="shared" si="9"/>
        <v>3.6346691519105199</v>
      </c>
      <c r="Q84" s="8">
        <f t="shared" si="10"/>
        <v>3.6346691519105199</v>
      </c>
      <c r="R84" s="8">
        <f t="shared" si="11"/>
        <v>3.6346691519105199</v>
      </c>
    </row>
    <row r="85" spans="1:18" x14ac:dyDescent="0.25">
      <c r="A85" s="7">
        <f t="shared" si="6"/>
        <v>17</v>
      </c>
      <c r="B85" s="2">
        <v>43042</v>
      </c>
      <c r="C85" s="3">
        <v>10.73</v>
      </c>
      <c r="D85" s="3">
        <v>10.95</v>
      </c>
      <c r="E85" s="3">
        <v>10.73</v>
      </c>
      <c r="F85" s="3">
        <v>10.73</v>
      </c>
      <c r="G85" s="3">
        <v>47140</v>
      </c>
      <c r="H85" s="8">
        <f t="shared" si="7"/>
        <v>3.6346691519105199</v>
      </c>
      <c r="I85">
        <f t="shared" si="8"/>
        <v>10.808</v>
      </c>
      <c r="J85" s="6" cm="1">
        <f t="array" ref="J85">_xlfn.STDEV.S(IF($A:$A=A85, $F:$F))</f>
        <v>0.17441330224498305</v>
      </c>
      <c r="P85" s="8">
        <f t="shared" si="9"/>
        <v>3.6346691519105199</v>
      </c>
      <c r="Q85" s="8">
        <f t="shared" si="10"/>
        <v>3.6346691519105199</v>
      </c>
      <c r="R85" s="8">
        <f t="shared" si="11"/>
        <v>3.6346691519105199</v>
      </c>
    </row>
    <row r="86" spans="1:18" x14ac:dyDescent="0.25">
      <c r="A86" s="7">
        <f t="shared" si="6"/>
        <v>17</v>
      </c>
      <c r="B86" s="2">
        <v>43045</v>
      </c>
      <c r="C86" s="3">
        <v>10.8</v>
      </c>
      <c r="D86" s="3">
        <v>11.12</v>
      </c>
      <c r="E86" s="3">
        <v>10.75</v>
      </c>
      <c r="F86" s="3">
        <v>11.12</v>
      </c>
      <c r="G86" s="3">
        <v>76070</v>
      </c>
      <c r="H86" s="8">
        <f t="shared" si="7"/>
        <v>3.6346691519105199</v>
      </c>
      <c r="I86">
        <f t="shared" si="8"/>
        <v>10.808</v>
      </c>
      <c r="J86" s="6" cm="1">
        <f t="array" ref="J86">_xlfn.STDEV.S(IF($A:$A=A86, $F:$F))</f>
        <v>0.17441330224498305</v>
      </c>
      <c r="P86" s="8">
        <f t="shared" si="9"/>
        <v>3.6346691519105199</v>
      </c>
      <c r="Q86" s="8">
        <f t="shared" si="10"/>
        <v>3.6346691519105199</v>
      </c>
      <c r="R86" s="8">
        <f t="shared" si="11"/>
        <v>3.6346691519105199</v>
      </c>
    </row>
    <row r="87" spans="1:18" x14ac:dyDescent="0.25">
      <c r="A87" s="7">
        <f t="shared" si="6"/>
        <v>18</v>
      </c>
      <c r="B87" s="2">
        <v>43046</v>
      </c>
      <c r="C87" s="3">
        <v>11.23</v>
      </c>
      <c r="D87" s="3">
        <v>11.23</v>
      </c>
      <c r="E87" s="3">
        <v>11.12</v>
      </c>
      <c r="F87" s="3">
        <v>11.12</v>
      </c>
      <c r="G87" s="3">
        <v>12070</v>
      </c>
      <c r="H87" s="8">
        <f t="shared" si="7"/>
        <v>0.17985611510792582</v>
      </c>
      <c r="I87">
        <f t="shared" si="8"/>
        <v>11.125999999999999</v>
      </c>
      <c r="J87" s="6" cm="1">
        <f t="array" ref="J87">_xlfn.STDEV.S(IF($A:$A=A87, $F:$F))</f>
        <v>1.3416407864999379E-2</v>
      </c>
      <c r="P87" s="8">
        <f t="shared" si="9"/>
        <v>0.17985611510792582</v>
      </c>
      <c r="Q87" s="8">
        <f t="shared" si="10"/>
        <v>0.17985611510792582</v>
      </c>
      <c r="R87" s="8">
        <f t="shared" si="11"/>
        <v>0.17985611510792582</v>
      </c>
    </row>
    <row r="88" spans="1:18" x14ac:dyDescent="0.25">
      <c r="A88" s="7">
        <f t="shared" si="6"/>
        <v>18</v>
      </c>
      <c r="B88" s="2">
        <v>43047</v>
      </c>
      <c r="C88" s="3">
        <v>10.82</v>
      </c>
      <c r="D88" s="3">
        <v>11.12</v>
      </c>
      <c r="E88" s="3">
        <v>10.82</v>
      </c>
      <c r="F88" s="3">
        <v>11.11</v>
      </c>
      <c r="G88" s="3">
        <v>7040</v>
      </c>
      <c r="H88" s="8">
        <f t="shared" si="7"/>
        <v>0.17985611510792582</v>
      </c>
      <c r="I88">
        <f t="shared" si="8"/>
        <v>11.125999999999999</v>
      </c>
      <c r="J88" s="6" cm="1">
        <f t="array" ref="J88">_xlfn.STDEV.S(IF($A:$A=A88, $F:$F))</f>
        <v>1.3416407864999379E-2</v>
      </c>
      <c r="P88" s="8">
        <f t="shared" si="9"/>
        <v>0.17985611510792582</v>
      </c>
      <c r="Q88" s="8">
        <f t="shared" si="10"/>
        <v>0.17985611510792582</v>
      </c>
      <c r="R88" s="8">
        <f t="shared" si="11"/>
        <v>0.17985611510792582</v>
      </c>
    </row>
    <row r="89" spans="1:18" x14ac:dyDescent="0.25">
      <c r="A89" s="7">
        <f t="shared" si="6"/>
        <v>18</v>
      </c>
      <c r="B89" s="2">
        <v>43048</v>
      </c>
      <c r="C89" s="3">
        <v>11.11</v>
      </c>
      <c r="D89" s="3">
        <v>11.14</v>
      </c>
      <c r="E89" s="3">
        <v>11.06</v>
      </c>
      <c r="F89" s="3">
        <v>11.12</v>
      </c>
      <c r="G89" s="3">
        <v>109910</v>
      </c>
      <c r="H89" s="8">
        <f t="shared" si="7"/>
        <v>0.17985611510792582</v>
      </c>
      <c r="I89">
        <f t="shared" si="8"/>
        <v>11.125999999999999</v>
      </c>
      <c r="J89" s="6" cm="1">
        <f t="array" ref="J89">_xlfn.STDEV.S(IF($A:$A=A89, $F:$F))</f>
        <v>1.3416407864999379E-2</v>
      </c>
      <c r="P89" s="8">
        <f t="shared" si="9"/>
        <v>0.17985611510792582</v>
      </c>
      <c r="Q89" s="8">
        <f t="shared" si="10"/>
        <v>0.17985611510792582</v>
      </c>
      <c r="R89" s="8">
        <f t="shared" si="11"/>
        <v>0.17985611510792582</v>
      </c>
    </row>
    <row r="90" spans="1:18" x14ac:dyDescent="0.25">
      <c r="A90" s="7">
        <f t="shared" si="6"/>
        <v>18</v>
      </c>
      <c r="B90" s="2">
        <v>43049</v>
      </c>
      <c r="C90" s="3">
        <v>10.82</v>
      </c>
      <c r="D90" s="3">
        <v>11.18</v>
      </c>
      <c r="E90" s="3">
        <v>10.82</v>
      </c>
      <c r="F90" s="3">
        <v>11.14</v>
      </c>
      <c r="G90" s="3">
        <v>48250</v>
      </c>
      <c r="H90" s="8">
        <f t="shared" si="7"/>
        <v>0.17985611510792582</v>
      </c>
      <c r="I90">
        <f t="shared" si="8"/>
        <v>11.125999999999999</v>
      </c>
      <c r="J90" s="6" cm="1">
        <f t="array" ref="J90">_xlfn.STDEV.S(IF($A:$A=A90, $F:$F))</f>
        <v>1.3416407864999379E-2</v>
      </c>
      <c r="P90" s="8">
        <f t="shared" si="9"/>
        <v>0.17985611510792582</v>
      </c>
      <c r="Q90" s="8">
        <f t="shared" si="10"/>
        <v>0.17985611510792582</v>
      </c>
      <c r="R90" s="8">
        <f t="shared" si="11"/>
        <v>0.17985611510792582</v>
      </c>
    </row>
    <row r="91" spans="1:18" x14ac:dyDescent="0.25">
      <c r="A91" s="7">
        <f t="shared" si="6"/>
        <v>18</v>
      </c>
      <c r="B91" s="2">
        <v>43052</v>
      </c>
      <c r="C91" s="3">
        <v>11.12</v>
      </c>
      <c r="D91" s="3">
        <v>11.28</v>
      </c>
      <c r="E91" s="3">
        <v>11.12</v>
      </c>
      <c r="F91" s="3">
        <v>11.14</v>
      </c>
      <c r="G91" s="3">
        <v>72610</v>
      </c>
      <c r="H91" s="8">
        <f t="shared" si="7"/>
        <v>0.17985611510792582</v>
      </c>
      <c r="I91">
        <f t="shared" si="8"/>
        <v>11.125999999999999</v>
      </c>
      <c r="J91" s="6" cm="1">
        <f t="array" ref="J91">_xlfn.STDEV.S(IF($A:$A=A91, $F:$F))</f>
        <v>1.3416407864999379E-2</v>
      </c>
      <c r="P91" s="8">
        <f t="shared" si="9"/>
        <v>0.17985611510792582</v>
      </c>
      <c r="Q91" s="8">
        <f t="shared" si="10"/>
        <v>0.17985611510792582</v>
      </c>
      <c r="R91" s="8">
        <f t="shared" si="11"/>
        <v>0.17985611510792582</v>
      </c>
    </row>
    <row r="92" spans="1:18" x14ac:dyDescent="0.25">
      <c r="A92" s="7">
        <f t="shared" si="6"/>
        <v>19</v>
      </c>
      <c r="B92" s="2">
        <v>43053</v>
      </c>
      <c r="C92" s="3">
        <v>11.14</v>
      </c>
      <c r="D92" s="3">
        <v>11.91</v>
      </c>
      <c r="E92" s="3">
        <v>10.99</v>
      </c>
      <c r="F92" s="3">
        <v>11.91</v>
      </c>
      <c r="G92" s="3">
        <v>385270</v>
      </c>
      <c r="H92" s="8">
        <f t="shared" si="7"/>
        <v>2.9387069689336665</v>
      </c>
      <c r="I92">
        <f t="shared" si="8"/>
        <v>12.187999999999999</v>
      </c>
      <c r="J92" s="6" cm="1">
        <f t="array" ref="J92">_xlfn.STDEV.S(IF($A:$A=A92, $F:$F))</f>
        <v>0.16664333169977116</v>
      </c>
      <c r="P92" s="8">
        <f t="shared" si="9"/>
        <v>2.9387069689336665</v>
      </c>
      <c r="Q92" s="8">
        <f t="shared" si="10"/>
        <v>2.9387069689336665</v>
      </c>
      <c r="R92" s="8">
        <f t="shared" si="11"/>
        <v>2.9387069689336665</v>
      </c>
    </row>
    <row r="93" spans="1:18" x14ac:dyDescent="0.25">
      <c r="A93" s="7">
        <f t="shared" si="6"/>
        <v>19</v>
      </c>
      <c r="B93" s="2">
        <v>43054</v>
      </c>
      <c r="C93" s="3">
        <v>12.08</v>
      </c>
      <c r="D93" s="3">
        <v>12.34</v>
      </c>
      <c r="E93" s="3">
        <v>11.69</v>
      </c>
      <c r="F93" s="3">
        <v>12.17</v>
      </c>
      <c r="G93" s="3">
        <v>140430</v>
      </c>
      <c r="H93" s="8">
        <f t="shared" si="7"/>
        <v>2.9387069689336665</v>
      </c>
      <c r="I93">
        <f t="shared" si="8"/>
        <v>12.187999999999999</v>
      </c>
      <c r="J93" s="6" cm="1">
        <f t="array" ref="J93">_xlfn.STDEV.S(IF($A:$A=A93, $F:$F))</f>
        <v>0.16664333169977116</v>
      </c>
      <c r="P93" s="8">
        <f t="shared" si="9"/>
        <v>2.9387069689336665</v>
      </c>
      <c r="Q93" s="8">
        <f t="shared" si="10"/>
        <v>2.9387069689336665</v>
      </c>
      <c r="R93" s="8">
        <f t="shared" si="11"/>
        <v>2.9387069689336665</v>
      </c>
    </row>
    <row r="94" spans="1:18" x14ac:dyDescent="0.25">
      <c r="A94" s="7">
        <f t="shared" si="6"/>
        <v>19</v>
      </c>
      <c r="B94" s="2">
        <v>43055</v>
      </c>
      <c r="C94" s="3">
        <v>11.76</v>
      </c>
      <c r="D94" s="3">
        <v>12.34</v>
      </c>
      <c r="E94" s="3">
        <v>11.76</v>
      </c>
      <c r="F94" s="3">
        <v>12.34</v>
      </c>
      <c r="G94" s="3">
        <v>53800</v>
      </c>
      <c r="H94" s="8">
        <f t="shared" si="7"/>
        <v>2.9387069689336665</v>
      </c>
      <c r="I94">
        <f t="shared" si="8"/>
        <v>12.187999999999999</v>
      </c>
      <c r="J94" s="6" cm="1">
        <f t="array" ref="J94">_xlfn.STDEV.S(IF($A:$A=A94, $F:$F))</f>
        <v>0.16664333169977116</v>
      </c>
      <c r="P94" s="8">
        <f t="shared" si="9"/>
        <v>2.9387069689336665</v>
      </c>
      <c r="Q94" s="8">
        <f t="shared" si="10"/>
        <v>2.9387069689336665</v>
      </c>
      <c r="R94" s="8">
        <f t="shared" si="11"/>
        <v>2.9387069689336665</v>
      </c>
    </row>
    <row r="95" spans="1:18" x14ac:dyDescent="0.25">
      <c r="A95" s="7">
        <f t="shared" si="6"/>
        <v>19</v>
      </c>
      <c r="B95" s="2">
        <v>43056</v>
      </c>
      <c r="C95" s="3">
        <v>12.03</v>
      </c>
      <c r="D95" s="3">
        <v>12.51</v>
      </c>
      <c r="E95" s="3">
        <v>12.02</v>
      </c>
      <c r="F95" s="3">
        <v>12.26</v>
      </c>
      <c r="G95" s="3">
        <v>193880</v>
      </c>
      <c r="H95" s="8">
        <f t="shared" si="7"/>
        <v>2.9387069689336665</v>
      </c>
      <c r="I95">
        <f t="shared" si="8"/>
        <v>12.187999999999999</v>
      </c>
      <c r="J95" s="6" cm="1">
        <f t="array" ref="J95">_xlfn.STDEV.S(IF($A:$A=A95, $F:$F))</f>
        <v>0.16664333169977116</v>
      </c>
      <c r="P95" s="8">
        <f t="shared" si="9"/>
        <v>2.9387069689336665</v>
      </c>
      <c r="Q95" s="8">
        <f t="shared" si="10"/>
        <v>2.9387069689336665</v>
      </c>
      <c r="R95" s="8">
        <f t="shared" si="11"/>
        <v>2.9387069689336665</v>
      </c>
    </row>
    <row r="96" spans="1:18" x14ac:dyDescent="0.25">
      <c r="A96" s="7">
        <f t="shared" si="6"/>
        <v>19</v>
      </c>
      <c r="B96" s="2">
        <v>43059</v>
      </c>
      <c r="C96" s="3">
        <v>12.02</v>
      </c>
      <c r="D96" s="3">
        <v>12.26</v>
      </c>
      <c r="E96" s="3">
        <v>12</v>
      </c>
      <c r="F96" s="3">
        <v>12.26</v>
      </c>
      <c r="G96" s="3">
        <v>74840</v>
      </c>
      <c r="H96" s="8">
        <f t="shared" si="7"/>
        <v>2.9387069689336665</v>
      </c>
      <c r="I96">
        <f t="shared" si="8"/>
        <v>12.187999999999999</v>
      </c>
      <c r="J96" s="6" cm="1">
        <f t="array" ref="J96">_xlfn.STDEV.S(IF($A:$A=A96, $F:$F))</f>
        <v>0.16664333169977116</v>
      </c>
      <c r="P96" s="8">
        <f t="shared" si="9"/>
        <v>2.9387069689336665</v>
      </c>
      <c r="Q96" s="8">
        <f t="shared" si="10"/>
        <v>2.9387069689336665</v>
      </c>
      <c r="R96" s="8">
        <f t="shared" si="11"/>
        <v>2.9387069689336665</v>
      </c>
    </row>
    <row r="97" spans="1:18" x14ac:dyDescent="0.25">
      <c r="A97" s="7">
        <f t="shared" si="6"/>
        <v>20</v>
      </c>
      <c r="B97" s="2">
        <v>43060</v>
      </c>
      <c r="C97" s="3">
        <v>12.26</v>
      </c>
      <c r="D97" s="3">
        <v>12.34</v>
      </c>
      <c r="E97" s="3">
        <v>12.08</v>
      </c>
      <c r="F97" s="3">
        <v>12.17</v>
      </c>
      <c r="G97" s="3">
        <v>96450</v>
      </c>
      <c r="H97" s="8">
        <f t="shared" si="7"/>
        <v>-0.410846343467549</v>
      </c>
      <c r="I97">
        <f t="shared" si="8"/>
        <v>12.212</v>
      </c>
      <c r="J97" s="6" cm="1">
        <f t="array" ref="J97">_xlfn.STDEV.S(IF($A:$A=A97, $F:$F))</f>
        <v>8.7578536183245403E-2</v>
      </c>
      <c r="P97" s="8">
        <f t="shared" si="9"/>
        <v>-0.410846343467549</v>
      </c>
      <c r="Q97" s="8">
        <f t="shared" si="10"/>
        <v>-0.410846343467549</v>
      </c>
      <c r="R97" s="8">
        <f t="shared" si="11"/>
        <v>-0.410846343467549</v>
      </c>
    </row>
    <row r="98" spans="1:18" x14ac:dyDescent="0.25">
      <c r="A98" s="7">
        <f t="shared" si="6"/>
        <v>20</v>
      </c>
      <c r="B98" s="2">
        <v>43061</v>
      </c>
      <c r="C98" s="3">
        <v>12.17</v>
      </c>
      <c r="D98" s="3">
        <v>12.34</v>
      </c>
      <c r="E98" s="3">
        <v>12</v>
      </c>
      <c r="F98" s="3">
        <v>12.34</v>
      </c>
      <c r="G98" s="3">
        <v>84430</v>
      </c>
      <c r="H98" s="8">
        <f t="shared" si="7"/>
        <v>-0.410846343467549</v>
      </c>
      <c r="I98">
        <f t="shared" si="8"/>
        <v>12.212</v>
      </c>
      <c r="J98" s="6" cm="1">
        <f t="array" ref="J98">_xlfn.STDEV.S(IF($A:$A=A98, $F:$F))</f>
        <v>8.7578536183245403E-2</v>
      </c>
      <c r="P98" s="8">
        <f t="shared" si="9"/>
        <v>-0.410846343467549</v>
      </c>
      <c r="Q98" s="8">
        <f t="shared" si="10"/>
        <v>-0.410846343467549</v>
      </c>
      <c r="R98" s="8">
        <f t="shared" si="11"/>
        <v>-0.410846343467549</v>
      </c>
    </row>
    <row r="99" spans="1:18" x14ac:dyDescent="0.25">
      <c r="A99" s="7">
        <f t="shared" si="6"/>
        <v>20</v>
      </c>
      <c r="B99" s="2">
        <v>43062</v>
      </c>
      <c r="C99" s="3">
        <v>12.34</v>
      </c>
      <c r="D99" s="3">
        <v>12.34</v>
      </c>
      <c r="E99" s="3">
        <v>12.07</v>
      </c>
      <c r="F99" s="3">
        <v>12.26</v>
      </c>
      <c r="G99" s="3">
        <v>26590</v>
      </c>
      <c r="H99" s="8">
        <f t="shared" si="7"/>
        <v>-0.410846343467549</v>
      </c>
      <c r="I99">
        <f t="shared" si="8"/>
        <v>12.212</v>
      </c>
      <c r="J99" s="6" cm="1">
        <f t="array" ref="J99">_xlfn.STDEV.S(IF($A:$A=A99, $F:$F))</f>
        <v>8.7578536183245403E-2</v>
      </c>
      <c r="P99" s="8">
        <f t="shared" si="9"/>
        <v>-0.410846343467549</v>
      </c>
      <c r="Q99" s="8">
        <f t="shared" si="10"/>
        <v>-0.410846343467549</v>
      </c>
      <c r="R99" s="8">
        <f t="shared" si="11"/>
        <v>-0.410846343467549</v>
      </c>
    </row>
    <row r="100" spans="1:18" x14ac:dyDescent="0.25">
      <c r="A100" s="7">
        <f t="shared" si="6"/>
        <v>20</v>
      </c>
      <c r="B100" s="2">
        <v>43063</v>
      </c>
      <c r="C100" s="3">
        <v>12.26</v>
      </c>
      <c r="D100" s="3">
        <v>12.32</v>
      </c>
      <c r="E100" s="3">
        <v>12.17</v>
      </c>
      <c r="F100" s="3">
        <v>12.17</v>
      </c>
      <c r="G100" s="3">
        <v>39360</v>
      </c>
      <c r="H100" s="8">
        <f t="shared" si="7"/>
        <v>-0.410846343467549</v>
      </c>
      <c r="I100">
        <f t="shared" si="8"/>
        <v>12.212</v>
      </c>
      <c r="J100" s="6" cm="1">
        <f t="array" ref="J100">_xlfn.STDEV.S(IF($A:$A=A100, $F:$F))</f>
        <v>8.7578536183245403E-2</v>
      </c>
      <c r="P100" s="8">
        <f t="shared" si="9"/>
        <v>-0.410846343467549</v>
      </c>
      <c r="Q100" s="8">
        <f t="shared" si="10"/>
        <v>-0.410846343467549</v>
      </c>
      <c r="R100" s="8">
        <f t="shared" si="11"/>
        <v>-0.410846343467549</v>
      </c>
    </row>
    <row r="101" spans="1:18" x14ac:dyDescent="0.25">
      <c r="A101" s="7">
        <f t="shared" si="6"/>
        <v>20</v>
      </c>
      <c r="B101" s="2">
        <v>43066</v>
      </c>
      <c r="C101" s="3">
        <v>12.34</v>
      </c>
      <c r="D101" s="3">
        <v>12.51</v>
      </c>
      <c r="E101" s="3">
        <v>12.1</v>
      </c>
      <c r="F101" s="3">
        <v>12.12</v>
      </c>
      <c r="G101" s="3">
        <v>242510</v>
      </c>
      <c r="H101" s="8">
        <f t="shared" si="7"/>
        <v>-0.410846343467549</v>
      </c>
      <c r="I101">
        <f t="shared" si="8"/>
        <v>12.212</v>
      </c>
      <c r="J101" s="6" cm="1">
        <f t="array" ref="J101">_xlfn.STDEV.S(IF($A:$A=A101, $F:$F))</f>
        <v>8.7578536183245403E-2</v>
      </c>
      <c r="P101" s="8">
        <f t="shared" si="9"/>
        <v>-0.410846343467549</v>
      </c>
      <c r="Q101" s="8">
        <f t="shared" si="10"/>
        <v>-0.410846343467549</v>
      </c>
      <c r="R101" s="8">
        <f t="shared" si="11"/>
        <v>-0.410846343467549</v>
      </c>
    </row>
    <row r="102" spans="1:18" x14ac:dyDescent="0.25">
      <c r="A102" s="7">
        <f t="shared" si="6"/>
        <v>21</v>
      </c>
      <c r="B102" s="2">
        <v>43067</v>
      </c>
      <c r="C102" s="3">
        <v>12.14</v>
      </c>
      <c r="D102" s="3">
        <v>12.32</v>
      </c>
      <c r="E102" s="3">
        <v>12.08</v>
      </c>
      <c r="F102" s="3">
        <v>12.17</v>
      </c>
      <c r="G102" s="3">
        <v>28250</v>
      </c>
      <c r="H102" s="8">
        <f t="shared" si="7"/>
        <v>1.2325390304026325</v>
      </c>
      <c r="I102">
        <f t="shared" si="8"/>
        <v>12.192</v>
      </c>
      <c r="J102" s="6" cm="1">
        <f t="array" ref="J102">_xlfn.STDEV.S(IF($A:$A=A102, $F:$F))</f>
        <v>8.7578536183245403E-2</v>
      </c>
      <c r="P102" s="8">
        <f t="shared" si="9"/>
        <v>1.2325390304026325</v>
      </c>
      <c r="Q102" s="8">
        <f t="shared" si="10"/>
        <v>1.2325390304026325</v>
      </c>
      <c r="R102" s="8">
        <f t="shared" si="11"/>
        <v>1.2325390304026325</v>
      </c>
    </row>
    <row r="103" spans="1:18" x14ac:dyDescent="0.25">
      <c r="A103" s="7">
        <f t="shared" si="6"/>
        <v>21</v>
      </c>
      <c r="B103" s="2">
        <v>43068</v>
      </c>
      <c r="C103" s="3">
        <v>12.12</v>
      </c>
      <c r="D103" s="3">
        <v>12.34</v>
      </c>
      <c r="E103" s="3">
        <v>12</v>
      </c>
      <c r="F103" s="3">
        <v>12.08</v>
      </c>
      <c r="G103" s="3">
        <v>62140</v>
      </c>
      <c r="H103" s="8">
        <f t="shared" si="7"/>
        <v>1.2325390304026325</v>
      </c>
      <c r="I103">
        <f t="shared" si="8"/>
        <v>12.192</v>
      </c>
      <c r="J103" s="6" cm="1">
        <f t="array" ref="J103">_xlfn.STDEV.S(IF($A:$A=A103, $F:$F))</f>
        <v>8.7578536183245403E-2</v>
      </c>
      <c r="P103" s="8">
        <f t="shared" si="9"/>
        <v>1.2325390304026325</v>
      </c>
      <c r="Q103" s="8">
        <f t="shared" si="10"/>
        <v>1.2325390304026325</v>
      </c>
      <c r="R103" s="8">
        <f t="shared" si="11"/>
        <v>1.2325390304026325</v>
      </c>
    </row>
    <row r="104" spans="1:18" x14ac:dyDescent="0.25">
      <c r="A104" s="7">
        <f t="shared" si="6"/>
        <v>21</v>
      </c>
      <c r="B104" s="2">
        <v>43069</v>
      </c>
      <c r="C104" s="3">
        <v>12.32</v>
      </c>
      <c r="D104" s="3">
        <v>12.32</v>
      </c>
      <c r="E104" s="3">
        <v>12.17</v>
      </c>
      <c r="F104" s="3">
        <v>12.22</v>
      </c>
      <c r="G104" s="3">
        <v>49130</v>
      </c>
      <c r="H104" s="8">
        <f t="shared" si="7"/>
        <v>1.2325390304026325</v>
      </c>
      <c r="I104">
        <f t="shared" si="8"/>
        <v>12.192</v>
      </c>
      <c r="J104" s="6" cm="1">
        <f t="array" ref="J104">_xlfn.STDEV.S(IF($A:$A=A104, $F:$F))</f>
        <v>8.7578536183245403E-2</v>
      </c>
      <c r="P104" s="8">
        <f t="shared" si="9"/>
        <v>1.2325390304026325</v>
      </c>
      <c r="Q104" s="8">
        <f t="shared" si="10"/>
        <v>1.2325390304026325</v>
      </c>
      <c r="R104" s="8">
        <f t="shared" si="11"/>
        <v>1.2325390304026325</v>
      </c>
    </row>
    <row r="105" spans="1:18" x14ac:dyDescent="0.25">
      <c r="A105" s="7">
        <f t="shared" si="6"/>
        <v>21</v>
      </c>
      <c r="B105" s="2">
        <v>43070</v>
      </c>
      <c r="C105" s="3">
        <v>12.2</v>
      </c>
      <c r="D105" s="3">
        <v>12.22</v>
      </c>
      <c r="E105" s="3">
        <v>12.17</v>
      </c>
      <c r="F105" s="3">
        <v>12.17</v>
      </c>
      <c r="G105" s="3">
        <v>16590</v>
      </c>
      <c r="H105" s="8">
        <f t="shared" si="7"/>
        <v>1.2325390304026325</v>
      </c>
      <c r="I105">
        <f t="shared" si="8"/>
        <v>12.192</v>
      </c>
      <c r="J105" s="6" cm="1">
        <f t="array" ref="J105">_xlfn.STDEV.S(IF($A:$A=A105, $F:$F))</f>
        <v>8.7578536183245403E-2</v>
      </c>
      <c r="P105" s="8">
        <f t="shared" si="9"/>
        <v>1.2325390304026325</v>
      </c>
      <c r="Q105" s="8">
        <f t="shared" si="10"/>
        <v>1.2325390304026325</v>
      </c>
      <c r="R105" s="8">
        <f t="shared" si="11"/>
        <v>1.2325390304026325</v>
      </c>
    </row>
    <row r="106" spans="1:18" x14ac:dyDescent="0.25">
      <c r="A106" s="7">
        <f t="shared" si="6"/>
        <v>21</v>
      </c>
      <c r="B106" s="2">
        <v>43073</v>
      </c>
      <c r="C106" s="3">
        <v>12.17</v>
      </c>
      <c r="D106" s="3">
        <v>12.32</v>
      </c>
      <c r="E106" s="3">
        <v>12.17</v>
      </c>
      <c r="F106" s="3">
        <v>12.32</v>
      </c>
      <c r="G106" s="3">
        <v>45170</v>
      </c>
      <c r="H106" s="8">
        <f t="shared" si="7"/>
        <v>1.2325390304026325</v>
      </c>
      <c r="I106">
        <f t="shared" si="8"/>
        <v>12.192</v>
      </c>
      <c r="J106" s="6" cm="1">
        <f t="array" ref="J106">_xlfn.STDEV.S(IF($A:$A=A106, $F:$F))</f>
        <v>8.7578536183245403E-2</v>
      </c>
      <c r="P106" s="8">
        <f t="shared" si="9"/>
        <v>1.2325390304026325</v>
      </c>
      <c r="Q106" s="8">
        <f t="shared" si="10"/>
        <v>1.2325390304026325</v>
      </c>
      <c r="R106" s="8">
        <f t="shared" si="11"/>
        <v>1.2325390304026325</v>
      </c>
    </row>
    <row r="107" spans="1:18" x14ac:dyDescent="0.25">
      <c r="A107" s="7">
        <f t="shared" si="6"/>
        <v>22</v>
      </c>
      <c r="B107" s="2">
        <v>43074</v>
      </c>
      <c r="C107" s="3">
        <v>12.36</v>
      </c>
      <c r="D107" s="3">
        <v>12.86</v>
      </c>
      <c r="E107" s="3">
        <v>12.32</v>
      </c>
      <c r="F107" s="3">
        <v>12.84</v>
      </c>
      <c r="G107" s="3">
        <v>78220</v>
      </c>
      <c r="H107" s="8">
        <f t="shared" si="7"/>
        <v>-4.5171339563862931</v>
      </c>
      <c r="I107">
        <f t="shared" si="8"/>
        <v>12.541999999999998</v>
      </c>
      <c r="J107" s="6" cm="1">
        <f t="array" ref="J107">_xlfn.STDEV.S(IF($A:$A=A107, $F:$F))</f>
        <v>0.20885401600160819</v>
      </c>
      <c r="P107" s="8">
        <f t="shared" si="9"/>
        <v>-4.5171339563862931</v>
      </c>
      <c r="Q107" s="8">
        <f t="shared" si="10"/>
        <v>-4.5171339563862931</v>
      </c>
      <c r="R107" s="8">
        <f t="shared" si="11"/>
        <v>-4.5171339563862931</v>
      </c>
    </row>
    <row r="108" spans="1:18" x14ac:dyDescent="0.25">
      <c r="A108" s="7">
        <f t="shared" si="6"/>
        <v>22</v>
      </c>
      <c r="B108" s="2">
        <v>43075</v>
      </c>
      <c r="C108" s="3">
        <v>12.84</v>
      </c>
      <c r="D108" s="3">
        <v>12.84</v>
      </c>
      <c r="E108" s="3">
        <v>12.51</v>
      </c>
      <c r="F108" s="3">
        <v>12.6</v>
      </c>
      <c r="G108" s="3">
        <v>80270</v>
      </c>
      <c r="H108" s="8">
        <f t="shared" si="7"/>
        <v>-4.5171339563862931</v>
      </c>
      <c r="I108">
        <f t="shared" si="8"/>
        <v>12.541999999999998</v>
      </c>
      <c r="J108" s="6" cm="1">
        <f t="array" ref="J108">_xlfn.STDEV.S(IF($A:$A=A108, $F:$F))</f>
        <v>0.20885401600160819</v>
      </c>
      <c r="P108" s="8">
        <f t="shared" si="9"/>
        <v>-4.5171339563862931</v>
      </c>
      <c r="Q108" s="8">
        <f t="shared" si="10"/>
        <v>-4.5171339563862931</v>
      </c>
      <c r="R108" s="8">
        <f t="shared" si="11"/>
        <v>-4.5171339563862931</v>
      </c>
    </row>
    <row r="109" spans="1:18" x14ac:dyDescent="0.25">
      <c r="A109" s="7">
        <f t="shared" si="6"/>
        <v>22</v>
      </c>
      <c r="B109" s="2">
        <v>43076</v>
      </c>
      <c r="C109" s="3">
        <v>12.51</v>
      </c>
      <c r="D109" s="3">
        <v>12.51</v>
      </c>
      <c r="E109" s="3">
        <v>12.38</v>
      </c>
      <c r="F109" s="3">
        <v>12.5</v>
      </c>
      <c r="G109" s="3">
        <v>26560</v>
      </c>
      <c r="H109" s="8">
        <f t="shared" si="7"/>
        <v>-4.5171339563862931</v>
      </c>
      <c r="I109">
        <f t="shared" si="8"/>
        <v>12.541999999999998</v>
      </c>
      <c r="J109" s="6" cm="1">
        <f t="array" ref="J109">_xlfn.STDEV.S(IF($A:$A=A109, $F:$F))</f>
        <v>0.20885401600160819</v>
      </c>
      <c r="P109" s="8">
        <f t="shared" si="9"/>
        <v>-4.5171339563862931</v>
      </c>
      <c r="Q109" s="8">
        <f t="shared" si="10"/>
        <v>-4.5171339563862931</v>
      </c>
      <c r="R109" s="8">
        <f t="shared" si="11"/>
        <v>-4.5171339563862931</v>
      </c>
    </row>
    <row r="110" spans="1:18" x14ac:dyDescent="0.25">
      <c r="A110" s="7">
        <f t="shared" si="6"/>
        <v>22</v>
      </c>
      <c r="B110" s="2">
        <v>43077</v>
      </c>
      <c r="C110" s="3">
        <v>12.43</v>
      </c>
      <c r="D110" s="3">
        <v>12.6</v>
      </c>
      <c r="E110" s="3">
        <v>12.43</v>
      </c>
      <c r="F110" s="3">
        <v>12.51</v>
      </c>
      <c r="G110" s="3">
        <v>103770</v>
      </c>
      <c r="H110" s="8">
        <f t="shared" si="7"/>
        <v>-4.5171339563862931</v>
      </c>
      <c r="I110">
        <f t="shared" si="8"/>
        <v>12.541999999999998</v>
      </c>
      <c r="J110" s="6" cm="1">
        <f t="array" ref="J110">_xlfn.STDEV.S(IF($A:$A=A110, $F:$F))</f>
        <v>0.20885401600160819</v>
      </c>
      <c r="P110" s="8">
        <f t="shared" si="9"/>
        <v>-4.5171339563862931</v>
      </c>
      <c r="Q110" s="8">
        <f t="shared" si="10"/>
        <v>-4.5171339563862931</v>
      </c>
      <c r="R110" s="8">
        <f t="shared" si="11"/>
        <v>-4.5171339563862931</v>
      </c>
    </row>
    <row r="111" spans="1:18" x14ac:dyDescent="0.25">
      <c r="A111" s="7">
        <f t="shared" si="6"/>
        <v>22</v>
      </c>
      <c r="B111" s="2">
        <v>43080</v>
      </c>
      <c r="C111" s="3">
        <v>12.08</v>
      </c>
      <c r="D111" s="3">
        <v>12.65</v>
      </c>
      <c r="E111" s="3">
        <v>12.08</v>
      </c>
      <c r="F111" s="3">
        <v>12.26</v>
      </c>
      <c r="G111" s="3">
        <v>50600</v>
      </c>
      <c r="H111" s="8">
        <f t="shared" si="7"/>
        <v>-4.5171339563862931</v>
      </c>
      <c r="I111">
        <f t="shared" si="8"/>
        <v>12.541999999999998</v>
      </c>
      <c r="J111" s="6" cm="1">
        <f t="array" ref="J111">_xlfn.STDEV.S(IF($A:$A=A111, $F:$F))</f>
        <v>0.20885401600160819</v>
      </c>
      <c r="P111" s="8">
        <f t="shared" si="9"/>
        <v>-4.5171339563862931</v>
      </c>
      <c r="Q111" s="8">
        <f t="shared" si="10"/>
        <v>-4.5171339563862931</v>
      </c>
      <c r="R111" s="8">
        <f t="shared" si="11"/>
        <v>-4.5171339563862931</v>
      </c>
    </row>
    <row r="112" spans="1:18" x14ac:dyDescent="0.25">
      <c r="A112" s="7">
        <f t="shared" si="6"/>
        <v>23</v>
      </c>
      <c r="B112" s="2">
        <v>43081</v>
      </c>
      <c r="C112" s="3">
        <v>12.17</v>
      </c>
      <c r="D112" s="3">
        <v>12.26</v>
      </c>
      <c r="E112" s="3">
        <v>12.08</v>
      </c>
      <c r="F112" s="3">
        <v>12.26</v>
      </c>
      <c r="G112" s="3">
        <v>17170</v>
      </c>
      <c r="H112" s="8">
        <f t="shared" si="7"/>
        <v>1.3866231647634577</v>
      </c>
      <c r="I112">
        <f t="shared" si="8"/>
        <v>12.338000000000001</v>
      </c>
      <c r="J112" s="6" cm="1">
        <f t="array" ref="J112">_xlfn.STDEV.S(IF($A:$A=A112, $F:$F))</f>
        <v>6.0991802727907565E-2</v>
      </c>
      <c r="P112" s="8">
        <f t="shared" si="9"/>
        <v>1.3866231647634577</v>
      </c>
      <c r="Q112" s="8">
        <f t="shared" si="10"/>
        <v>1.3866231647634577</v>
      </c>
      <c r="R112" s="8">
        <f t="shared" si="11"/>
        <v>1.3866231647634577</v>
      </c>
    </row>
    <row r="113" spans="1:18" x14ac:dyDescent="0.25">
      <c r="A113" s="7">
        <f t="shared" si="6"/>
        <v>23</v>
      </c>
      <c r="B113" s="2">
        <v>43082</v>
      </c>
      <c r="C113" s="3">
        <v>12.68</v>
      </c>
      <c r="D113" s="3">
        <v>12.68</v>
      </c>
      <c r="E113" s="3">
        <v>12.17</v>
      </c>
      <c r="F113" s="3">
        <v>12.34</v>
      </c>
      <c r="G113" s="3">
        <v>32510</v>
      </c>
      <c r="H113" s="8">
        <f t="shared" si="7"/>
        <v>1.3866231647634577</v>
      </c>
      <c r="I113">
        <f t="shared" si="8"/>
        <v>12.338000000000001</v>
      </c>
      <c r="J113" s="6" cm="1">
        <f t="array" ref="J113">_xlfn.STDEV.S(IF($A:$A=A113, $F:$F))</f>
        <v>6.0991802727907565E-2</v>
      </c>
      <c r="P113" s="8">
        <f t="shared" si="9"/>
        <v>1.3866231647634577</v>
      </c>
      <c r="Q113" s="8">
        <f t="shared" si="10"/>
        <v>1.3866231647634577</v>
      </c>
      <c r="R113" s="8">
        <f t="shared" si="11"/>
        <v>1.3866231647634577</v>
      </c>
    </row>
    <row r="114" spans="1:18" x14ac:dyDescent="0.25">
      <c r="A114" s="7">
        <f t="shared" si="6"/>
        <v>23</v>
      </c>
      <c r="B114" s="2">
        <v>43083</v>
      </c>
      <c r="C114" s="3">
        <v>12.34</v>
      </c>
      <c r="D114" s="3">
        <v>12.58</v>
      </c>
      <c r="E114" s="3">
        <v>12.32</v>
      </c>
      <c r="F114" s="3">
        <v>12.32</v>
      </c>
      <c r="G114" s="3">
        <v>17620</v>
      </c>
      <c r="H114" s="8">
        <f t="shared" si="7"/>
        <v>1.3866231647634577</v>
      </c>
      <c r="I114">
        <f t="shared" si="8"/>
        <v>12.338000000000001</v>
      </c>
      <c r="J114" s="6" cm="1">
        <f t="array" ref="J114">_xlfn.STDEV.S(IF($A:$A=A114, $F:$F))</f>
        <v>6.0991802727907565E-2</v>
      </c>
      <c r="P114" s="8">
        <f t="shared" si="9"/>
        <v>1.3866231647634577</v>
      </c>
      <c r="Q114" s="8">
        <f t="shared" si="10"/>
        <v>1.3866231647634577</v>
      </c>
      <c r="R114" s="8">
        <f t="shared" si="11"/>
        <v>1.3866231647634577</v>
      </c>
    </row>
    <row r="115" spans="1:18" x14ac:dyDescent="0.25">
      <c r="A115" s="7">
        <f t="shared" si="6"/>
        <v>23</v>
      </c>
      <c r="B115" s="2">
        <v>43084</v>
      </c>
      <c r="C115" s="3">
        <v>12.32</v>
      </c>
      <c r="D115" s="3">
        <v>12.34</v>
      </c>
      <c r="E115" s="3">
        <v>12.19</v>
      </c>
      <c r="F115" s="3">
        <v>12.34</v>
      </c>
      <c r="G115" s="3">
        <v>52930</v>
      </c>
      <c r="H115" s="8">
        <f t="shared" si="7"/>
        <v>1.3866231647634577</v>
      </c>
      <c r="I115">
        <f t="shared" si="8"/>
        <v>12.338000000000001</v>
      </c>
      <c r="J115" s="6" cm="1">
        <f t="array" ref="J115">_xlfn.STDEV.S(IF($A:$A=A115, $F:$F))</f>
        <v>6.0991802727907565E-2</v>
      </c>
      <c r="P115" s="8">
        <f t="shared" si="9"/>
        <v>1.3866231647634577</v>
      </c>
      <c r="Q115" s="8">
        <f t="shared" si="10"/>
        <v>1.3866231647634577</v>
      </c>
      <c r="R115" s="8">
        <f t="shared" si="11"/>
        <v>1.3866231647634577</v>
      </c>
    </row>
    <row r="116" spans="1:18" x14ac:dyDescent="0.25">
      <c r="A116" s="7">
        <f t="shared" si="6"/>
        <v>23</v>
      </c>
      <c r="B116" s="2">
        <v>43087</v>
      </c>
      <c r="C116" s="3">
        <v>12.51</v>
      </c>
      <c r="D116" s="3">
        <v>12.51</v>
      </c>
      <c r="E116" s="3">
        <v>12.34</v>
      </c>
      <c r="F116" s="3">
        <v>12.43</v>
      </c>
      <c r="G116" s="3">
        <v>40080</v>
      </c>
      <c r="H116" s="8">
        <f t="shared" si="7"/>
        <v>1.3866231647634577</v>
      </c>
      <c r="I116">
        <f t="shared" si="8"/>
        <v>12.338000000000001</v>
      </c>
      <c r="J116" s="6" cm="1">
        <f t="array" ref="J116">_xlfn.STDEV.S(IF($A:$A=A116, $F:$F))</f>
        <v>6.0991802727907565E-2</v>
      </c>
      <c r="P116" s="8">
        <f t="shared" si="9"/>
        <v>1.3866231647634577</v>
      </c>
      <c r="Q116" s="8">
        <f t="shared" si="10"/>
        <v>1.3866231647634577</v>
      </c>
      <c r="R116" s="8">
        <f t="shared" si="11"/>
        <v>1.3866231647634577</v>
      </c>
    </row>
    <row r="117" spans="1:18" x14ac:dyDescent="0.25">
      <c r="A117" s="7">
        <f t="shared" si="6"/>
        <v>24</v>
      </c>
      <c r="B117" s="2">
        <v>43088</v>
      </c>
      <c r="C117" s="3">
        <v>12.5</v>
      </c>
      <c r="D117" s="3">
        <v>12.84</v>
      </c>
      <c r="E117" s="3">
        <v>12.5</v>
      </c>
      <c r="F117" s="3">
        <v>12.84</v>
      </c>
      <c r="G117" s="3">
        <v>125620</v>
      </c>
      <c r="H117" s="8">
        <f t="shared" si="7"/>
        <v>-3.193146417445484</v>
      </c>
      <c r="I117">
        <f t="shared" si="8"/>
        <v>12.57</v>
      </c>
      <c r="J117" s="6" cm="1">
        <f t="array" ref="J117">_xlfn.STDEV.S(IF($A:$A=A117, $F:$F))</f>
        <v>0.15763882770434448</v>
      </c>
      <c r="P117" s="8">
        <f t="shared" si="9"/>
        <v>-3.193146417445484</v>
      </c>
      <c r="Q117" s="8">
        <f t="shared" si="10"/>
        <v>-3.193146417445484</v>
      </c>
      <c r="R117" s="8">
        <f t="shared" si="11"/>
        <v>-3.193146417445484</v>
      </c>
    </row>
    <row r="118" spans="1:18" x14ac:dyDescent="0.25">
      <c r="A118" s="7">
        <f t="shared" si="6"/>
        <v>24</v>
      </c>
      <c r="B118" s="2">
        <v>43089</v>
      </c>
      <c r="C118" s="3">
        <v>12.84</v>
      </c>
      <c r="D118" s="3">
        <v>12.84</v>
      </c>
      <c r="E118" s="3">
        <v>12.51</v>
      </c>
      <c r="F118" s="3">
        <v>12.53</v>
      </c>
      <c r="G118" s="3">
        <v>49470</v>
      </c>
      <c r="H118" s="8">
        <f t="shared" si="7"/>
        <v>-3.193146417445484</v>
      </c>
      <c r="I118">
        <f t="shared" si="8"/>
        <v>12.57</v>
      </c>
      <c r="J118" s="6" cm="1">
        <f t="array" ref="J118">_xlfn.STDEV.S(IF($A:$A=A118, $F:$F))</f>
        <v>0.15763882770434448</v>
      </c>
      <c r="P118" s="8">
        <f t="shared" si="9"/>
        <v>-3.193146417445484</v>
      </c>
      <c r="Q118" s="8">
        <f t="shared" si="10"/>
        <v>-3.193146417445484</v>
      </c>
      <c r="R118" s="8">
        <f t="shared" si="11"/>
        <v>-3.193146417445484</v>
      </c>
    </row>
    <row r="119" spans="1:18" x14ac:dyDescent="0.25">
      <c r="A119" s="7">
        <f t="shared" si="6"/>
        <v>24</v>
      </c>
      <c r="B119" s="2">
        <v>43090</v>
      </c>
      <c r="C119" s="3">
        <v>12.53</v>
      </c>
      <c r="D119" s="3">
        <v>12.75</v>
      </c>
      <c r="E119" s="3">
        <v>12.53</v>
      </c>
      <c r="F119" s="3">
        <v>12.55</v>
      </c>
      <c r="G119" s="3">
        <v>275070</v>
      </c>
      <c r="H119" s="8">
        <f t="shared" si="7"/>
        <v>-3.193146417445484</v>
      </c>
      <c r="I119">
        <f t="shared" si="8"/>
        <v>12.57</v>
      </c>
      <c r="J119" s="6" cm="1">
        <f t="array" ref="J119">_xlfn.STDEV.S(IF($A:$A=A119, $F:$F))</f>
        <v>0.15763882770434448</v>
      </c>
      <c r="P119" s="8">
        <f t="shared" si="9"/>
        <v>-3.193146417445484</v>
      </c>
      <c r="Q119" s="8">
        <f t="shared" si="10"/>
        <v>-3.193146417445484</v>
      </c>
      <c r="R119" s="8">
        <f t="shared" si="11"/>
        <v>-3.193146417445484</v>
      </c>
    </row>
    <row r="120" spans="1:18" x14ac:dyDescent="0.25">
      <c r="A120" s="7">
        <f t="shared" si="6"/>
        <v>24</v>
      </c>
      <c r="B120" s="2">
        <v>43091</v>
      </c>
      <c r="C120" s="3">
        <v>12.55</v>
      </c>
      <c r="D120" s="3">
        <v>12.55</v>
      </c>
      <c r="E120" s="3">
        <v>12.34</v>
      </c>
      <c r="F120" s="3">
        <v>12.5</v>
      </c>
      <c r="G120" s="3">
        <v>78640</v>
      </c>
      <c r="H120" s="8">
        <f t="shared" si="7"/>
        <v>-3.193146417445484</v>
      </c>
      <c r="I120">
        <f t="shared" si="8"/>
        <v>12.57</v>
      </c>
      <c r="J120" s="6" cm="1">
        <f t="array" ref="J120">_xlfn.STDEV.S(IF($A:$A=A120, $F:$F))</f>
        <v>0.15763882770434448</v>
      </c>
      <c r="P120" s="8">
        <f t="shared" si="9"/>
        <v>-3.193146417445484</v>
      </c>
      <c r="Q120" s="8">
        <f t="shared" si="10"/>
        <v>-3.193146417445484</v>
      </c>
      <c r="R120" s="8">
        <f t="shared" si="11"/>
        <v>-3.193146417445484</v>
      </c>
    </row>
    <row r="121" spans="1:18" x14ac:dyDescent="0.25">
      <c r="A121" s="7">
        <f t="shared" si="6"/>
        <v>24</v>
      </c>
      <c r="B121" s="2">
        <v>43094</v>
      </c>
      <c r="C121" s="3">
        <v>12.86</v>
      </c>
      <c r="D121" s="3">
        <v>12.86</v>
      </c>
      <c r="E121" s="3">
        <v>12.36</v>
      </c>
      <c r="F121" s="3">
        <v>12.43</v>
      </c>
      <c r="G121" s="3">
        <v>4060</v>
      </c>
      <c r="H121" s="8">
        <f t="shared" si="7"/>
        <v>-3.193146417445484</v>
      </c>
      <c r="I121">
        <f t="shared" si="8"/>
        <v>12.57</v>
      </c>
      <c r="J121" s="6" cm="1">
        <f t="array" ref="J121">_xlfn.STDEV.S(IF($A:$A=A121, $F:$F))</f>
        <v>0.15763882770434448</v>
      </c>
      <c r="P121" s="8">
        <f t="shared" si="9"/>
        <v>-3.193146417445484</v>
      </c>
      <c r="Q121" s="8">
        <f t="shared" si="10"/>
        <v>-3.193146417445484</v>
      </c>
      <c r="R121" s="8">
        <f t="shared" si="11"/>
        <v>-3.193146417445484</v>
      </c>
    </row>
    <row r="122" spans="1:18" x14ac:dyDescent="0.25">
      <c r="A122" s="7">
        <f t="shared" si="6"/>
        <v>25</v>
      </c>
      <c r="B122" s="2">
        <v>43095</v>
      </c>
      <c r="C122" s="3">
        <v>12.43</v>
      </c>
      <c r="D122" s="3">
        <v>12.58</v>
      </c>
      <c r="E122" s="3">
        <v>12.43</v>
      </c>
      <c r="F122" s="3">
        <v>12.44</v>
      </c>
      <c r="G122" s="3">
        <v>8990</v>
      </c>
      <c r="H122" s="8">
        <f t="shared" si="7"/>
        <v>11.093247588424445</v>
      </c>
      <c r="I122">
        <f t="shared" si="8"/>
        <v>12.972</v>
      </c>
      <c r="J122" s="6" cm="1">
        <f t="array" ref="J122">_xlfn.STDEV.S(IF($A:$A=A122, $F:$F))</f>
        <v>0.5978879493684417</v>
      </c>
      <c r="P122" s="8">
        <f t="shared" si="9"/>
        <v>11.093247588424445</v>
      </c>
      <c r="Q122" s="8">
        <f t="shared" si="10"/>
        <v>11.093247588424445</v>
      </c>
      <c r="R122" s="10">
        <f t="shared" si="11"/>
        <v>11.093247588424445</v>
      </c>
    </row>
    <row r="123" spans="1:18" x14ac:dyDescent="0.25">
      <c r="A123" s="7">
        <f t="shared" si="6"/>
        <v>25</v>
      </c>
      <c r="B123" s="2">
        <v>43096</v>
      </c>
      <c r="C123" s="3">
        <v>12.44</v>
      </c>
      <c r="D123" s="3">
        <v>12.63</v>
      </c>
      <c r="E123" s="3">
        <v>12.44</v>
      </c>
      <c r="F123" s="3">
        <v>12.53</v>
      </c>
      <c r="G123" s="3">
        <v>52490</v>
      </c>
      <c r="H123" s="8">
        <f t="shared" si="7"/>
        <v>11.093247588424445</v>
      </c>
      <c r="I123">
        <f t="shared" si="8"/>
        <v>12.972</v>
      </c>
      <c r="J123" s="6" cm="1">
        <f t="array" ref="J123">_xlfn.STDEV.S(IF($A:$A=A123, $F:$F))</f>
        <v>0.5978879493684417</v>
      </c>
      <c r="P123" s="8">
        <f t="shared" si="9"/>
        <v>11.093247588424445</v>
      </c>
      <c r="Q123" s="8">
        <f t="shared" si="10"/>
        <v>11.093247588424445</v>
      </c>
      <c r="R123" s="10">
        <f t="shared" si="11"/>
        <v>11.093247588424445</v>
      </c>
    </row>
    <row r="124" spans="1:18" x14ac:dyDescent="0.25">
      <c r="A124" s="7">
        <f t="shared" si="6"/>
        <v>25</v>
      </c>
      <c r="B124" s="2">
        <v>43097</v>
      </c>
      <c r="C124" s="3">
        <v>12.68</v>
      </c>
      <c r="D124" s="3">
        <v>12.77</v>
      </c>
      <c r="E124" s="3">
        <v>12.6</v>
      </c>
      <c r="F124" s="3">
        <v>12.7</v>
      </c>
      <c r="G124" s="3">
        <v>42870</v>
      </c>
      <c r="H124" s="8">
        <f t="shared" si="7"/>
        <v>11.093247588424445</v>
      </c>
      <c r="I124">
        <f t="shared" si="8"/>
        <v>12.972</v>
      </c>
      <c r="J124" s="6" cm="1">
        <f t="array" ref="J124">_xlfn.STDEV.S(IF($A:$A=A124, $F:$F))</f>
        <v>0.5978879493684417</v>
      </c>
      <c r="P124" s="8">
        <f t="shared" si="9"/>
        <v>11.093247588424445</v>
      </c>
      <c r="Q124" s="8">
        <f t="shared" si="10"/>
        <v>11.093247588424445</v>
      </c>
      <c r="R124" s="10">
        <f t="shared" si="11"/>
        <v>11.093247588424445</v>
      </c>
    </row>
    <row r="125" spans="1:18" x14ac:dyDescent="0.25">
      <c r="A125" s="7">
        <f t="shared" si="6"/>
        <v>25</v>
      </c>
      <c r="B125" s="2">
        <v>43098</v>
      </c>
      <c r="C125" s="3">
        <v>12.77</v>
      </c>
      <c r="D125" s="3">
        <v>13.37</v>
      </c>
      <c r="E125" s="3">
        <v>12.7</v>
      </c>
      <c r="F125" s="3">
        <v>13.37</v>
      </c>
      <c r="G125" s="3">
        <v>130800</v>
      </c>
      <c r="H125" s="8">
        <f t="shared" si="7"/>
        <v>11.093247588424445</v>
      </c>
      <c r="I125">
        <f t="shared" si="8"/>
        <v>12.972</v>
      </c>
      <c r="J125" s="6" cm="1">
        <f t="array" ref="J125">_xlfn.STDEV.S(IF($A:$A=A125, $F:$F))</f>
        <v>0.5978879493684417</v>
      </c>
      <c r="P125" s="8">
        <f t="shared" si="9"/>
        <v>11.093247588424445</v>
      </c>
      <c r="Q125" s="8">
        <f t="shared" si="10"/>
        <v>11.093247588424445</v>
      </c>
      <c r="R125" s="10">
        <f t="shared" si="11"/>
        <v>11.093247588424445</v>
      </c>
    </row>
    <row r="126" spans="1:18" x14ac:dyDescent="0.25">
      <c r="A126" s="7">
        <f t="shared" si="6"/>
        <v>25</v>
      </c>
      <c r="B126" s="2">
        <v>43102</v>
      </c>
      <c r="C126" s="3">
        <v>13.37</v>
      </c>
      <c r="D126" s="3">
        <v>14.06</v>
      </c>
      <c r="E126" s="3">
        <v>13.37</v>
      </c>
      <c r="F126" s="3">
        <v>13.82</v>
      </c>
      <c r="G126" s="3">
        <v>68220</v>
      </c>
      <c r="H126" s="8">
        <f t="shared" si="7"/>
        <v>11.093247588424445</v>
      </c>
      <c r="I126">
        <f t="shared" si="8"/>
        <v>12.972</v>
      </c>
      <c r="J126" s="6" cm="1">
        <f t="array" ref="J126">_xlfn.STDEV.S(IF($A:$A=A126, $F:$F))</f>
        <v>0.5978879493684417</v>
      </c>
      <c r="P126" s="8">
        <f t="shared" si="9"/>
        <v>11.093247588424445</v>
      </c>
      <c r="Q126" s="8">
        <f t="shared" si="10"/>
        <v>11.093247588424445</v>
      </c>
      <c r="R126" s="10">
        <f t="shared" si="11"/>
        <v>11.093247588424445</v>
      </c>
    </row>
    <row r="127" spans="1:18" x14ac:dyDescent="0.25">
      <c r="A127" s="7">
        <f t="shared" si="6"/>
        <v>26</v>
      </c>
      <c r="B127" s="2">
        <v>43103</v>
      </c>
      <c r="C127" s="3">
        <v>14.23</v>
      </c>
      <c r="D127" s="3">
        <v>14.26</v>
      </c>
      <c r="E127" s="3">
        <v>13.88</v>
      </c>
      <c r="F127" s="3">
        <v>14.23</v>
      </c>
      <c r="G127" s="3">
        <v>90850</v>
      </c>
      <c r="H127" s="8">
        <f t="shared" si="7"/>
        <v>0</v>
      </c>
      <c r="I127">
        <f t="shared" si="8"/>
        <v>14.35</v>
      </c>
      <c r="J127" s="6" cm="1">
        <f t="array" ref="J127">_xlfn.STDEV.S(IF($A:$A=A127, $F:$F))</f>
        <v>0.15313392831113573</v>
      </c>
      <c r="P127" s="8">
        <f t="shared" si="9"/>
        <v>0</v>
      </c>
      <c r="Q127" s="8">
        <f t="shared" si="10"/>
        <v>0</v>
      </c>
      <c r="R127" s="8">
        <f t="shared" si="11"/>
        <v>0</v>
      </c>
    </row>
    <row r="128" spans="1:18" x14ac:dyDescent="0.25">
      <c r="A128" s="7">
        <f t="shared" si="6"/>
        <v>26</v>
      </c>
      <c r="B128" s="2">
        <v>43104</v>
      </c>
      <c r="C128" s="3">
        <v>14.23</v>
      </c>
      <c r="D128" s="3">
        <v>14.57</v>
      </c>
      <c r="E128" s="3">
        <v>14.23</v>
      </c>
      <c r="F128" s="3">
        <v>14.55</v>
      </c>
      <c r="G128" s="3">
        <v>89260</v>
      </c>
      <c r="H128" s="8">
        <f t="shared" si="7"/>
        <v>0</v>
      </c>
      <c r="I128">
        <f t="shared" si="8"/>
        <v>14.35</v>
      </c>
      <c r="J128" s="6" cm="1">
        <f t="array" ref="J128">_xlfn.STDEV.S(IF($A:$A=A128, $F:$F))</f>
        <v>0.15313392831113573</v>
      </c>
      <c r="P128" s="8">
        <f t="shared" si="9"/>
        <v>0</v>
      </c>
      <c r="Q128" s="8">
        <f t="shared" si="10"/>
        <v>0</v>
      </c>
      <c r="R128" s="8">
        <f t="shared" si="11"/>
        <v>0</v>
      </c>
    </row>
    <row r="129" spans="1:18" x14ac:dyDescent="0.25">
      <c r="A129" s="7">
        <f t="shared" si="6"/>
        <v>26</v>
      </c>
      <c r="B129" s="2">
        <v>43105</v>
      </c>
      <c r="C129" s="3">
        <v>14.4</v>
      </c>
      <c r="D129" s="3">
        <v>14.4</v>
      </c>
      <c r="E129" s="3">
        <v>14.23</v>
      </c>
      <c r="F129" s="3">
        <v>14.26</v>
      </c>
      <c r="G129" s="3">
        <v>18410</v>
      </c>
      <c r="H129" s="8">
        <f t="shared" si="7"/>
        <v>0</v>
      </c>
      <c r="I129">
        <f t="shared" si="8"/>
        <v>14.35</v>
      </c>
      <c r="J129" s="6" cm="1">
        <f t="array" ref="J129">_xlfn.STDEV.S(IF($A:$A=A129, $F:$F))</f>
        <v>0.15313392831113573</v>
      </c>
      <c r="P129" s="8">
        <f t="shared" si="9"/>
        <v>0</v>
      </c>
      <c r="Q129" s="8">
        <f t="shared" si="10"/>
        <v>0</v>
      </c>
      <c r="R129" s="8">
        <f t="shared" si="11"/>
        <v>0</v>
      </c>
    </row>
    <row r="130" spans="1:18" x14ac:dyDescent="0.25">
      <c r="A130" s="7">
        <f t="shared" si="6"/>
        <v>26</v>
      </c>
      <c r="B130" s="2">
        <v>43108</v>
      </c>
      <c r="C130" s="3">
        <v>14.24</v>
      </c>
      <c r="D130" s="3">
        <v>14.57</v>
      </c>
      <c r="E130" s="3">
        <v>14.06</v>
      </c>
      <c r="F130" s="3">
        <v>14.48</v>
      </c>
      <c r="G130" s="3">
        <v>70280</v>
      </c>
      <c r="H130" s="8">
        <f t="shared" si="7"/>
        <v>0</v>
      </c>
      <c r="I130">
        <f t="shared" si="8"/>
        <v>14.35</v>
      </c>
      <c r="J130" s="6" cm="1">
        <f t="array" ref="J130">_xlfn.STDEV.S(IF($A:$A=A130, $F:$F))</f>
        <v>0.15313392831113573</v>
      </c>
      <c r="P130" s="8">
        <f t="shared" si="9"/>
        <v>0</v>
      </c>
      <c r="Q130" s="8">
        <f t="shared" si="10"/>
        <v>0</v>
      </c>
      <c r="R130" s="8">
        <f t="shared" si="11"/>
        <v>0</v>
      </c>
    </row>
    <row r="131" spans="1:18" x14ac:dyDescent="0.25">
      <c r="A131" s="7">
        <f t="shared" ref="A131:A194" si="12">INT((ROW(A131)-ROW($A$2))/5) + 1</f>
        <v>26</v>
      </c>
      <c r="B131" s="2">
        <v>43109</v>
      </c>
      <c r="C131" s="3">
        <v>14.54</v>
      </c>
      <c r="D131" s="3">
        <v>14.54</v>
      </c>
      <c r="E131" s="3">
        <v>14.23</v>
      </c>
      <c r="F131" s="3">
        <v>14.23</v>
      </c>
      <c r="G131" s="3">
        <v>62300</v>
      </c>
      <c r="H131" s="8">
        <f t="shared" ref="H131:H194" si="13">IF(A131=A130, H130, (F135-F131)/F131*100)</f>
        <v>0</v>
      </c>
      <c r="I131">
        <f t="shared" ref="I131:I194" si="14">AVERAGEIF($A:$A, A131, $F:$F)</f>
        <v>14.35</v>
      </c>
      <c r="J131" s="6" cm="1">
        <f t="array" ref="J131">_xlfn.STDEV.S(IF($A:$A=A131, $F:$F))</f>
        <v>0.15313392831113573</v>
      </c>
      <c r="P131" s="8">
        <f t="shared" ref="P131:P194" si="15">IF(A131=A130,P130,(F135-F131)/F131*100)</f>
        <v>0</v>
      </c>
      <c r="Q131" s="8">
        <f t="shared" ref="Q131:Q194" si="16">IF(A131=A130,Q130,(F135-F131)/F131*100)</f>
        <v>0</v>
      </c>
      <c r="R131" s="8">
        <f t="shared" ref="R131:R194" si="17">IF(A131=A130,R130,(F135-F131)/F131*100)</f>
        <v>0</v>
      </c>
    </row>
    <row r="132" spans="1:18" x14ac:dyDescent="0.25">
      <c r="A132" s="7">
        <f t="shared" si="12"/>
        <v>27</v>
      </c>
      <c r="B132" s="2">
        <v>43110</v>
      </c>
      <c r="C132" s="3">
        <v>14.07</v>
      </c>
      <c r="D132" s="3">
        <v>14.23</v>
      </c>
      <c r="E132" s="3">
        <v>13.71</v>
      </c>
      <c r="F132" s="3">
        <v>13.97</v>
      </c>
      <c r="G132" s="3">
        <v>37420</v>
      </c>
      <c r="H132" s="8">
        <f t="shared" si="13"/>
        <v>0.64423765211166673</v>
      </c>
      <c r="I132">
        <f t="shared" si="14"/>
        <v>13.898</v>
      </c>
      <c r="J132" s="6" cm="1">
        <f t="array" ref="J132">_xlfn.STDEV.S(IF($A:$A=A132, $F:$F))</f>
        <v>0.24087341073684393</v>
      </c>
      <c r="P132" s="8">
        <f t="shared" si="15"/>
        <v>0.64423765211166673</v>
      </c>
      <c r="Q132" s="8">
        <f t="shared" si="16"/>
        <v>0.64423765211166673</v>
      </c>
      <c r="R132" s="8">
        <f t="shared" si="17"/>
        <v>0.64423765211166673</v>
      </c>
    </row>
    <row r="133" spans="1:18" x14ac:dyDescent="0.25">
      <c r="A133" s="7">
        <f t="shared" si="12"/>
        <v>27</v>
      </c>
      <c r="B133" s="2">
        <v>43111</v>
      </c>
      <c r="C133" s="3">
        <v>13.88</v>
      </c>
      <c r="D133" s="3">
        <v>13.97</v>
      </c>
      <c r="E133" s="3">
        <v>13.68</v>
      </c>
      <c r="F133" s="3">
        <v>13.78</v>
      </c>
      <c r="G133" s="3">
        <v>44770</v>
      </c>
      <c r="H133" s="8">
        <f t="shared" si="13"/>
        <v>0.64423765211166673</v>
      </c>
      <c r="I133">
        <f t="shared" si="14"/>
        <v>13.898</v>
      </c>
      <c r="J133" s="6" cm="1">
        <f t="array" ref="J133">_xlfn.STDEV.S(IF($A:$A=A133, $F:$F))</f>
        <v>0.24087341073684393</v>
      </c>
      <c r="P133" s="8">
        <f t="shared" si="15"/>
        <v>0.64423765211166673</v>
      </c>
      <c r="Q133" s="8">
        <f t="shared" si="16"/>
        <v>0.64423765211166673</v>
      </c>
      <c r="R133" s="8">
        <f t="shared" si="17"/>
        <v>0.64423765211166673</v>
      </c>
    </row>
    <row r="134" spans="1:18" x14ac:dyDescent="0.25">
      <c r="A134" s="7">
        <f t="shared" si="12"/>
        <v>27</v>
      </c>
      <c r="B134" s="2">
        <v>43112</v>
      </c>
      <c r="C134" s="3">
        <v>13.71</v>
      </c>
      <c r="D134" s="3">
        <v>14.06</v>
      </c>
      <c r="E134" s="3">
        <v>13.54</v>
      </c>
      <c r="F134" s="3">
        <v>13.54</v>
      </c>
      <c r="G134" s="3">
        <v>23320</v>
      </c>
      <c r="H134" s="8">
        <f t="shared" si="13"/>
        <v>0.64423765211166673</v>
      </c>
      <c r="I134">
        <f t="shared" si="14"/>
        <v>13.898</v>
      </c>
      <c r="J134" s="6" cm="1">
        <f t="array" ref="J134">_xlfn.STDEV.S(IF($A:$A=A134, $F:$F))</f>
        <v>0.24087341073684393</v>
      </c>
      <c r="P134" s="8">
        <f t="shared" si="15"/>
        <v>0.64423765211166673</v>
      </c>
      <c r="Q134" s="8">
        <f t="shared" si="16"/>
        <v>0.64423765211166673</v>
      </c>
      <c r="R134" s="8">
        <f t="shared" si="17"/>
        <v>0.64423765211166673</v>
      </c>
    </row>
    <row r="135" spans="1:18" x14ac:dyDescent="0.25">
      <c r="A135" s="7">
        <f t="shared" si="12"/>
        <v>27</v>
      </c>
      <c r="B135" s="2">
        <v>43115</v>
      </c>
      <c r="C135" s="3">
        <v>13.54</v>
      </c>
      <c r="D135" s="3">
        <v>14.14</v>
      </c>
      <c r="E135" s="3">
        <v>13.37</v>
      </c>
      <c r="F135" s="3">
        <v>14.14</v>
      </c>
      <c r="G135" s="3">
        <v>37820</v>
      </c>
      <c r="H135" s="8">
        <f t="shared" si="13"/>
        <v>0.64423765211166673</v>
      </c>
      <c r="I135">
        <f t="shared" si="14"/>
        <v>13.898</v>
      </c>
      <c r="J135" s="6" cm="1">
        <f t="array" ref="J135">_xlfn.STDEV.S(IF($A:$A=A135, $F:$F))</f>
        <v>0.24087341073684393</v>
      </c>
      <c r="P135" s="8">
        <f t="shared" si="15"/>
        <v>0.64423765211166673</v>
      </c>
      <c r="Q135" s="8">
        <f t="shared" si="16"/>
        <v>0.64423765211166673</v>
      </c>
      <c r="R135" s="8">
        <f t="shared" si="17"/>
        <v>0.64423765211166673</v>
      </c>
    </row>
    <row r="136" spans="1:18" x14ac:dyDescent="0.25">
      <c r="A136" s="7">
        <f t="shared" si="12"/>
        <v>27</v>
      </c>
      <c r="B136" s="2">
        <v>43116</v>
      </c>
      <c r="C136" s="3">
        <v>13.88</v>
      </c>
      <c r="D136" s="3">
        <v>14.06</v>
      </c>
      <c r="E136" s="3">
        <v>13.73</v>
      </c>
      <c r="F136" s="3">
        <v>14.06</v>
      </c>
      <c r="G136" s="3">
        <v>7170</v>
      </c>
      <c r="H136" s="8">
        <f t="shared" si="13"/>
        <v>0.64423765211166673</v>
      </c>
      <c r="I136">
        <f t="shared" si="14"/>
        <v>13.898</v>
      </c>
      <c r="J136" s="6" cm="1">
        <f t="array" ref="J136">_xlfn.STDEV.S(IF($A:$A=A136, $F:$F))</f>
        <v>0.24087341073684393</v>
      </c>
      <c r="P136" s="8">
        <f t="shared" si="15"/>
        <v>0.64423765211166673</v>
      </c>
      <c r="Q136" s="8">
        <f t="shared" si="16"/>
        <v>0.64423765211166673</v>
      </c>
      <c r="R136" s="8">
        <f t="shared" si="17"/>
        <v>0.64423765211166673</v>
      </c>
    </row>
    <row r="137" spans="1:18" x14ac:dyDescent="0.25">
      <c r="A137" s="7">
        <f t="shared" si="12"/>
        <v>28</v>
      </c>
      <c r="B137" s="2">
        <v>43117</v>
      </c>
      <c r="C137" s="3">
        <v>13.64</v>
      </c>
      <c r="D137" s="3">
        <v>14.14</v>
      </c>
      <c r="E137" s="3">
        <v>13.64</v>
      </c>
      <c r="F137" s="3">
        <v>13.68</v>
      </c>
      <c r="G137" s="3">
        <v>7450</v>
      </c>
      <c r="H137" s="8">
        <f t="shared" si="13"/>
        <v>3.728070175438595</v>
      </c>
      <c r="I137">
        <f t="shared" si="14"/>
        <v>13.934000000000001</v>
      </c>
      <c r="J137" s="6" cm="1">
        <f t="array" ref="J137">_xlfn.STDEV.S(IF($A:$A=A137, $F:$F))</f>
        <v>0.24845522735494982</v>
      </c>
      <c r="P137" s="8">
        <f t="shared" si="15"/>
        <v>3.728070175438595</v>
      </c>
      <c r="Q137" s="8">
        <f t="shared" si="16"/>
        <v>3.728070175438595</v>
      </c>
      <c r="R137" s="8">
        <f t="shared" si="17"/>
        <v>3.728070175438595</v>
      </c>
    </row>
    <row r="138" spans="1:18" x14ac:dyDescent="0.25">
      <c r="A138" s="7">
        <f t="shared" si="12"/>
        <v>28</v>
      </c>
      <c r="B138" s="2">
        <v>43118</v>
      </c>
      <c r="C138" s="3">
        <v>13.46</v>
      </c>
      <c r="D138" s="3">
        <v>13.71</v>
      </c>
      <c r="E138" s="3">
        <v>13.46</v>
      </c>
      <c r="F138" s="3">
        <v>13.71</v>
      </c>
      <c r="G138" s="3">
        <v>57370</v>
      </c>
      <c r="H138" s="8">
        <f t="shared" si="13"/>
        <v>3.728070175438595</v>
      </c>
      <c r="I138">
        <f t="shared" si="14"/>
        <v>13.934000000000001</v>
      </c>
      <c r="J138" s="6" cm="1">
        <f t="array" ref="J138">_xlfn.STDEV.S(IF($A:$A=A138, $F:$F))</f>
        <v>0.24845522735494982</v>
      </c>
      <c r="P138" s="8">
        <f t="shared" si="15"/>
        <v>3.728070175438595</v>
      </c>
      <c r="Q138" s="8">
        <f t="shared" si="16"/>
        <v>3.728070175438595</v>
      </c>
      <c r="R138" s="8">
        <f t="shared" si="17"/>
        <v>3.728070175438595</v>
      </c>
    </row>
    <row r="139" spans="1:18" x14ac:dyDescent="0.25">
      <c r="A139" s="7">
        <f t="shared" si="12"/>
        <v>28</v>
      </c>
      <c r="B139" s="2">
        <v>43119</v>
      </c>
      <c r="C139" s="3">
        <v>14.12</v>
      </c>
      <c r="D139" s="3">
        <v>14.23</v>
      </c>
      <c r="E139" s="3">
        <v>13.54</v>
      </c>
      <c r="F139" s="3">
        <v>13.9</v>
      </c>
      <c r="G139" s="3">
        <v>119870</v>
      </c>
      <c r="H139" s="8">
        <f t="shared" si="13"/>
        <v>3.728070175438595</v>
      </c>
      <c r="I139">
        <f t="shared" si="14"/>
        <v>13.934000000000001</v>
      </c>
      <c r="J139" s="6" cm="1">
        <f t="array" ref="J139">_xlfn.STDEV.S(IF($A:$A=A139, $F:$F))</f>
        <v>0.24845522735494982</v>
      </c>
      <c r="P139" s="8">
        <f t="shared" si="15"/>
        <v>3.728070175438595</v>
      </c>
      <c r="Q139" s="8">
        <f t="shared" si="16"/>
        <v>3.728070175438595</v>
      </c>
      <c r="R139" s="8">
        <f t="shared" si="17"/>
        <v>3.728070175438595</v>
      </c>
    </row>
    <row r="140" spans="1:18" x14ac:dyDescent="0.25">
      <c r="A140" s="7">
        <f t="shared" si="12"/>
        <v>28</v>
      </c>
      <c r="B140" s="2">
        <v>43122</v>
      </c>
      <c r="C140" s="3">
        <v>13.92</v>
      </c>
      <c r="D140" s="3">
        <v>14.31</v>
      </c>
      <c r="E140" s="3">
        <v>13.9</v>
      </c>
      <c r="F140" s="3">
        <v>14.19</v>
      </c>
      <c r="G140" s="3">
        <v>139000</v>
      </c>
      <c r="H140" s="8">
        <f t="shared" si="13"/>
        <v>3.728070175438595</v>
      </c>
      <c r="I140">
        <f t="shared" si="14"/>
        <v>13.934000000000001</v>
      </c>
      <c r="J140" s="6" cm="1">
        <f t="array" ref="J140">_xlfn.STDEV.S(IF($A:$A=A140, $F:$F))</f>
        <v>0.24845522735494982</v>
      </c>
      <c r="P140" s="8">
        <f t="shared" si="15"/>
        <v>3.728070175438595</v>
      </c>
      <c r="Q140" s="8">
        <f t="shared" si="16"/>
        <v>3.728070175438595</v>
      </c>
      <c r="R140" s="8">
        <f t="shared" si="17"/>
        <v>3.728070175438595</v>
      </c>
    </row>
    <row r="141" spans="1:18" x14ac:dyDescent="0.25">
      <c r="A141" s="7">
        <f t="shared" si="12"/>
        <v>28</v>
      </c>
      <c r="B141" s="2">
        <v>43123</v>
      </c>
      <c r="C141" s="3">
        <v>14.19</v>
      </c>
      <c r="D141" s="3">
        <v>14.19</v>
      </c>
      <c r="E141" s="3">
        <v>14.19</v>
      </c>
      <c r="F141" s="3">
        <v>14.19</v>
      </c>
      <c r="G141" s="3">
        <v>0</v>
      </c>
      <c r="H141" s="8">
        <f t="shared" si="13"/>
        <v>3.728070175438595</v>
      </c>
      <c r="I141">
        <f t="shared" si="14"/>
        <v>13.934000000000001</v>
      </c>
      <c r="J141" s="6" cm="1">
        <f t="array" ref="J141">_xlfn.STDEV.S(IF($A:$A=A141, $F:$F))</f>
        <v>0.24845522735494982</v>
      </c>
      <c r="P141" s="8">
        <f t="shared" si="15"/>
        <v>3.728070175438595</v>
      </c>
      <c r="Q141" s="8">
        <f t="shared" si="16"/>
        <v>3.728070175438595</v>
      </c>
      <c r="R141" s="8">
        <f t="shared" si="17"/>
        <v>3.728070175438595</v>
      </c>
    </row>
    <row r="142" spans="1:18" x14ac:dyDescent="0.25">
      <c r="A142" s="7">
        <f t="shared" si="12"/>
        <v>29</v>
      </c>
      <c r="B142" s="2">
        <v>43124</v>
      </c>
      <c r="C142" s="3">
        <v>14.19</v>
      </c>
      <c r="D142" s="3">
        <v>14.19</v>
      </c>
      <c r="E142" s="3">
        <v>14.19</v>
      </c>
      <c r="F142" s="3">
        <v>14.19</v>
      </c>
      <c r="G142" s="3">
        <v>0</v>
      </c>
      <c r="H142" s="8">
        <f t="shared" si="13"/>
        <v>8.7385482734319968</v>
      </c>
      <c r="I142">
        <f t="shared" si="14"/>
        <v>14.892000000000001</v>
      </c>
      <c r="J142" s="6" cm="1">
        <f t="array" ref="J142">_xlfn.STDEV.S(IF($A:$A=A142, $F:$F))</f>
        <v>0.47488946082220013</v>
      </c>
      <c r="P142" s="8">
        <f t="shared" si="15"/>
        <v>8.7385482734319968</v>
      </c>
      <c r="Q142" s="8">
        <f t="shared" si="16"/>
        <v>8.7385482734319968</v>
      </c>
      <c r="R142" s="8">
        <f t="shared" si="17"/>
        <v>8.7385482734319968</v>
      </c>
    </row>
    <row r="143" spans="1:18" x14ac:dyDescent="0.25">
      <c r="A143" s="7">
        <f t="shared" si="12"/>
        <v>29</v>
      </c>
      <c r="B143" s="2">
        <v>43125</v>
      </c>
      <c r="C143" s="3">
        <v>14.57</v>
      </c>
      <c r="D143" s="3">
        <v>14.74</v>
      </c>
      <c r="E143" s="3">
        <v>14.48</v>
      </c>
      <c r="F143" s="3">
        <v>14.72</v>
      </c>
      <c r="G143" s="3">
        <v>236670</v>
      </c>
      <c r="H143" s="8">
        <f t="shared" si="13"/>
        <v>8.7385482734319968</v>
      </c>
      <c r="I143">
        <f t="shared" si="14"/>
        <v>14.892000000000001</v>
      </c>
      <c r="J143" s="6" cm="1">
        <f t="array" ref="J143">_xlfn.STDEV.S(IF($A:$A=A143, $F:$F))</f>
        <v>0.47488946082220013</v>
      </c>
      <c r="P143" s="8">
        <f t="shared" si="15"/>
        <v>8.7385482734319968</v>
      </c>
      <c r="Q143" s="8">
        <f t="shared" si="16"/>
        <v>8.7385482734319968</v>
      </c>
      <c r="R143" s="8">
        <f t="shared" si="17"/>
        <v>8.7385482734319968</v>
      </c>
    </row>
    <row r="144" spans="1:18" x14ac:dyDescent="0.25">
      <c r="A144" s="7">
        <f t="shared" si="12"/>
        <v>29</v>
      </c>
      <c r="B144" s="2">
        <v>43126</v>
      </c>
      <c r="C144" s="3">
        <v>14.74</v>
      </c>
      <c r="D144" s="3">
        <v>15.26</v>
      </c>
      <c r="E144" s="3">
        <v>14.57</v>
      </c>
      <c r="F144" s="3">
        <v>14.93</v>
      </c>
      <c r="G144" s="3">
        <v>145910</v>
      </c>
      <c r="H144" s="8">
        <f t="shared" si="13"/>
        <v>8.7385482734319968</v>
      </c>
      <c r="I144">
        <f t="shared" si="14"/>
        <v>14.892000000000001</v>
      </c>
      <c r="J144" s="6" cm="1">
        <f t="array" ref="J144">_xlfn.STDEV.S(IF($A:$A=A144, $F:$F))</f>
        <v>0.47488946082220013</v>
      </c>
      <c r="P144" s="8">
        <f t="shared" si="15"/>
        <v>8.7385482734319968</v>
      </c>
      <c r="Q144" s="8">
        <f t="shared" si="16"/>
        <v>8.7385482734319968</v>
      </c>
      <c r="R144" s="8">
        <f t="shared" si="17"/>
        <v>8.7385482734319968</v>
      </c>
    </row>
    <row r="145" spans="1:18" x14ac:dyDescent="0.25">
      <c r="A145" s="7">
        <f t="shared" si="12"/>
        <v>29</v>
      </c>
      <c r="B145" s="2">
        <v>43129</v>
      </c>
      <c r="C145" s="3">
        <v>15.34</v>
      </c>
      <c r="D145" s="3">
        <v>15.44</v>
      </c>
      <c r="E145" s="3">
        <v>15.08</v>
      </c>
      <c r="F145" s="3">
        <v>15.19</v>
      </c>
      <c r="G145" s="3">
        <v>117340</v>
      </c>
      <c r="H145" s="8">
        <f t="shared" si="13"/>
        <v>8.7385482734319968</v>
      </c>
      <c r="I145">
        <f t="shared" si="14"/>
        <v>14.892000000000001</v>
      </c>
      <c r="J145" s="6" cm="1">
        <f t="array" ref="J145">_xlfn.STDEV.S(IF($A:$A=A145, $F:$F))</f>
        <v>0.47488946082220013</v>
      </c>
      <c r="P145" s="8">
        <f t="shared" si="15"/>
        <v>8.7385482734319968</v>
      </c>
      <c r="Q145" s="8">
        <f t="shared" si="16"/>
        <v>8.7385482734319968</v>
      </c>
      <c r="R145" s="8">
        <f t="shared" si="17"/>
        <v>8.7385482734319968</v>
      </c>
    </row>
    <row r="146" spans="1:18" x14ac:dyDescent="0.25">
      <c r="A146" s="7">
        <f t="shared" si="12"/>
        <v>29</v>
      </c>
      <c r="B146" s="2">
        <v>43130</v>
      </c>
      <c r="C146" s="3">
        <v>15.19</v>
      </c>
      <c r="D146" s="3">
        <v>15.43</v>
      </c>
      <c r="E146" s="3">
        <v>15.14</v>
      </c>
      <c r="F146" s="3">
        <v>15.43</v>
      </c>
      <c r="G146" s="3">
        <v>141700</v>
      </c>
      <c r="H146" s="8">
        <f t="shared" si="13"/>
        <v>8.7385482734319968</v>
      </c>
      <c r="I146">
        <f t="shared" si="14"/>
        <v>14.892000000000001</v>
      </c>
      <c r="J146" s="6" cm="1">
        <f t="array" ref="J146">_xlfn.STDEV.S(IF($A:$A=A146, $F:$F))</f>
        <v>0.47488946082220013</v>
      </c>
      <c r="P146" s="8">
        <f t="shared" si="15"/>
        <v>8.7385482734319968</v>
      </c>
      <c r="Q146" s="8">
        <f t="shared" si="16"/>
        <v>8.7385482734319968</v>
      </c>
      <c r="R146" s="8">
        <f t="shared" si="17"/>
        <v>8.7385482734319968</v>
      </c>
    </row>
    <row r="147" spans="1:18" x14ac:dyDescent="0.25">
      <c r="A147" s="7">
        <f t="shared" si="12"/>
        <v>30</v>
      </c>
      <c r="B147" s="2">
        <v>43131</v>
      </c>
      <c r="C147" s="3">
        <v>15.41</v>
      </c>
      <c r="D147" s="3">
        <v>15.6</v>
      </c>
      <c r="E147" s="3">
        <v>14.78</v>
      </c>
      <c r="F147" s="3">
        <v>15.43</v>
      </c>
      <c r="G147" s="3">
        <v>88890</v>
      </c>
      <c r="H147" s="8">
        <f t="shared" si="13"/>
        <v>-15.03564484769929</v>
      </c>
      <c r="I147">
        <f t="shared" si="14"/>
        <v>14.492000000000001</v>
      </c>
      <c r="J147" s="6" cm="1">
        <f t="array" ref="J147">_xlfn.STDEV.S(IF($A:$A=A147, $F:$F))</f>
        <v>0.91663515097338477</v>
      </c>
      <c r="P147" s="8">
        <f t="shared" si="15"/>
        <v>-15.03564484769929</v>
      </c>
      <c r="Q147" s="8">
        <f t="shared" si="16"/>
        <v>-15.03564484769929</v>
      </c>
      <c r="R147" s="11">
        <f t="shared" si="17"/>
        <v>-15.03564484769929</v>
      </c>
    </row>
    <row r="148" spans="1:18" x14ac:dyDescent="0.25">
      <c r="A148" s="7">
        <f t="shared" si="12"/>
        <v>30</v>
      </c>
      <c r="B148" s="2">
        <v>43132</v>
      </c>
      <c r="C148" s="3">
        <v>15.41</v>
      </c>
      <c r="D148" s="3">
        <v>15.41</v>
      </c>
      <c r="E148" s="3">
        <v>14.91</v>
      </c>
      <c r="F148" s="3">
        <v>14.91</v>
      </c>
      <c r="G148" s="3">
        <v>45110</v>
      </c>
      <c r="H148" s="8">
        <f t="shared" si="13"/>
        <v>-15.03564484769929</v>
      </c>
      <c r="I148">
        <f t="shared" si="14"/>
        <v>14.492000000000001</v>
      </c>
      <c r="J148" s="6" cm="1">
        <f t="array" ref="J148">_xlfn.STDEV.S(IF($A:$A=A148, $F:$F))</f>
        <v>0.91663515097338477</v>
      </c>
      <c r="P148" s="8">
        <f t="shared" si="15"/>
        <v>-15.03564484769929</v>
      </c>
      <c r="Q148" s="8">
        <f t="shared" si="16"/>
        <v>-15.03564484769929</v>
      </c>
      <c r="R148" s="11">
        <f t="shared" si="17"/>
        <v>-15.03564484769929</v>
      </c>
    </row>
    <row r="149" spans="1:18" x14ac:dyDescent="0.25">
      <c r="A149" s="7">
        <f t="shared" si="12"/>
        <v>30</v>
      </c>
      <c r="B149" s="2">
        <v>43133</v>
      </c>
      <c r="C149" s="3">
        <v>14.91</v>
      </c>
      <c r="D149" s="3">
        <v>15.08</v>
      </c>
      <c r="E149" s="3">
        <v>14.74</v>
      </c>
      <c r="F149" s="3">
        <v>14.95</v>
      </c>
      <c r="G149" s="3">
        <v>50580</v>
      </c>
      <c r="H149" s="8">
        <f t="shared" si="13"/>
        <v>-15.03564484769929</v>
      </c>
      <c r="I149">
        <f t="shared" si="14"/>
        <v>14.492000000000001</v>
      </c>
      <c r="J149" s="6" cm="1">
        <f t="array" ref="J149">_xlfn.STDEV.S(IF($A:$A=A149, $F:$F))</f>
        <v>0.91663515097338477</v>
      </c>
      <c r="P149" s="8">
        <f t="shared" si="15"/>
        <v>-15.03564484769929</v>
      </c>
      <c r="Q149" s="8">
        <f t="shared" si="16"/>
        <v>-15.03564484769929</v>
      </c>
      <c r="R149" s="11">
        <f t="shared" si="17"/>
        <v>-15.03564484769929</v>
      </c>
    </row>
    <row r="150" spans="1:18" x14ac:dyDescent="0.25">
      <c r="A150" s="7">
        <f t="shared" si="12"/>
        <v>30</v>
      </c>
      <c r="B150" s="2">
        <v>43136</v>
      </c>
      <c r="C150" s="3">
        <v>14.95</v>
      </c>
      <c r="D150" s="3">
        <v>14.95</v>
      </c>
      <c r="E150" s="3">
        <v>14.06</v>
      </c>
      <c r="F150" s="3">
        <v>14.06</v>
      </c>
      <c r="G150" s="3">
        <v>168970</v>
      </c>
      <c r="H150" s="8">
        <f t="shared" si="13"/>
        <v>-15.03564484769929</v>
      </c>
      <c r="I150">
        <f t="shared" si="14"/>
        <v>14.492000000000001</v>
      </c>
      <c r="J150" s="6" cm="1">
        <f t="array" ref="J150">_xlfn.STDEV.S(IF($A:$A=A150, $F:$F))</f>
        <v>0.91663515097338477</v>
      </c>
      <c r="P150" s="8">
        <f t="shared" si="15"/>
        <v>-15.03564484769929</v>
      </c>
      <c r="Q150" s="8">
        <f t="shared" si="16"/>
        <v>-15.03564484769929</v>
      </c>
      <c r="R150" s="11">
        <f t="shared" si="17"/>
        <v>-15.03564484769929</v>
      </c>
    </row>
    <row r="151" spans="1:18" x14ac:dyDescent="0.25">
      <c r="A151" s="7">
        <f t="shared" si="12"/>
        <v>30</v>
      </c>
      <c r="B151" s="2">
        <v>43137</v>
      </c>
      <c r="C151" s="3">
        <v>13.1</v>
      </c>
      <c r="D151" s="3">
        <v>13.54</v>
      </c>
      <c r="E151" s="3">
        <v>13.08</v>
      </c>
      <c r="F151" s="3">
        <v>13.11</v>
      </c>
      <c r="G151" s="3">
        <v>272110</v>
      </c>
      <c r="H151" s="8">
        <f t="shared" si="13"/>
        <v>-15.03564484769929</v>
      </c>
      <c r="I151">
        <f t="shared" si="14"/>
        <v>14.492000000000001</v>
      </c>
      <c r="J151" s="6" cm="1">
        <f t="array" ref="J151">_xlfn.STDEV.S(IF($A:$A=A151, $F:$F))</f>
        <v>0.91663515097338477</v>
      </c>
      <c r="P151" s="8">
        <f t="shared" si="15"/>
        <v>-15.03564484769929</v>
      </c>
      <c r="Q151" s="8">
        <f t="shared" si="16"/>
        <v>-15.03564484769929</v>
      </c>
      <c r="R151" s="11">
        <f t="shared" si="17"/>
        <v>-15.03564484769929</v>
      </c>
    </row>
    <row r="152" spans="1:18" x14ac:dyDescent="0.25">
      <c r="A152" s="7">
        <f t="shared" si="12"/>
        <v>31</v>
      </c>
      <c r="B152" s="2">
        <v>43138</v>
      </c>
      <c r="C152" s="3">
        <v>13.37</v>
      </c>
      <c r="D152" s="3">
        <v>13.97</v>
      </c>
      <c r="E152" s="3">
        <v>13.37</v>
      </c>
      <c r="F152" s="3">
        <v>13.71</v>
      </c>
      <c r="G152" s="3">
        <v>257290</v>
      </c>
      <c r="H152" s="8">
        <f t="shared" si="13"/>
        <v>-0.51057622173596118</v>
      </c>
      <c r="I152">
        <f t="shared" si="14"/>
        <v>13.696000000000002</v>
      </c>
      <c r="J152" s="6" cm="1">
        <f t="array" ref="J152">_xlfn.STDEV.S(IF($A:$A=A152, $F:$F))</f>
        <v>3.1304951684997182E-2</v>
      </c>
      <c r="P152" s="8">
        <f t="shared" si="15"/>
        <v>-0.51057622173596118</v>
      </c>
      <c r="Q152" s="8">
        <f t="shared" si="16"/>
        <v>-0.51057622173596118</v>
      </c>
      <c r="R152" s="8">
        <f t="shared" si="17"/>
        <v>-0.51057622173596118</v>
      </c>
    </row>
    <row r="153" spans="1:18" x14ac:dyDescent="0.25">
      <c r="A153" s="7">
        <f t="shared" si="12"/>
        <v>31</v>
      </c>
      <c r="B153" s="2">
        <v>43139</v>
      </c>
      <c r="C153" s="3">
        <v>13.71</v>
      </c>
      <c r="D153" s="3">
        <v>13.8</v>
      </c>
      <c r="E153" s="3">
        <v>13.54</v>
      </c>
      <c r="F153" s="3">
        <v>13.71</v>
      </c>
      <c r="G153" s="3">
        <v>47560</v>
      </c>
      <c r="H153" s="8">
        <f t="shared" si="13"/>
        <v>-0.51057622173596118</v>
      </c>
      <c r="I153">
        <f t="shared" si="14"/>
        <v>13.696000000000002</v>
      </c>
      <c r="J153" s="6" cm="1">
        <f t="array" ref="J153">_xlfn.STDEV.S(IF($A:$A=A153, $F:$F))</f>
        <v>3.1304951684997182E-2</v>
      </c>
      <c r="P153" s="8">
        <f t="shared" si="15"/>
        <v>-0.51057622173596118</v>
      </c>
      <c r="Q153" s="8">
        <f t="shared" si="16"/>
        <v>-0.51057622173596118</v>
      </c>
      <c r="R153" s="8">
        <f t="shared" si="17"/>
        <v>-0.51057622173596118</v>
      </c>
    </row>
    <row r="154" spans="1:18" x14ac:dyDescent="0.25">
      <c r="A154" s="7">
        <f t="shared" si="12"/>
        <v>31</v>
      </c>
      <c r="B154" s="2">
        <v>43140</v>
      </c>
      <c r="C154" s="3">
        <v>12.77</v>
      </c>
      <c r="D154" s="3">
        <v>13.71</v>
      </c>
      <c r="E154" s="3">
        <v>12.77</v>
      </c>
      <c r="F154" s="3">
        <v>13.71</v>
      </c>
      <c r="G154" s="3">
        <v>117500</v>
      </c>
      <c r="H154" s="8">
        <f t="shared" si="13"/>
        <v>-0.51057622173596118</v>
      </c>
      <c r="I154">
        <f t="shared" si="14"/>
        <v>13.696000000000002</v>
      </c>
      <c r="J154" s="6" cm="1">
        <f t="array" ref="J154">_xlfn.STDEV.S(IF($A:$A=A154, $F:$F))</f>
        <v>3.1304951684997182E-2</v>
      </c>
      <c r="P154" s="8">
        <f t="shared" si="15"/>
        <v>-0.51057622173596118</v>
      </c>
      <c r="Q154" s="8">
        <f t="shared" si="16"/>
        <v>-0.51057622173596118</v>
      </c>
      <c r="R154" s="8">
        <f t="shared" si="17"/>
        <v>-0.51057622173596118</v>
      </c>
    </row>
    <row r="155" spans="1:18" x14ac:dyDescent="0.25">
      <c r="A155" s="7">
        <f t="shared" si="12"/>
        <v>31</v>
      </c>
      <c r="B155" s="2">
        <v>43143</v>
      </c>
      <c r="C155" s="3">
        <v>13.97</v>
      </c>
      <c r="D155" s="3">
        <v>13.97</v>
      </c>
      <c r="E155" s="3">
        <v>13.54</v>
      </c>
      <c r="F155" s="3">
        <v>13.71</v>
      </c>
      <c r="G155" s="3">
        <v>142090</v>
      </c>
      <c r="H155" s="8">
        <f t="shared" si="13"/>
        <v>-0.51057622173596118</v>
      </c>
      <c r="I155">
        <f t="shared" si="14"/>
        <v>13.696000000000002</v>
      </c>
      <c r="J155" s="6" cm="1">
        <f t="array" ref="J155">_xlfn.STDEV.S(IF($A:$A=A155, $F:$F))</f>
        <v>3.1304951684997182E-2</v>
      </c>
      <c r="P155" s="8">
        <f t="shared" si="15"/>
        <v>-0.51057622173596118</v>
      </c>
      <c r="Q155" s="8">
        <f t="shared" si="16"/>
        <v>-0.51057622173596118</v>
      </c>
      <c r="R155" s="8">
        <f t="shared" si="17"/>
        <v>-0.51057622173596118</v>
      </c>
    </row>
    <row r="156" spans="1:18" x14ac:dyDescent="0.25">
      <c r="A156" s="7">
        <f t="shared" si="12"/>
        <v>31</v>
      </c>
      <c r="B156" s="2">
        <v>43144</v>
      </c>
      <c r="C156" s="3">
        <v>13.71</v>
      </c>
      <c r="D156" s="3">
        <v>13.75</v>
      </c>
      <c r="E156" s="3">
        <v>13.63</v>
      </c>
      <c r="F156" s="3">
        <v>13.64</v>
      </c>
      <c r="G156" s="3">
        <v>61490</v>
      </c>
      <c r="H156" s="8">
        <f t="shared" si="13"/>
        <v>-0.51057622173596118</v>
      </c>
      <c r="I156">
        <f t="shared" si="14"/>
        <v>13.696000000000002</v>
      </c>
      <c r="J156" s="6" cm="1">
        <f t="array" ref="J156">_xlfn.STDEV.S(IF($A:$A=A156, $F:$F))</f>
        <v>3.1304951684997182E-2</v>
      </c>
      <c r="P156" s="8">
        <f t="shared" si="15"/>
        <v>-0.51057622173596118</v>
      </c>
      <c r="Q156" s="8">
        <f t="shared" si="16"/>
        <v>-0.51057622173596118</v>
      </c>
      <c r="R156" s="8">
        <f t="shared" si="17"/>
        <v>-0.51057622173596118</v>
      </c>
    </row>
    <row r="157" spans="1:18" x14ac:dyDescent="0.25">
      <c r="A157" s="7">
        <f t="shared" si="12"/>
        <v>32</v>
      </c>
      <c r="B157" s="2">
        <v>43152</v>
      </c>
      <c r="C157" s="3">
        <v>13.63</v>
      </c>
      <c r="D157" s="3">
        <v>14.57</v>
      </c>
      <c r="E157" s="3">
        <v>13.37</v>
      </c>
      <c r="F157" s="3">
        <v>13.88</v>
      </c>
      <c r="G157" s="3">
        <v>165030</v>
      </c>
      <c r="H157" s="8">
        <f t="shared" si="13"/>
        <v>2.5216138328530233</v>
      </c>
      <c r="I157">
        <f t="shared" si="14"/>
        <v>14.092000000000002</v>
      </c>
      <c r="J157" s="6" cm="1">
        <f t="array" ref="J157">_xlfn.STDEV.S(IF($A:$A=A157, $F:$F))</f>
        <v>0.14584238067173738</v>
      </c>
      <c r="P157" s="8">
        <f t="shared" si="15"/>
        <v>2.5216138328530233</v>
      </c>
      <c r="Q157" s="8">
        <f t="shared" si="16"/>
        <v>2.5216138328530233</v>
      </c>
      <c r="R157" s="8">
        <f t="shared" si="17"/>
        <v>2.5216138328530233</v>
      </c>
    </row>
    <row r="158" spans="1:18" x14ac:dyDescent="0.25">
      <c r="A158" s="7">
        <f t="shared" si="12"/>
        <v>32</v>
      </c>
      <c r="B158" s="2">
        <v>43153</v>
      </c>
      <c r="C158" s="3">
        <v>14.06</v>
      </c>
      <c r="D158" s="3">
        <v>14.4</v>
      </c>
      <c r="E158" s="3">
        <v>14</v>
      </c>
      <c r="F158" s="3">
        <v>14.06</v>
      </c>
      <c r="G158" s="3">
        <v>52890</v>
      </c>
      <c r="H158" s="8">
        <f t="shared" si="13"/>
        <v>2.5216138328530233</v>
      </c>
      <c r="I158">
        <f t="shared" si="14"/>
        <v>14.092000000000002</v>
      </c>
      <c r="J158" s="6" cm="1">
        <f t="array" ref="J158">_xlfn.STDEV.S(IF($A:$A=A158, $F:$F))</f>
        <v>0.14584238067173738</v>
      </c>
      <c r="P158" s="8">
        <f t="shared" si="15"/>
        <v>2.5216138328530233</v>
      </c>
      <c r="Q158" s="8">
        <f t="shared" si="16"/>
        <v>2.5216138328530233</v>
      </c>
      <c r="R158" s="8">
        <f t="shared" si="17"/>
        <v>2.5216138328530233</v>
      </c>
    </row>
    <row r="159" spans="1:18" x14ac:dyDescent="0.25">
      <c r="A159" s="7">
        <f t="shared" si="12"/>
        <v>32</v>
      </c>
      <c r="B159" s="2">
        <v>43154</v>
      </c>
      <c r="C159" s="3">
        <v>14.4</v>
      </c>
      <c r="D159" s="3">
        <v>14.91</v>
      </c>
      <c r="E159" s="3">
        <v>14.06</v>
      </c>
      <c r="F159" s="3">
        <v>14.06</v>
      </c>
      <c r="G159" s="3">
        <v>5810</v>
      </c>
      <c r="H159" s="8">
        <f t="shared" si="13"/>
        <v>2.5216138328530233</v>
      </c>
      <c r="I159">
        <f t="shared" si="14"/>
        <v>14.092000000000002</v>
      </c>
      <c r="J159" s="6" cm="1">
        <f t="array" ref="J159">_xlfn.STDEV.S(IF($A:$A=A159, $F:$F))</f>
        <v>0.14584238067173738</v>
      </c>
      <c r="P159" s="8">
        <f t="shared" si="15"/>
        <v>2.5216138328530233</v>
      </c>
      <c r="Q159" s="8">
        <f t="shared" si="16"/>
        <v>2.5216138328530233</v>
      </c>
      <c r="R159" s="8">
        <f t="shared" si="17"/>
        <v>2.5216138328530233</v>
      </c>
    </row>
    <row r="160" spans="1:18" x14ac:dyDescent="0.25">
      <c r="A160" s="7">
        <f t="shared" si="12"/>
        <v>32</v>
      </c>
      <c r="B160" s="2">
        <v>43157</v>
      </c>
      <c r="C160" s="3">
        <v>14.06</v>
      </c>
      <c r="D160" s="3">
        <v>14.55</v>
      </c>
      <c r="E160" s="3">
        <v>13.94</v>
      </c>
      <c r="F160" s="3">
        <v>14.23</v>
      </c>
      <c r="G160" s="3">
        <v>119440</v>
      </c>
      <c r="H160" s="8">
        <f t="shared" si="13"/>
        <v>2.5216138328530233</v>
      </c>
      <c r="I160">
        <f t="shared" si="14"/>
        <v>14.092000000000002</v>
      </c>
      <c r="J160" s="6" cm="1">
        <f t="array" ref="J160">_xlfn.STDEV.S(IF($A:$A=A160, $F:$F))</f>
        <v>0.14584238067173738</v>
      </c>
      <c r="P160" s="8">
        <f t="shared" si="15"/>
        <v>2.5216138328530233</v>
      </c>
      <c r="Q160" s="8">
        <f t="shared" si="16"/>
        <v>2.5216138328530233</v>
      </c>
      <c r="R160" s="8">
        <f t="shared" si="17"/>
        <v>2.5216138328530233</v>
      </c>
    </row>
    <row r="161" spans="1:18" x14ac:dyDescent="0.25">
      <c r="A161" s="7">
        <f t="shared" si="12"/>
        <v>32</v>
      </c>
      <c r="B161" s="2">
        <v>43158</v>
      </c>
      <c r="C161" s="3">
        <v>14.23</v>
      </c>
      <c r="D161" s="3">
        <v>14.23</v>
      </c>
      <c r="E161" s="3">
        <v>14.09</v>
      </c>
      <c r="F161" s="3">
        <v>14.23</v>
      </c>
      <c r="G161" s="3">
        <v>38930</v>
      </c>
      <c r="H161" s="8">
        <f t="shared" si="13"/>
        <v>2.5216138328530233</v>
      </c>
      <c r="I161">
        <f t="shared" si="14"/>
        <v>14.092000000000002</v>
      </c>
      <c r="J161" s="6" cm="1">
        <f t="array" ref="J161">_xlfn.STDEV.S(IF($A:$A=A161, $F:$F))</f>
        <v>0.14584238067173738</v>
      </c>
      <c r="P161" s="8">
        <f t="shared" si="15"/>
        <v>2.5216138328530233</v>
      </c>
      <c r="Q161" s="8">
        <f t="shared" si="16"/>
        <v>2.5216138328530233</v>
      </c>
      <c r="R161" s="8">
        <f t="shared" si="17"/>
        <v>2.5216138328530233</v>
      </c>
    </row>
    <row r="162" spans="1:18" x14ac:dyDescent="0.25">
      <c r="A162" s="7">
        <f t="shared" si="12"/>
        <v>33</v>
      </c>
      <c r="B162" s="2">
        <v>43159</v>
      </c>
      <c r="C162" s="3">
        <v>13.9</v>
      </c>
      <c r="D162" s="3">
        <v>14.91</v>
      </c>
      <c r="E162" s="3">
        <v>13.9</v>
      </c>
      <c r="F162" s="3">
        <v>14.78</v>
      </c>
      <c r="G162" s="3">
        <v>243680</v>
      </c>
      <c r="H162" s="8">
        <f t="shared" si="13"/>
        <v>4.4654939106901228</v>
      </c>
      <c r="I162">
        <f t="shared" si="14"/>
        <v>15.218</v>
      </c>
      <c r="J162" s="6" cm="1">
        <f t="array" ref="J162">_xlfn.STDEV.S(IF($A:$A=A162, $F:$F))</f>
        <v>0.34578895297565526</v>
      </c>
      <c r="P162" s="8">
        <f t="shared" si="15"/>
        <v>4.4654939106901228</v>
      </c>
      <c r="Q162" s="8">
        <f t="shared" si="16"/>
        <v>4.4654939106901228</v>
      </c>
      <c r="R162" s="8">
        <f t="shared" si="17"/>
        <v>4.4654939106901228</v>
      </c>
    </row>
    <row r="163" spans="1:18" x14ac:dyDescent="0.25">
      <c r="A163" s="7">
        <f t="shared" si="12"/>
        <v>33</v>
      </c>
      <c r="B163" s="2">
        <v>43160</v>
      </c>
      <c r="C163" s="3">
        <v>15.15</v>
      </c>
      <c r="D163" s="3">
        <v>15.15</v>
      </c>
      <c r="E163" s="3">
        <v>14.74</v>
      </c>
      <c r="F163" s="3">
        <v>14.91</v>
      </c>
      <c r="G163" s="3">
        <v>55220</v>
      </c>
      <c r="H163" s="8">
        <f t="shared" si="13"/>
        <v>4.4654939106901228</v>
      </c>
      <c r="I163">
        <f t="shared" si="14"/>
        <v>15.218</v>
      </c>
      <c r="J163" s="6" cm="1">
        <f t="array" ref="J163">_xlfn.STDEV.S(IF($A:$A=A163, $F:$F))</f>
        <v>0.34578895297565526</v>
      </c>
      <c r="P163" s="8">
        <f t="shared" si="15"/>
        <v>4.4654939106901228</v>
      </c>
      <c r="Q163" s="8">
        <f t="shared" si="16"/>
        <v>4.4654939106901228</v>
      </c>
      <c r="R163" s="8">
        <f t="shared" si="17"/>
        <v>4.4654939106901228</v>
      </c>
    </row>
    <row r="164" spans="1:18" x14ac:dyDescent="0.25">
      <c r="A164" s="7">
        <f t="shared" si="12"/>
        <v>33</v>
      </c>
      <c r="B164" s="2">
        <v>43161</v>
      </c>
      <c r="C164" s="3">
        <v>14.91</v>
      </c>
      <c r="D164" s="3">
        <v>15.6</v>
      </c>
      <c r="E164" s="3">
        <v>14.57</v>
      </c>
      <c r="F164" s="3">
        <v>15.43</v>
      </c>
      <c r="G164" s="3">
        <v>170260</v>
      </c>
      <c r="H164" s="8">
        <f t="shared" si="13"/>
        <v>4.4654939106901228</v>
      </c>
      <c r="I164">
        <f t="shared" si="14"/>
        <v>15.218</v>
      </c>
      <c r="J164" s="6" cm="1">
        <f t="array" ref="J164">_xlfn.STDEV.S(IF($A:$A=A164, $F:$F))</f>
        <v>0.34578895297565526</v>
      </c>
      <c r="P164" s="8">
        <f t="shared" si="15"/>
        <v>4.4654939106901228</v>
      </c>
      <c r="Q164" s="8">
        <f t="shared" si="16"/>
        <v>4.4654939106901228</v>
      </c>
      <c r="R164" s="8">
        <f t="shared" si="17"/>
        <v>4.4654939106901228</v>
      </c>
    </row>
    <row r="165" spans="1:18" x14ac:dyDescent="0.25">
      <c r="A165" s="7">
        <f t="shared" si="12"/>
        <v>33</v>
      </c>
      <c r="B165" s="2">
        <v>43164</v>
      </c>
      <c r="C165" s="3">
        <v>15.43</v>
      </c>
      <c r="D165" s="3">
        <v>15.77</v>
      </c>
      <c r="E165" s="3">
        <v>15.26</v>
      </c>
      <c r="F165" s="3">
        <v>15.53</v>
      </c>
      <c r="G165" s="3">
        <v>263310</v>
      </c>
      <c r="H165" s="8">
        <f t="shared" si="13"/>
        <v>4.4654939106901228</v>
      </c>
      <c r="I165">
        <f t="shared" si="14"/>
        <v>15.218</v>
      </c>
      <c r="J165" s="6" cm="1">
        <f t="array" ref="J165">_xlfn.STDEV.S(IF($A:$A=A165, $F:$F))</f>
        <v>0.34578895297565526</v>
      </c>
      <c r="P165" s="8">
        <f t="shared" si="15"/>
        <v>4.4654939106901228</v>
      </c>
      <c r="Q165" s="8">
        <f t="shared" si="16"/>
        <v>4.4654939106901228</v>
      </c>
      <c r="R165" s="8">
        <f t="shared" si="17"/>
        <v>4.4654939106901228</v>
      </c>
    </row>
    <row r="166" spans="1:18" x14ac:dyDescent="0.25">
      <c r="A166" s="7">
        <f t="shared" si="12"/>
        <v>33</v>
      </c>
      <c r="B166" s="2">
        <v>43165</v>
      </c>
      <c r="C166" s="3">
        <v>15.1</v>
      </c>
      <c r="D166" s="3">
        <v>15.46</v>
      </c>
      <c r="E166" s="3">
        <v>15.1</v>
      </c>
      <c r="F166" s="3">
        <v>15.44</v>
      </c>
      <c r="G166" s="3">
        <v>91200</v>
      </c>
      <c r="H166" s="8">
        <f t="shared" si="13"/>
        <v>4.4654939106901228</v>
      </c>
      <c r="I166">
        <f t="shared" si="14"/>
        <v>15.218</v>
      </c>
      <c r="J166" s="6" cm="1">
        <f t="array" ref="J166">_xlfn.STDEV.S(IF($A:$A=A166, $F:$F))</f>
        <v>0.34578895297565526</v>
      </c>
      <c r="P166" s="8">
        <f t="shared" si="15"/>
        <v>4.4654939106901228</v>
      </c>
      <c r="Q166" s="8">
        <f t="shared" si="16"/>
        <v>4.4654939106901228</v>
      </c>
      <c r="R166" s="8">
        <f t="shared" si="17"/>
        <v>4.4654939106901228</v>
      </c>
    </row>
    <row r="167" spans="1:18" x14ac:dyDescent="0.25">
      <c r="A167" s="7">
        <f t="shared" si="12"/>
        <v>34</v>
      </c>
      <c r="B167" s="2">
        <v>43166</v>
      </c>
      <c r="C167" s="3">
        <v>15.6</v>
      </c>
      <c r="D167" s="3">
        <v>15.6</v>
      </c>
      <c r="E167" s="3">
        <v>15.43</v>
      </c>
      <c r="F167" s="3">
        <v>15.44</v>
      </c>
      <c r="G167" s="3">
        <v>51100</v>
      </c>
      <c r="H167" s="8">
        <f t="shared" si="13"/>
        <v>0.45336787564767028</v>
      </c>
      <c r="I167">
        <f t="shared" si="14"/>
        <v>15.508000000000001</v>
      </c>
      <c r="J167" s="6" cm="1">
        <f t="array" ref="J167">_xlfn.STDEV.S(IF($A:$A=A167, $F:$F))</f>
        <v>7.3959448348402679E-2</v>
      </c>
      <c r="P167" s="8">
        <f t="shared" si="15"/>
        <v>0.45336787564767028</v>
      </c>
      <c r="Q167" s="8">
        <f t="shared" si="16"/>
        <v>0.45336787564767028</v>
      </c>
      <c r="R167" s="8">
        <f t="shared" si="17"/>
        <v>0.45336787564767028</v>
      </c>
    </row>
    <row r="168" spans="1:18" x14ac:dyDescent="0.25">
      <c r="A168" s="7">
        <f t="shared" si="12"/>
        <v>34</v>
      </c>
      <c r="B168" s="2">
        <v>43167</v>
      </c>
      <c r="C168" s="3">
        <v>15.44</v>
      </c>
      <c r="D168" s="3">
        <v>16.28</v>
      </c>
      <c r="E168" s="3">
        <v>15.17</v>
      </c>
      <c r="F168" s="3">
        <v>15.63</v>
      </c>
      <c r="G168" s="3">
        <v>86650</v>
      </c>
      <c r="H168" s="8">
        <f t="shared" si="13"/>
        <v>0.45336787564767028</v>
      </c>
      <c r="I168">
        <f t="shared" si="14"/>
        <v>15.508000000000001</v>
      </c>
      <c r="J168" s="6" cm="1">
        <f t="array" ref="J168">_xlfn.STDEV.S(IF($A:$A=A168, $F:$F))</f>
        <v>7.3959448348402679E-2</v>
      </c>
      <c r="P168" s="8">
        <f t="shared" si="15"/>
        <v>0.45336787564767028</v>
      </c>
      <c r="Q168" s="8">
        <f t="shared" si="16"/>
        <v>0.45336787564767028</v>
      </c>
      <c r="R168" s="8">
        <f t="shared" si="17"/>
        <v>0.45336787564767028</v>
      </c>
    </row>
    <row r="169" spans="1:18" x14ac:dyDescent="0.25">
      <c r="A169" s="7">
        <f t="shared" si="12"/>
        <v>34</v>
      </c>
      <c r="B169" s="2">
        <v>43168</v>
      </c>
      <c r="C169" s="3">
        <v>15.62</v>
      </c>
      <c r="D169" s="3">
        <v>15.94</v>
      </c>
      <c r="E169" s="3">
        <v>15.46</v>
      </c>
      <c r="F169" s="3">
        <v>15.46</v>
      </c>
      <c r="G169" s="3">
        <v>57200</v>
      </c>
      <c r="H169" s="8">
        <f t="shared" si="13"/>
        <v>0.45336787564767028</v>
      </c>
      <c r="I169">
        <f t="shared" si="14"/>
        <v>15.508000000000001</v>
      </c>
      <c r="J169" s="6" cm="1">
        <f t="array" ref="J169">_xlfn.STDEV.S(IF($A:$A=A169, $F:$F))</f>
        <v>7.3959448348402679E-2</v>
      </c>
      <c r="P169" s="8">
        <f t="shared" si="15"/>
        <v>0.45336787564767028</v>
      </c>
      <c r="Q169" s="8">
        <f t="shared" si="16"/>
        <v>0.45336787564767028</v>
      </c>
      <c r="R169" s="8">
        <f t="shared" si="17"/>
        <v>0.45336787564767028</v>
      </c>
    </row>
    <row r="170" spans="1:18" x14ac:dyDescent="0.25">
      <c r="A170" s="7">
        <f t="shared" si="12"/>
        <v>34</v>
      </c>
      <c r="B170" s="2">
        <v>43171</v>
      </c>
      <c r="C170" s="3">
        <v>15.46</v>
      </c>
      <c r="D170" s="3">
        <v>15.77</v>
      </c>
      <c r="E170" s="3">
        <v>15.43</v>
      </c>
      <c r="F170" s="3">
        <v>15.5</v>
      </c>
      <c r="G170" s="3">
        <v>45540</v>
      </c>
      <c r="H170" s="8">
        <f t="shared" si="13"/>
        <v>0.45336787564767028</v>
      </c>
      <c r="I170">
        <f t="shared" si="14"/>
        <v>15.508000000000001</v>
      </c>
      <c r="J170" s="6" cm="1">
        <f t="array" ref="J170">_xlfn.STDEV.S(IF($A:$A=A170, $F:$F))</f>
        <v>7.3959448348402679E-2</v>
      </c>
      <c r="P170" s="8">
        <f t="shared" si="15"/>
        <v>0.45336787564767028</v>
      </c>
      <c r="Q170" s="8">
        <f t="shared" si="16"/>
        <v>0.45336787564767028</v>
      </c>
      <c r="R170" s="8">
        <f t="shared" si="17"/>
        <v>0.45336787564767028</v>
      </c>
    </row>
    <row r="171" spans="1:18" x14ac:dyDescent="0.25">
      <c r="A171" s="7">
        <f t="shared" si="12"/>
        <v>34</v>
      </c>
      <c r="B171" s="2">
        <v>43172</v>
      </c>
      <c r="C171" s="3">
        <v>15.43</v>
      </c>
      <c r="D171" s="3">
        <v>15.51</v>
      </c>
      <c r="E171" s="3">
        <v>15.08</v>
      </c>
      <c r="F171" s="3">
        <v>15.51</v>
      </c>
      <c r="G171" s="3">
        <v>21580</v>
      </c>
      <c r="H171" s="8">
        <f t="shared" si="13"/>
        <v>0.45336787564767028</v>
      </c>
      <c r="I171">
        <f t="shared" si="14"/>
        <v>15.508000000000001</v>
      </c>
      <c r="J171" s="6" cm="1">
        <f t="array" ref="J171">_xlfn.STDEV.S(IF($A:$A=A171, $F:$F))</f>
        <v>7.3959448348402679E-2</v>
      </c>
      <c r="P171" s="8">
        <f t="shared" si="15"/>
        <v>0.45336787564767028</v>
      </c>
      <c r="Q171" s="8">
        <f t="shared" si="16"/>
        <v>0.45336787564767028</v>
      </c>
      <c r="R171" s="8">
        <f t="shared" si="17"/>
        <v>0.45336787564767028</v>
      </c>
    </row>
    <row r="172" spans="1:18" x14ac:dyDescent="0.25">
      <c r="A172" s="7">
        <f t="shared" si="12"/>
        <v>35</v>
      </c>
      <c r="B172" s="2">
        <v>43173</v>
      </c>
      <c r="C172" s="3">
        <v>15.51</v>
      </c>
      <c r="D172" s="3">
        <v>15.51</v>
      </c>
      <c r="E172" s="3">
        <v>15.2</v>
      </c>
      <c r="F172" s="3">
        <v>15.27</v>
      </c>
      <c r="G172" s="3">
        <v>180520</v>
      </c>
      <c r="H172" s="8">
        <f t="shared" si="13"/>
        <v>12.901113294040595</v>
      </c>
      <c r="I172">
        <f t="shared" si="14"/>
        <v>16.271999999999998</v>
      </c>
      <c r="J172" s="6" cm="1">
        <f t="array" ref="J172">_xlfn.STDEV.S(IF($A:$A=A172, $F:$F))</f>
        <v>0.98573322963162757</v>
      </c>
      <c r="P172" s="8">
        <f t="shared" si="15"/>
        <v>12.901113294040595</v>
      </c>
      <c r="Q172" s="8">
        <f t="shared" si="16"/>
        <v>12.901113294040595</v>
      </c>
      <c r="R172" s="10">
        <f t="shared" si="17"/>
        <v>12.901113294040595</v>
      </c>
    </row>
    <row r="173" spans="1:18" x14ac:dyDescent="0.25">
      <c r="A173" s="7">
        <f t="shared" si="12"/>
        <v>35</v>
      </c>
      <c r="B173" s="2">
        <v>43174</v>
      </c>
      <c r="C173" s="3">
        <v>15.22</v>
      </c>
      <c r="D173" s="3">
        <v>15.43</v>
      </c>
      <c r="E173" s="3">
        <v>15.22</v>
      </c>
      <c r="F173" s="3">
        <v>15.27</v>
      </c>
      <c r="G173" s="3">
        <v>144490</v>
      </c>
      <c r="H173" s="8">
        <f t="shared" si="13"/>
        <v>12.901113294040595</v>
      </c>
      <c r="I173">
        <f t="shared" si="14"/>
        <v>16.271999999999998</v>
      </c>
      <c r="J173" s="6" cm="1">
        <f t="array" ref="J173">_xlfn.STDEV.S(IF($A:$A=A173, $F:$F))</f>
        <v>0.98573322963162757</v>
      </c>
      <c r="P173" s="8">
        <f t="shared" si="15"/>
        <v>12.901113294040595</v>
      </c>
      <c r="Q173" s="8">
        <f t="shared" si="16"/>
        <v>12.901113294040595</v>
      </c>
      <c r="R173" s="10">
        <f t="shared" si="17"/>
        <v>12.901113294040595</v>
      </c>
    </row>
    <row r="174" spans="1:18" x14ac:dyDescent="0.25">
      <c r="A174" s="7">
        <f t="shared" si="12"/>
        <v>35</v>
      </c>
      <c r="B174" s="2">
        <v>43175</v>
      </c>
      <c r="C174" s="3">
        <v>15.27</v>
      </c>
      <c r="D174" s="3">
        <v>16.34</v>
      </c>
      <c r="E174" s="3">
        <v>15.26</v>
      </c>
      <c r="F174" s="3">
        <v>16.34</v>
      </c>
      <c r="G174" s="3">
        <v>228710</v>
      </c>
      <c r="H174" s="8">
        <f t="shared" si="13"/>
        <v>12.901113294040595</v>
      </c>
      <c r="I174">
        <f t="shared" si="14"/>
        <v>16.271999999999998</v>
      </c>
      <c r="J174" s="6" cm="1">
        <f t="array" ref="J174">_xlfn.STDEV.S(IF($A:$A=A174, $F:$F))</f>
        <v>0.98573322963162757</v>
      </c>
      <c r="P174" s="8">
        <f t="shared" si="15"/>
        <v>12.901113294040595</v>
      </c>
      <c r="Q174" s="8">
        <f t="shared" si="16"/>
        <v>12.901113294040595</v>
      </c>
      <c r="R174" s="10">
        <f t="shared" si="17"/>
        <v>12.901113294040595</v>
      </c>
    </row>
    <row r="175" spans="1:18" x14ac:dyDescent="0.25">
      <c r="A175" s="7">
        <f t="shared" si="12"/>
        <v>35</v>
      </c>
      <c r="B175" s="2">
        <v>43178</v>
      </c>
      <c r="C175" s="3">
        <v>16.46</v>
      </c>
      <c r="D175" s="3">
        <v>17.260000000000002</v>
      </c>
      <c r="E175" s="3">
        <v>16.46</v>
      </c>
      <c r="F175" s="3">
        <v>17.239999999999998</v>
      </c>
      <c r="G175" s="3">
        <v>163160</v>
      </c>
      <c r="H175" s="8">
        <f t="shared" si="13"/>
        <v>12.901113294040595</v>
      </c>
      <c r="I175">
        <f t="shared" si="14"/>
        <v>16.271999999999998</v>
      </c>
      <c r="J175" s="6" cm="1">
        <f t="array" ref="J175">_xlfn.STDEV.S(IF($A:$A=A175, $F:$F))</f>
        <v>0.98573322963162757</v>
      </c>
      <c r="P175" s="8">
        <f t="shared" si="15"/>
        <v>12.901113294040595</v>
      </c>
      <c r="Q175" s="8">
        <f t="shared" si="16"/>
        <v>12.901113294040595</v>
      </c>
      <c r="R175" s="10">
        <f t="shared" si="17"/>
        <v>12.901113294040595</v>
      </c>
    </row>
    <row r="176" spans="1:18" x14ac:dyDescent="0.25">
      <c r="A176" s="7">
        <f t="shared" si="12"/>
        <v>35</v>
      </c>
      <c r="B176" s="2">
        <v>43179</v>
      </c>
      <c r="C176" s="3">
        <v>16.63</v>
      </c>
      <c r="D176" s="3">
        <v>17.399999999999999</v>
      </c>
      <c r="E176" s="3">
        <v>16.63</v>
      </c>
      <c r="F176" s="3">
        <v>17.239999999999998</v>
      </c>
      <c r="G176" s="3">
        <v>86090</v>
      </c>
      <c r="H176" s="8">
        <f t="shared" si="13"/>
        <v>12.901113294040595</v>
      </c>
      <c r="I176">
        <f t="shared" si="14"/>
        <v>16.271999999999998</v>
      </c>
      <c r="J176" s="6" cm="1">
        <f t="array" ref="J176">_xlfn.STDEV.S(IF($A:$A=A176, $F:$F))</f>
        <v>0.98573322963162757</v>
      </c>
      <c r="P176" s="8">
        <f t="shared" si="15"/>
        <v>12.901113294040595</v>
      </c>
      <c r="Q176" s="8">
        <f t="shared" si="16"/>
        <v>12.901113294040595</v>
      </c>
      <c r="R176" s="10">
        <f t="shared" si="17"/>
        <v>12.901113294040595</v>
      </c>
    </row>
    <row r="177" spans="1:18" x14ac:dyDescent="0.25">
      <c r="A177" s="7">
        <f t="shared" si="12"/>
        <v>36</v>
      </c>
      <c r="B177" s="2">
        <v>43180</v>
      </c>
      <c r="C177" s="3">
        <v>17.309999999999999</v>
      </c>
      <c r="D177" s="3">
        <v>18.34</v>
      </c>
      <c r="E177" s="3">
        <v>17.239999999999998</v>
      </c>
      <c r="F177" s="3">
        <v>17.829999999999998</v>
      </c>
      <c r="G177" s="3">
        <v>104940</v>
      </c>
      <c r="H177" s="8">
        <f t="shared" si="13"/>
        <v>0.95344924284914045</v>
      </c>
      <c r="I177">
        <f t="shared" si="14"/>
        <v>18.167999999999999</v>
      </c>
      <c r="J177" s="6" cm="1">
        <f t="array" ref="J177">_xlfn.STDEV.S(IF($A:$A=A177, $F:$F))</f>
        <v>0.24631280924872814</v>
      </c>
      <c r="P177" s="8">
        <f t="shared" si="15"/>
        <v>0.95344924284914045</v>
      </c>
      <c r="Q177" s="8">
        <f t="shared" si="16"/>
        <v>0.95344924284914045</v>
      </c>
      <c r="R177" s="8">
        <f t="shared" si="17"/>
        <v>0.95344924284914045</v>
      </c>
    </row>
    <row r="178" spans="1:18" x14ac:dyDescent="0.25">
      <c r="A178" s="7">
        <f t="shared" si="12"/>
        <v>36</v>
      </c>
      <c r="B178" s="2">
        <v>43181</v>
      </c>
      <c r="C178" s="3">
        <v>18.34</v>
      </c>
      <c r="D178" s="3">
        <v>18.34</v>
      </c>
      <c r="E178" s="3">
        <v>17.829999999999998</v>
      </c>
      <c r="F178" s="3">
        <v>18.260000000000002</v>
      </c>
      <c r="G178" s="3">
        <v>195930</v>
      </c>
      <c r="H178" s="8">
        <f t="shared" si="13"/>
        <v>0.95344924284914045</v>
      </c>
      <c r="I178">
        <f t="shared" si="14"/>
        <v>18.167999999999999</v>
      </c>
      <c r="J178" s="6" cm="1">
        <f t="array" ref="J178">_xlfn.STDEV.S(IF($A:$A=A178, $F:$F))</f>
        <v>0.24631280924872814</v>
      </c>
      <c r="P178" s="8">
        <f t="shared" si="15"/>
        <v>0.95344924284914045</v>
      </c>
      <c r="Q178" s="8">
        <f t="shared" si="16"/>
        <v>0.95344924284914045</v>
      </c>
      <c r="R178" s="8">
        <f t="shared" si="17"/>
        <v>0.95344924284914045</v>
      </c>
    </row>
    <row r="179" spans="1:18" x14ac:dyDescent="0.25">
      <c r="A179" s="7">
        <f t="shared" si="12"/>
        <v>36</v>
      </c>
      <c r="B179" s="2">
        <v>43182</v>
      </c>
      <c r="C179" s="3">
        <v>17.16</v>
      </c>
      <c r="D179" s="3">
        <v>18.43</v>
      </c>
      <c r="E179" s="3">
        <v>17.16</v>
      </c>
      <c r="F179" s="3">
        <v>18.32</v>
      </c>
      <c r="G179" s="3">
        <v>178710</v>
      </c>
      <c r="H179" s="8">
        <f t="shared" si="13"/>
        <v>0.95344924284914045</v>
      </c>
      <c r="I179">
        <f t="shared" si="14"/>
        <v>18.167999999999999</v>
      </c>
      <c r="J179" s="6" cm="1">
        <f t="array" ref="J179">_xlfn.STDEV.S(IF($A:$A=A179, $F:$F))</f>
        <v>0.24631280924872814</v>
      </c>
      <c r="P179" s="8">
        <f t="shared" si="15"/>
        <v>0.95344924284914045</v>
      </c>
      <c r="Q179" s="8">
        <f t="shared" si="16"/>
        <v>0.95344924284914045</v>
      </c>
      <c r="R179" s="8">
        <f t="shared" si="17"/>
        <v>0.95344924284914045</v>
      </c>
    </row>
    <row r="180" spans="1:18" x14ac:dyDescent="0.25">
      <c r="A180" s="7">
        <f t="shared" si="12"/>
        <v>36</v>
      </c>
      <c r="B180" s="2">
        <v>43185</v>
      </c>
      <c r="C180" s="3">
        <v>18.32</v>
      </c>
      <c r="D180" s="3">
        <v>18.68</v>
      </c>
      <c r="E180" s="3">
        <v>18.32</v>
      </c>
      <c r="F180" s="3">
        <v>18.43</v>
      </c>
      <c r="G180" s="3">
        <v>17860</v>
      </c>
      <c r="H180" s="8">
        <f t="shared" si="13"/>
        <v>0.95344924284914045</v>
      </c>
      <c r="I180">
        <f t="shared" si="14"/>
        <v>18.167999999999999</v>
      </c>
      <c r="J180" s="6" cm="1">
        <f t="array" ref="J180">_xlfn.STDEV.S(IF($A:$A=A180, $F:$F))</f>
        <v>0.24631280924872814</v>
      </c>
      <c r="P180" s="8">
        <f t="shared" si="15"/>
        <v>0.95344924284914045</v>
      </c>
      <c r="Q180" s="8">
        <f t="shared" si="16"/>
        <v>0.95344924284914045</v>
      </c>
      <c r="R180" s="8">
        <f t="shared" si="17"/>
        <v>0.95344924284914045</v>
      </c>
    </row>
    <row r="181" spans="1:18" x14ac:dyDescent="0.25">
      <c r="A181" s="7">
        <f t="shared" si="12"/>
        <v>36</v>
      </c>
      <c r="B181" s="2">
        <v>43186</v>
      </c>
      <c r="C181" s="3">
        <v>18.510000000000002</v>
      </c>
      <c r="D181" s="3">
        <v>18.510000000000002</v>
      </c>
      <c r="E181" s="3">
        <v>18</v>
      </c>
      <c r="F181" s="3">
        <v>18</v>
      </c>
      <c r="G181" s="3">
        <v>51350</v>
      </c>
      <c r="H181" s="8">
        <f t="shared" si="13"/>
        <v>0.95344924284914045</v>
      </c>
      <c r="I181">
        <f t="shared" si="14"/>
        <v>18.167999999999999</v>
      </c>
      <c r="J181" s="6" cm="1">
        <f t="array" ref="J181">_xlfn.STDEV.S(IF($A:$A=A181, $F:$F))</f>
        <v>0.24631280924872814</v>
      </c>
      <c r="P181" s="8">
        <f t="shared" si="15"/>
        <v>0.95344924284914045</v>
      </c>
      <c r="Q181" s="8">
        <f t="shared" si="16"/>
        <v>0.95344924284914045</v>
      </c>
      <c r="R181" s="8">
        <f t="shared" si="17"/>
        <v>0.95344924284914045</v>
      </c>
    </row>
    <row r="182" spans="1:18" x14ac:dyDescent="0.25">
      <c r="A182" s="7">
        <f t="shared" si="12"/>
        <v>37</v>
      </c>
      <c r="B182" s="2">
        <v>43187</v>
      </c>
      <c r="C182" s="3">
        <v>18.05</v>
      </c>
      <c r="D182" s="3">
        <v>18.510000000000002</v>
      </c>
      <c r="E182" s="3">
        <v>18.05</v>
      </c>
      <c r="F182" s="3">
        <v>18.510000000000002</v>
      </c>
      <c r="G182" s="3">
        <v>28650</v>
      </c>
      <c r="H182" s="8">
        <f t="shared" si="13"/>
        <v>8.3738519719070599</v>
      </c>
      <c r="I182">
        <f t="shared" si="14"/>
        <v>19.076000000000001</v>
      </c>
      <c r="J182" s="6" cm="1">
        <f t="array" ref="J182">_xlfn.STDEV.S(IF($A:$A=A182, $F:$F))</f>
        <v>0.78500318470691488</v>
      </c>
      <c r="P182" s="8">
        <f t="shared" si="15"/>
        <v>8.3738519719070599</v>
      </c>
      <c r="Q182" s="8">
        <f t="shared" si="16"/>
        <v>8.3738519719070599</v>
      </c>
      <c r="R182" s="8">
        <f t="shared" si="17"/>
        <v>8.3738519719070599</v>
      </c>
    </row>
    <row r="183" spans="1:18" x14ac:dyDescent="0.25">
      <c r="A183" s="7">
        <f t="shared" si="12"/>
        <v>37</v>
      </c>
      <c r="B183" s="2">
        <v>43188</v>
      </c>
      <c r="C183" s="3">
        <v>18.510000000000002</v>
      </c>
      <c r="D183" s="3">
        <v>18.510000000000002</v>
      </c>
      <c r="E183" s="3">
        <v>18.34</v>
      </c>
      <c r="F183" s="3">
        <v>18.5</v>
      </c>
      <c r="G183" s="3">
        <v>51330</v>
      </c>
      <c r="H183" s="8">
        <f t="shared" si="13"/>
        <v>8.3738519719070599</v>
      </c>
      <c r="I183">
        <f t="shared" si="14"/>
        <v>19.076000000000001</v>
      </c>
      <c r="J183" s="6" cm="1">
        <f t="array" ref="J183">_xlfn.STDEV.S(IF($A:$A=A183, $F:$F))</f>
        <v>0.78500318470691488</v>
      </c>
      <c r="P183" s="8">
        <f t="shared" si="15"/>
        <v>8.3738519719070599</v>
      </c>
      <c r="Q183" s="8">
        <f t="shared" si="16"/>
        <v>8.3738519719070599</v>
      </c>
      <c r="R183" s="8">
        <f t="shared" si="17"/>
        <v>8.3738519719070599</v>
      </c>
    </row>
    <row r="184" spans="1:18" x14ac:dyDescent="0.25">
      <c r="A184" s="7">
        <f t="shared" si="12"/>
        <v>37</v>
      </c>
      <c r="B184" s="2">
        <v>43189</v>
      </c>
      <c r="C184" s="3">
        <v>18.510000000000002</v>
      </c>
      <c r="D184" s="3">
        <v>18.53</v>
      </c>
      <c r="E184" s="3">
        <v>18.34</v>
      </c>
      <c r="F184" s="3">
        <v>18.510000000000002</v>
      </c>
      <c r="G184" s="3">
        <v>311980</v>
      </c>
      <c r="H184" s="8">
        <f t="shared" si="13"/>
        <v>8.3738519719070599</v>
      </c>
      <c r="I184">
        <f t="shared" si="14"/>
        <v>19.076000000000001</v>
      </c>
      <c r="J184" s="6" cm="1">
        <f t="array" ref="J184">_xlfn.STDEV.S(IF($A:$A=A184, $F:$F))</f>
        <v>0.78500318470691488</v>
      </c>
      <c r="P184" s="8">
        <f t="shared" si="15"/>
        <v>8.3738519719070599</v>
      </c>
      <c r="Q184" s="8">
        <f t="shared" si="16"/>
        <v>8.3738519719070599</v>
      </c>
      <c r="R184" s="8">
        <f t="shared" si="17"/>
        <v>8.3738519719070599</v>
      </c>
    </row>
    <row r="185" spans="1:18" x14ac:dyDescent="0.25">
      <c r="A185" s="7">
        <f t="shared" si="12"/>
        <v>37</v>
      </c>
      <c r="B185" s="2">
        <v>43192</v>
      </c>
      <c r="C185" s="3">
        <v>18.510000000000002</v>
      </c>
      <c r="D185" s="3">
        <v>19.8</v>
      </c>
      <c r="E185" s="3">
        <v>18.510000000000002</v>
      </c>
      <c r="F185" s="3">
        <v>19.8</v>
      </c>
      <c r="G185" s="3">
        <v>388350</v>
      </c>
      <c r="H185" s="8">
        <f t="shared" si="13"/>
        <v>8.3738519719070599</v>
      </c>
      <c r="I185">
        <f t="shared" si="14"/>
        <v>19.076000000000001</v>
      </c>
      <c r="J185" s="6" cm="1">
        <f t="array" ref="J185">_xlfn.STDEV.S(IF($A:$A=A185, $F:$F))</f>
        <v>0.78500318470691488</v>
      </c>
      <c r="P185" s="8">
        <f t="shared" si="15"/>
        <v>8.3738519719070599</v>
      </c>
      <c r="Q185" s="8">
        <f t="shared" si="16"/>
        <v>8.3738519719070599</v>
      </c>
      <c r="R185" s="8">
        <f t="shared" si="17"/>
        <v>8.3738519719070599</v>
      </c>
    </row>
    <row r="186" spans="1:18" x14ac:dyDescent="0.25">
      <c r="A186" s="7">
        <f t="shared" si="12"/>
        <v>37</v>
      </c>
      <c r="B186" s="2">
        <v>43193</v>
      </c>
      <c r="C186" s="3">
        <v>20.57</v>
      </c>
      <c r="D186" s="3">
        <v>20.57</v>
      </c>
      <c r="E186" s="3">
        <v>19.88</v>
      </c>
      <c r="F186" s="3">
        <v>20.059999999999999</v>
      </c>
      <c r="G186" s="3">
        <v>119770</v>
      </c>
      <c r="H186" s="8">
        <f t="shared" si="13"/>
        <v>8.3738519719070599</v>
      </c>
      <c r="I186">
        <f t="shared" si="14"/>
        <v>19.076000000000001</v>
      </c>
      <c r="J186" s="6" cm="1">
        <f t="array" ref="J186">_xlfn.STDEV.S(IF($A:$A=A186, $F:$F))</f>
        <v>0.78500318470691488</v>
      </c>
      <c r="P186" s="8">
        <f t="shared" si="15"/>
        <v>8.3738519719070599</v>
      </c>
      <c r="Q186" s="8">
        <f t="shared" si="16"/>
        <v>8.3738519719070599</v>
      </c>
      <c r="R186" s="8">
        <f t="shared" si="17"/>
        <v>8.3738519719070599</v>
      </c>
    </row>
    <row r="187" spans="1:18" x14ac:dyDescent="0.25">
      <c r="A187" s="7">
        <f t="shared" si="12"/>
        <v>38</v>
      </c>
      <c r="B187" s="2">
        <v>43194</v>
      </c>
      <c r="C187" s="3">
        <v>20.57</v>
      </c>
      <c r="D187" s="3">
        <v>20.57</v>
      </c>
      <c r="E187" s="3">
        <v>19.97</v>
      </c>
      <c r="F187" s="3">
        <v>20.04</v>
      </c>
      <c r="G187" s="3">
        <v>77130</v>
      </c>
      <c r="H187" s="8">
        <f t="shared" si="13"/>
        <v>-1.6467065868263389</v>
      </c>
      <c r="I187">
        <f t="shared" si="14"/>
        <v>19.983999999999998</v>
      </c>
      <c r="J187" s="6" cm="1">
        <f t="array" ref="J187">_xlfn.STDEV.S(IF($A:$A=A187, $F:$F))</f>
        <v>0.1970532922840923</v>
      </c>
      <c r="P187" s="8">
        <f t="shared" si="15"/>
        <v>-1.6467065868263389</v>
      </c>
      <c r="Q187" s="8">
        <f t="shared" si="16"/>
        <v>-1.6467065868263389</v>
      </c>
      <c r="R187" s="8">
        <f t="shared" si="17"/>
        <v>-1.6467065868263389</v>
      </c>
    </row>
    <row r="188" spans="1:18" x14ac:dyDescent="0.25">
      <c r="A188" s="7">
        <f t="shared" si="12"/>
        <v>38</v>
      </c>
      <c r="B188" s="2">
        <v>43195</v>
      </c>
      <c r="C188" s="3">
        <v>20.399999999999999</v>
      </c>
      <c r="D188" s="3">
        <v>20.399999999999999</v>
      </c>
      <c r="E188" s="3">
        <v>19.989999999999998</v>
      </c>
      <c r="F188" s="3">
        <v>20.059999999999999</v>
      </c>
      <c r="G188" s="3">
        <v>60750</v>
      </c>
      <c r="H188" s="8">
        <f t="shared" si="13"/>
        <v>-1.6467065868263389</v>
      </c>
      <c r="I188">
        <f t="shared" si="14"/>
        <v>19.983999999999998</v>
      </c>
      <c r="J188" s="6" cm="1">
        <f t="array" ref="J188">_xlfn.STDEV.S(IF($A:$A=A188, $F:$F))</f>
        <v>0.1970532922840923</v>
      </c>
      <c r="P188" s="8">
        <f t="shared" si="15"/>
        <v>-1.6467065868263389</v>
      </c>
      <c r="Q188" s="8">
        <f t="shared" si="16"/>
        <v>-1.6467065868263389</v>
      </c>
      <c r="R188" s="8">
        <f t="shared" si="17"/>
        <v>-1.6467065868263389</v>
      </c>
    </row>
    <row r="189" spans="1:18" x14ac:dyDescent="0.25">
      <c r="A189" s="7">
        <f t="shared" si="12"/>
        <v>38</v>
      </c>
      <c r="B189" s="2">
        <v>43196</v>
      </c>
      <c r="C189" s="3">
        <v>19.88</v>
      </c>
      <c r="D189" s="3">
        <v>20.55</v>
      </c>
      <c r="E189" s="3">
        <v>19.88</v>
      </c>
      <c r="F189" s="3">
        <v>20.23</v>
      </c>
      <c r="G189" s="3">
        <v>37510</v>
      </c>
      <c r="H189" s="8">
        <f t="shared" si="13"/>
        <v>-1.6467065868263389</v>
      </c>
      <c r="I189">
        <f t="shared" si="14"/>
        <v>19.983999999999998</v>
      </c>
      <c r="J189" s="6" cm="1">
        <f t="array" ref="J189">_xlfn.STDEV.S(IF($A:$A=A189, $F:$F))</f>
        <v>0.1970532922840923</v>
      </c>
      <c r="P189" s="8">
        <f t="shared" si="15"/>
        <v>-1.6467065868263389</v>
      </c>
      <c r="Q189" s="8">
        <f t="shared" si="16"/>
        <v>-1.6467065868263389</v>
      </c>
      <c r="R189" s="8">
        <f t="shared" si="17"/>
        <v>-1.6467065868263389</v>
      </c>
    </row>
    <row r="190" spans="1:18" x14ac:dyDescent="0.25">
      <c r="A190" s="7">
        <f t="shared" si="12"/>
        <v>38</v>
      </c>
      <c r="B190" s="2">
        <v>43199</v>
      </c>
      <c r="C190" s="3">
        <v>19.920000000000002</v>
      </c>
      <c r="D190" s="3">
        <v>20.48</v>
      </c>
      <c r="E190" s="3">
        <v>19.88</v>
      </c>
      <c r="F190" s="3">
        <v>19.88</v>
      </c>
      <c r="G190" s="3">
        <v>52410</v>
      </c>
      <c r="H190" s="8">
        <f t="shared" si="13"/>
        <v>-1.6467065868263389</v>
      </c>
      <c r="I190">
        <f t="shared" si="14"/>
        <v>19.983999999999998</v>
      </c>
      <c r="J190" s="6" cm="1">
        <f t="array" ref="J190">_xlfn.STDEV.S(IF($A:$A=A190, $F:$F))</f>
        <v>0.1970532922840923</v>
      </c>
      <c r="P190" s="8">
        <f t="shared" si="15"/>
        <v>-1.6467065868263389</v>
      </c>
      <c r="Q190" s="8">
        <f t="shared" si="16"/>
        <v>-1.6467065868263389</v>
      </c>
      <c r="R190" s="8">
        <f t="shared" si="17"/>
        <v>-1.6467065868263389</v>
      </c>
    </row>
    <row r="191" spans="1:18" x14ac:dyDescent="0.25">
      <c r="A191" s="7">
        <f t="shared" si="12"/>
        <v>38</v>
      </c>
      <c r="B191" s="2">
        <v>43200</v>
      </c>
      <c r="C191" s="3">
        <v>19.73</v>
      </c>
      <c r="D191" s="3">
        <v>20.059999999999999</v>
      </c>
      <c r="E191" s="3">
        <v>19.71</v>
      </c>
      <c r="F191" s="3">
        <v>19.71</v>
      </c>
      <c r="G191" s="3">
        <v>143720</v>
      </c>
      <c r="H191" s="8">
        <f t="shared" si="13"/>
        <v>-1.6467065868263389</v>
      </c>
      <c r="I191">
        <f t="shared" si="14"/>
        <v>19.983999999999998</v>
      </c>
      <c r="J191" s="6" cm="1">
        <f t="array" ref="J191">_xlfn.STDEV.S(IF($A:$A=A191, $F:$F))</f>
        <v>0.1970532922840923</v>
      </c>
      <c r="P191" s="8">
        <f t="shared" si="15"/>
        <v>-1.6467065868263389</v>
      </c>
      <c r="Q191" s="8">
        <f t="shared" si="16"/>
        <v>-1.6467065868263389</v>
      </c>
      <c r="R191" s="8">
        <f t="shared" si="17"/>
        <v>-1.6467065868263389</v>
      </c>
    </row>
    <row r="192" spans="1:18" x14ac:dyDescent="0.25">
      <c r="A192" s="7">
        <f t="shared" si="12"/>
        <v>39</v>
      </c>
      <c r="B192" s="2">
        <v>43201</v>
      </c>
      <c r="C192" s="3">
        <v>19.71</v>
      </c>
      <c r="D192" s="3">
        <v>20.14</v>
      </c>
      <c r="E192" s="3">
        <v>19.100000000000001</v>
      </c>
      <c r="F192" s="3">
        <v>19.2</v>
      </c>
      <c r="G192" s="3">
        <v>40190</v>
      </c>
      <c r="H192" s="8">
        <f t="shared" si="13"/>
        <v>-2.5000000000000022</v>
      </c>
      <c r="I192">
        <f t="shared" si="14"/>
        <v>18.826000000000001</v>
      </c>
      <c r="J192" s="6" cm="1">
        <f t="array" ref="J192">_xlfn.STDEV.S(IF($A:$A=A192, $F:$F))</f>
        <v>0.35295892112255722</v>
      </c>
      <c r="P192" s="8">
        <f t="shared" si="15"/>
        <v>-2.5000000000000022</v>
      </c>
      <c r="Q192" s="8">
        <f t="shared" si="16"/>
        <v>-2.5000000000000022</v>
      </c>
      <c r="R192" s="8">
        <f t="shared" si="17"/>
        <v>-2.5000000000000022</v>
      </c>
    </row>
    <row r="193" spans="1:18" x14ac:dyDescent="0.25">
      <c r="A193" s="7">
        <f t="shared" si="12"/>
        <v>39</v>
      </c>
      <c r="B193" s="2">
        <v>43202</v>
      </c>
      <c r="C193" s="3">
        <v>18.68</v>
      </c>
      <c r="D193" s="3">
        <v>19.2</v>
      </c>
      <c r="E193" s="3">
        <v>18.600000000000001</v>
      </c>
      <c r="F193" s="3">
        <v>19.2</v>
      </c>
      <c r="G193" s="3">
        <v>103180</v>
      </c>
      <c r="H193" s="8">
        <f t="shared" si="13"/>
        <v>-2.5000000000000022</v>
      </c>
      <c r="I193">
        <f t="shared" si="14"/>
        <v>18.826000000000001</v>
      </c>
      <c r="J193" s="6" cm="1">
        <f t="array" ref="J193">_xlfn.STDEV.S(IF($A:$A=A193, $F:$F))</f>
        <v>0.35295892112255722</v>
      </c>
      <c r="P193" s="8">
        <f t="shared" si="15"/>
        <v>-2.5000000000000022</v>
      </c>
      <c r="Q193" s="8">
        <f t="shared" si="16"/>
        <v>-2.5000000000000022</v>
      </c>
      <c r="R193" s="8">
        <f t="shared" si="17"/>
        <v>-2.5000000000000022</v>
      </c>
    </row>
    <row r="194" spans="1:18" x14ac:dyDescent="0.25">
      <c r="A194" s="7">
        <f t="shared" si="12"/>
        <v>39</v>
      </c>
      <c r="B194" s="2">
        <v>43203</v>
      </c>
      <c r="C194" s="3">
        <v>19.03</v>
      </c>
      <c r="D194" s="3">
        <v>19.54</v>
      </c>
      <c r="E194" s="3">
        <v>18.34</v>
      </c>
      <c r="F194" s="3">
        <v>18.53</v>
      </c>
      <c r="G194" s="3">
        <v>150660</v>
      </c>
      <c r="H194" s="8">
        <f t="shared" si="13"/>
        <v>-2.5000000000000022</v>
      </c>
      <c r="I194">
        <f t="shared" si="14"/>
        <v>18.826000000000001</v>
      </c>
      <c r="J194" s="6" cm="1">
        <f t="array" ref="J194">_xlfn.STDEV.S(IF($A:$A=A194, $F:$F))</f>
        <v>0.35295892112255722</v>
      </c>
      <c r="P194" s="8">
        <f t="shared" si="15"/>
        <v>-2.5000000000000022</v>
      </c>
      <c r="Q194" s="8">
        <f t="shared" si="16"/>
        <v>-2.5000000000000022</v>
      </c>
      <c r="R194" s="8">
        <f t="shared" si="17"/>
        <v>-2.5000000000000022</v>
      </c>
    </row>
    <row r="195" spans="1:18" x14ac:dyDescent="0.25">
      <c r="A195" s="7">
        <f t="shared" ref="A195:A258" si="18">INT((ROW(A195)-ROW($A$2))/5) + 1</f>
        <v>39</v>
      </c>
      <c r="B195" s="2">
        <v>43206</v>
      </c>
      <c r="C195" s="3">
        <v>18.8</v>
      </c>
      <c r="D195" s="3">
        <v>18.940000000000001</v>
      </c>
      <c r="E195" s="3">
        <v>18.48</v>
      </c>
      <c r="F195" s="3">
        <v>18.48</v>
      </c>
      <c r="G195" s="3">
        <v>130290</v>
      </c>
      <c r="H195" s="8">
        <f t="shared" ref="H195:H258" si="19">IF(A195=A194, H194, (F199-F195)/F195*100)</f>
        <v>-2.5000000000000022</v>
      </c>
      <c r="I195">
        <f t="shared" ref="I195:I258" si="20">AVERAGEIF($A:$A, A195, $F:$F)</f>
        <v>18.826000000000001</v>
      </c>
      <c r="J195" s="6" cm="1">
        <f t="array" ref="J195">_xlfn.STDEV.S(IF($A:$A=A195, $F:$F))</f>
        <v>0.35295892112255722</v>
      </c>
      <c r="P195" s="8">
        <f t="shared" ref="P195:P258" si="21">IF(A195=A194,P194,(F199-F195)/F195*100)</f>
        <v>-2.5000000000000022</v>
      </c>
      <c r="Q195" s="8">
        <f t="shared" ref="Q195:Q258" si="22">IF(A195=A194,Q194,(F199-F195)/F195*100)</f>
        <v>-2.5000000000000022</v>
      </c>
      <c r="R195" s="8">
        <f t="shared" ref="R195:R258" si="23">IF(A195=A194,R194,(F199-F195)/F195*100)</f>
        <v>-2.5000000000000022</v>
      </c>
    </row>
    <row r="196" spans="1:18" x14ac:dyDescent="0.25">
      <c r="A196" s="7">
        <f t="shared" si="18"/>
        <v>39</v>
      </c>
      <c r="B196" s="2">
        <v>43207</v>
      </c>
      <c r="C196" s="3">
        <v>18.48</v>
      </c>
      <c r="D196" s="3">
        <v>19.03</v>
      </c>
      <c r="E196" s="3">
        <v>18.48</v>
      </c>
      <c r="F196" s="3">
        <v>18.72</v>
      </c>
      <c r="G196" s="3">
        <v>216970</v>
      </c>
      <c r="H196" s="8">
        <f t="shared" si="19"/>
        <v>-2.5000000000000022</v>
      </c>
      <c r="I196">
        <f t="shared" si="20"/>
        <v>18.826000000000001</v>
      </c>
      <c r="J196" s="6" cm="1">
        <f t="array" ref="J196">_xlfn.STDEV.S(IF($A:$A=A196, $F:$F))</f>
        <v>0.35295892112255722</v>
      </c>
      <c r="P196" s="8">
        <f t="shared" si="21"/>
        <v>-2.5000000000000022</v>
      </c>
      <c r="Q196" s="8">
        <f t="shared" si="22"/>
        <v>-2.5000000000000022</v>
      </c>
      <c r="R196" s="8">
        <f t="shared" si="23"/>
        <v>-2.5000000000000022</v>
      </c>
    </row>
    <row r="197" spans="1:18" x14ac:dyDescent="0.25">
      <c r="A197" s="7">
        <f t="shared" si="18"/>
        <v>40</v>
      </c>
      <c r="B197" s="2">
        <v>43208</v>
      </c>
      <c r="C197" s="3">
        <v>18.68</v>
      </c>
      <c r="D197" s="3">
        <v>18.86</v>
      </c>
      <c r="E197" s="3">
        <v>18.510000000000002</v>
      </c>
      <c r="F197" s="3">
        <v>18.559999999999999</v>
      </c>
      <c r="G197" s="3">
        <v>181010</v>
      </c>
      <c r="H197" s="8">
        <f t="shared" si="19"/>
        <v>-12.284482758620678</v>
      </c>
      <c r="I197">
        <f t="shared" si="20"/>
        <v>17.565999999999999</v>
      </c>
      <c r="J197" s="6" cm="1">
        <f t="array" ref="J197">_xlfn.STDEV.S(IF($A:$A=A197, $F:$F))</f>
        <v>0.97461787383568887</v>
      </c>
      <c r="P197" s="8">
        <f t="shared" si="21"/>
        <v>-12.284482758620678</v>
      </c>
      <c r="Q197" s="8">
        <f t="shared" si="22"/>
        <v>-12.284482758620678</v>
      </c>
      <c r="R197" s="11">
        <f t="shared" si="23"/>
        <v>-12.284482758620678</v>
      </c>
    </row>
    <row r="198" spans="1:18" x14ac:dyDescent="0.25">
      <c r="A198" s="7">
        <f t="shared" si="18"/>
        <v>40</v>
      </c>
      <c r="B198" s="2">
        <v>43209</v>
      </c>
      <c r="C198" s="3">
        <v>18.559999999999999</v>
      </c>
      <c r="D198" s="3">
        <v>18.559999999999999</v>
      </c>
      <c r="E198" s="3">
        <v>17.93</v>
      </c>
      <c r="F198" s="3">
        <v>18.170000000000002</v>
      </c>
      <c r="G198" s="3">
        <v>203350</v>
      </c>
      <c r="H198" s="8">
        <f t="shared" si="19"/>
        <v>-12.284482758620678</v>
      </c>
      <c r="I198">
        <f t="shared" si="20"/>
        <v>17.565999999999999</v>
      </c>
      <c r="J198" s="6" cm="1">
        <f t="array" ref="J198">_xlfn.STDEV.S(IF($A:$A=A198, $F:$F))</f>
        <v>0.97461787383568887</v>
      </c>
      <c r="P198" s="8">
        <f t="shared" si="21"/>
        <v>-12.284482758620678</v>
      </c>
      <c r="Q198" s="8">
        <f t="shared" si="22"/>
        <v>-12.284482758620678</v>
      </c>
      <c r="R198" s="11">
        <f t="shared" si="23"/>
        <v>-12.284482758620678</v>
      </c>
    </row>
    <row r="199" spans="1:18" x14ac:dyDescent="0.25">
      <c r="A199" s="7">
        <f t="shared" si="18"/>
        <v>40</v>
      </c>
      <c r="B199" s="2">
        <v>43210</v>
      </c>
      <c r="C199" s="3">
        <v>18.03</v>
      </c>
      <c r="D199" s="3">
        <v>18.170000000000002</v>
      </c>
      <c r="E199" s="3">
        <v>17.84</v>
      </c>
      <c r="F199" s="3">
        <v>18.02</v>
      </c>
      <c r="G199" s="3">
        <v>260920</v>
      </c>
      <c r="H199" s="8">
        <f t="shared" si="19"/>
        <v>-12.284482758620678</v>
      </c>
      <c r="I199">
        <f t="shared" si="20"/>
        <v>17.565999999999999</v>
      </c>
      <c r="J199" s="6" cm="1">
        <f t="array" ref="J199">_xlfn.STDEV.S(IF($A:$A=A199, $F:$F))</f>
        <v>0.97461787383568887</v>
      </c>
      <c r="P199" s="8">
        <f t="shared" si="21"/>
        <v>-12.284482758620678</v>
      </c>
      <c r="Q199" s="8">
        <f t="shared" si="22"/>
        <v>-12.284482758620678</v>
      </c>
      <c r="R199" s="11">
        <f t="shared" si="23"/>
        <v>-12.284482758620678</v>
      </c>
    </row>
    <row r="200" spans="1:18" x14ac:dyDescent="0.25">
      <c r="A200" s="7">
        <f t="shared" si="18"/>
        <v>40</v>
      </c>
      <c r="B200" s="2">
        <v>43213</v>
      </c>
      <c r="C200" s="3">
        <v>18.05</v>
      </c>
      <c r="D200" s="3">
        <v>18.05</v>
      </c>
      <c r="E200" s="3">
        <v>16.760000000000002</v>
      </c>
      <c r="F200" s="3">
        <v>16.8</v>
      </c>
      <c r="G200" s="3">
        <v>220600</v>
      </c>
      <c r="H200" s="8">
        <f t="shared" si="19"/>
        <v>-12.284482758620678</v>
      </c>
      <c r="I200">
        <f t="shared" si="20"/>
        <v>17.565999999999999</v>
      </c>
      <c r="J200" s="6" cm="1">
        <f t="array" ref="J200">_xlfn.STDEV.S(IF($A:$A=A200, $F:$F))</f>
        <v>0.97461787383568887</v>
      </c>
      <c r="P200" s="8">
        <f t="shared" si="21"/>
        <v>-12.284482758620678</v>
      </c>
      <c r="Q200" s="8">
        <f t="shared" si="22"/>
        <v>-12.284482758620678</v>
      </c>
      <c r="R200" s="11">
        <f t="shared" si="23"/>
        <v>-12.284482758620678</v>
      </c>
    </row>
    <row r="201" spans="1:18" x14ac:dyDescent="0.25">
      <c r="A201" s="7">
        <f t="shared" si="18"/>
        <v>40</v>
      </c>
      <c r="B201" s="2">
        <v>43214</v>
      </c>
      <c r="C201" s="3">
        <v>16.8</v>
      </c>
      <c r="D201" s="3">
        <v>16.8</v>
      </c>
      <c r="E201" s="3">
        <v>15.94</v>
      </c>
      <c r="F201" s="3">
        <v>16.28</v>
      </c>
      <c r="G201" s="3">
        <v>218100</v>
      </c>
      <c r="H201" s="8">
        <f t="shared" si="19"/>
        <v>-12.284482758620678</v>
      </c>
      <c r="I201">
        <f t="shared" si="20"/>
        <v>17.565999999999999</v>
      </c>
      <c r="J201" s="6" cm="1">
        <f t="array" ref="J201">_xlfn.STDEV.S(IF($A:$A=A201, $F:$F))</f>
        <v>0.97461787383568887</v>
      </c>
      <c r="P201" s="8">
        <f t="shared" si="21"/>
        <v>-12.284482758620678</v>
      </c>
      <c r="Q201" s="8">
        <f t="shared" si="22"/>
        <v>-12.284482758620678</v>
      </c>
      <c r="R201" s="11">
        <f t="shared" si="23"/>
        <v>-12.284482758620678</v>
      </c>
    </row>
    <row r="202" spans="1:18" x14ac:dyDescent="0.25">
      <c r="A202" s="7">
        <f t="shared" si="18"/>
        <v>41</v>
      </c>
      <c r="B202" s="2">
        <v>43216</v>
      </c>
      <c r="C202" s="3">
        <v>16.28</v>
      </c>
      <c r="D202" s="3">
        <v>16.46</v>
      </c>
      <c r="E202" s="3">
        <v>15.19</v>
      </c>
      <c r="F202" s="3">
        <v>15.19</v>
      </c>
      <c r="G202" s="3">
        <v>87340</v>
      </c>
      <c r="H202" s="8">
        <f t="shared" si="19"/>
        <v>5.3982883475971164</v>
      </c>
      <c r="I202">
        <f t="shared" si="20"/>
        <v>15.702000000000002</v>
      </c>
      <c r="J202" s="6" cm="1">
        <f t="array" ref="J202">_xlfn.STDEV.S(IF($A:$A=A202, $F:$F))</f>
        <v>0.32736829412757779</v>
      </c>
      <c r="P202" s="8">
        <f t="shared" si="21"/>
        <v>5.3982883475971164</v>
      </c>
      <c r="Q202" s="8">
        <f t="shared" si="22"/>
        <v>5.3982883475971164</v>
      </c>
      <c r="R202" s="8">
        <f t="shared" si="23"/>
        <v>5.3982883475971164</v>
      </c>
    </row>
    <row r="203" spans="1:18" x14ac:dyDescent="0.25">
      <c r="A203" s="7">
        <f t="shared" si="18"/>
        <v>41</v>
      </c>
      <c r="B203" s="2">
        <v>43217</v>
      </c>
      <c r="C203" s="3">
        <v>15.19</v>
      </c>
      <c r="D203" s="3">
        <v>15.94</v>
      </c>
      <c r="E203" s="3">
        <v>15.15</v>
      </c>
      <c r="F203" s="3">
        <v>15.94</v>
      </c>
      <c r="G203" s="3">
        <v>146570</v>
      </c>
      <c r="H203" s="8">
        <f t="shared" si="19"/>
        <v>5.3982883475971164</v>
      </c>
      <c r="I203">
        <f t="shared" si="20"/>
        <v>15.702000000000002</v>
      </c>
      <c r="J203" s="6" cm="1">
        <f t="array" ref="J203">_xlfn.STDEV.S(IF($A:$A=A203, $F:$F))</f>
        <v>0.32736829412757779</v>
      </c>
      <c r="P203" s="8">
        <f t="shared" si="21"/>
        <v>5.3982883475971164</v>
      </c>
      <c r="Q203" s="8">
        <f t="shared" si="22"/>
        <v>5.3982883475971164</v>
      </c>
      <c r="R203" s="8">
        <f t="shared" si="23"/>
        <v>5.3982883475971164</v>
      </c>
    </row>
    <row r="204" spans="1:18" x14ac:dyDescent="0.25">
      <c r="A204" s="7">
        <f t="shared" si="18"/>
        <v>41</v>
      </c>
      <c r="B204" s="2">
        <v>43222</v>
      </c>
      <c r="C204" s="3">
        <v>15.94</v>
      </c>
      <c r="D204" s="3">
        <v>15.94</v>
      </c>
      <c r="E204" s="3">
        <v>15.6</v>
      </c>
      <c r="F204" s="3">
        <v>15.6</v>
      </c>
      <c r="G204" s="3">
        <v>55060</v>
      </c>
      <c r="H204" s="8">
        <f t="shared" si="19"/>
        <v>5.3982883475971164</v>
      </c>
      <c r="I204">
        <f t="shared" si="20"/>
        <v>15.702000000000002</v>
      </c>
      <c r="J204" s="6" cm="1">
        <f t="array" ref="J204">_xlfn.STDEV.S(IF($A:$A=A204, $F:$F))</f>
        <v>0.32736829412757779</v>
      </c>
      <c r="P204" s="8">
        <f t="shared" si="21"/>
        <v>5.3982883475971164</v>
      </c>
      <c r="Q204" s="8">
        <f t="shared" si="22"/>
        <v>5.3982883475971164</v>
      </c>
      <c r="R204" s="8">
        <f t="shared" si="23"/>
        <v>5.3982883475971164</v>
      </c>
    </row>
    <row r="205" spans="1:18" x14ac:dyDescent="0.25">
      <c r="A205" s="7">
        <f t="shared" si="18"/>
        <v>41</v>
      </c>
      <c r="B205" s="2">
        <v>43223</v>
      </c>
      <c r="C205" s="3">
        <v>15.6</v>
      </c>
      <c r="D205" s="3">
        <v>15.94</v>
      </c>
      <c r="E205" s="3">
        <v>14.74</v>
      </c>
      <c r="F205" s="3">
        <v>15.77</v>
      </c>
      <c r="G205" s="3">
        <v>303310</v>
      </c>
      <c r="H205" s="8">
        <f t="shared" si="19"/>
        <v>5.3982883475971164</v>
      </c>
      <c r="I205">
        <f t="shared" si="20"/>
        <v>15.702000000000002</v>
      </c>
      <c r="J205" s="6" cm="1">
        <f t="array" ref="J205">_xlfn.STDEV.S(IF($A:$A=A205, $F:$F))</f>
        <v>0.32736829412757779</v>
      </c>
      <c r="P205" s="8">
        <f t="shared" si="21"/>
        <v>5.3982883475971164</v>
      </c>
      <c r="Q205" s="8">
        <f t="shared" si="22"/>
        <v>5.3982883475971164</v>
      </c>
      <c r="R205" s="8">
        <f t="shared" si="23"/>
        <v>5.3982883475971164</v>
      </c>
    </row>
    <row r="206" spans="1:18" x14ac:dyDescent="0.25">
      <c r="A206" s="7">
        <f t="shared" si="18"/>
        <v>41</v>
      </c>
      <c r="B206" s="2">
        <v>43224</v>
      </c>
      <c r="C206" s="3">
        <v>16.11</v>
      </c>
      <c r="D206" s="3">
        <v>16.11</v>
      </c>
      <c r="E206" s="3">
        <v>15.56</v>
      </c>
      <c r="F206" s="3">
        <v>16.010000000000002</v>
      </c>
      <c r="G206" s="3">
        <v>250050</v>
      </c>
      <c r="H206" s="8">
        <f t="shared" si="19"/>
        <v>5.3982883475971164</v>
      </c>
      <c r="I206">
        <f t="shared" si="20"/>
        <v>15.702000000000002</v>
      </c>
      <c r="J206" s="6" cm="1">
        <f t="array" ref="J206">_xlfn.STDEV.S(IF($A:$A=A206, $F:$F))</f>
        <v>0.32736829412757779</v>
      </c>
      <c r="P206" s="8">
        <f t="shared" si="21"/>
        <v>5.3982883475971164</v>
      </c>
      <c r="Q206" s="8">
        <f t="shared" si="22"/>
        <v>5.3982883475971164</v>
      </c>
      <c r="R206" s="8">
        <f t="shared" si="23"/>
        <v>5.3982883475971164</v>
      </c>
    </row>
    <row r="207" spans="1:18" x14ac:dyDescent="0.25">
      <c r="A207" s="7">
        <f t="shared" si="18"/>
        <v>42</v>
      </c>
      <c r="B207" s="2">
        <v>43227</v>
      </c>
      <c r="C207" s="3">
        <v>16.18</v>
      </c>
      <c r="D207" s="3">
        <v>16.46</v>
      </c>
      <c r="E207" s="3">
        <v>15.94</v>
      </c>
      <c r="F207" s="3">
        <v>16.46</v>
      </c>
      <c r="G207" s="3">
        <v>63890</v>
      </c>
      <c r="H207" s="8">
        <f t="shared" si="19"/>
        <v>6.1968408262454409</v>
      </c>
      <c r="I207">
        <f t="shared" si="20"/>
        <v>17.248000000000001</v>
      </c>
      <c r="J207" s="6" cm="1">
        <f t="array" ref="J207">_xlfn.STDEV.S(IF($A:$A=A207, $F:$F))</f>
        <v>0.47594117283546689</v>
      </c>
      <c r="P207" s="8">
        <f t="shared" si="21"/>
        <v>6.1968408262454409</v>
      </c>
      <c r="Q207" s="8">
        <f t="shared" si="22"/>
        <v>6.1968408262454409</v>
      </c>
      <c r="R207" s="8">
        <f t="shared" si="23"/>
        <v>6.1968408262454409</v>
      </c>
    </row>
    <row r="208" spans="1:18" x14ac:dyDescent="0.25">
      <c r="A208" s="7">
        <f t="shared" si="18"/>
        <v>42</v>
      </c>
      <c r="B208" s="2">
        <v>43228</v>
      </c>
      <c r="C208" s="3">
        <v>16.2</v>
      </c>
      <c r="D208" s="3">
        <v>17.350000000000001</v>
      </c>
      <c r="E208" s="3">
        <v>16.2</v>
      </c>
      <c r="F208" s="3">
        <v>17.16</v>
      </c>
      <c r="G208" s="3">
        <v>153750</v>
      </c>
      <c r="H208" s="8">
        <f t="shared" si="19"/>
        <v>6.1968408262454409</v>
      </c>
      <c r="I208">
        <f t="shared" si="20"/>
        <v>17.248000000000001</v>
      </c>
      <c r="J208" s="6" cm="1">
        <f t="array" ref="J208">_xlfn.STDEV.S(IF($A:$A=A208, $F:$F))</f>
        <v>0.47594117283546689</v>
      </c>
      <c r="P208" s="8">
        <f t="shared" si="21"/>
        <v>6.1968408262454409</v>
      </c>
      <c r="Q208" s="8">
        <f t="shared" si="22"/>
        <v>6.1968408262454409</v>
      </c>
      <c r="R208" s="8">
        <f t="shared" si="23"/>
        <v>6.1968408262454409</v>
      </c>
    </row>
    <row r="209" spans="1:18" x14ac:dyDescent="0.25">
      <c r="A209" s="7">
        <f t="shared" si="18"/>
        <v>42</v>
      </c>
      <c r="B209" s="2">
        <v>43229</v>
      </c>
      <c r="C209" s="3">
        <v>16.8</v>
      </c>
      <c r="D209" s="3">
        <v>17.95</v>
      </c>
      <c r="E209" s="3">
        <v>16.8</v>
      </c>
      <c r="F209" s="3">
        <v>17.66</v>
      </c>
      <c r="G209" s="3">
        <v>137090</v>
      </c>
      <c r="H209" s="8">
        <f t="shared" si="19"/>
        <v>6.1968408262454409</v>
      </c>
      <c r="I209">
        <f t="shared" si="20"/>
        <v>17.248000000000001</v>
      </c>
      <c r="J209" s="6" cm="1">
        <f t="array" ref="J209">_xlfn.STDEV.S(IF($A:$A=A209, $F:$F))</f>
        <v>0.47594117283546689</v>
      </c>
      <c r="P209" s="8">
        <f t="shared" si="21"/>
        <v>6.1968408262454409</v>
      </c>
      <c r="Q209" s="8">
        <f t="shared" si="22"/>
        <v>6.1968408262454409</v>
      </c>
      <c r="R209" s="8">
        <f t="shared" si="23"/>
        <v>6.1968408262454409</v>
      </c>
    </row>
    <row r="210" spans="1:18" x14ac:dyDescent="0.25">
      <c r="A210" s="7">
        <f t="shared" si="18"/>
        <v>42</v>
      </c>
      <c r="B210" s="2">
        <v>43230</v>
      </c>
      <c r="C210" s="3">
        <v>17.66</v>
      </c>
      <c r="D210" s="3">
        <v>17.66</v>
      </c>
      <c r="E210" s="3">
        <v>17.18</v>
      </c>
      <c r="F210" s="3">
        <v>17.48</v>
      </c>
      <c r="G210" s="3">
        <v>120280</v>
      </c>
      <c r="H210" s="8">
        <f t="shared" si="19"/>
        <v>6.1968408262454409</v>
      </c>
      <c r="I210">
        <f t="shared" si="20"/>
        <v>17.248000000000001</v>
      </c>
      <c r="J210" s="6" cm="1">
        <f t="array" ref="J210">_xlfn.STDEV.S(IF($A:$A=A210, $F:$F))</f>
        <v>0.47594117283546689</v>
      </c>
      <c r="P210" s="8">
        <f t="shared" si="21"/>
        <v>6.1968408262454409</v>
      </c>
      <c r="Q210" s="8">
        <f t="shared" si="22"/>
        <v>6.1968408262454409</v>
      </c>
      <c r="R210" s="8">
        <f t="shared" si="23"/>
        <v>6.1968408262454409</v>
      </c>
    </row>
    <row r="211" spans="1:18" x14ac:dyDescent="0.25">
      <c r="A211" s="7">
        <f t="shared" si="18"/>
        <v>42</v>
      </c>
      <c r="B211" s="2">
        <v>43231</v>
      </c>
      <c r="C211" s="3">
        <v>17.48</v>
      </c>
      <c r="D211" s="3">
        <v>17.48</v>
      </c>
      <c r="E211" s="3">
        <v>16.46</v>
      </c>
      <c r="F211" s="3">
        <v>17.48</v>
      </c>
      <c r="G211" s="3">
        <v>155050</v>
      </c>
      <c r="H211" s="8">
        <f t="shared" si="19"/>
        <v>6.1968408262454409</v>
      </c>
      <c r="I211">
        <f t="shared" si="20"/>
        <v>17.248000000000001</v>
      </c>
      <c r="J211" s="6" cm="1">
        <f t="array" ref="J211">_xlfn.STDEV.S(IF($A:$A=A211, $F:$F))</f>
        <v>0.47594117283546689</v>
      </c>
      <c r="P211" s="8">
        <f t="shared" si="21"/>
        <v>6.1968408262454409</v>
      </c>
      <c r="Q211" s="8">
        <f t="shared" si="22"/>
        <v>6.1968408262454409</v>
      </c>
      <c r="R211" s="8">
        <f t="shared" si="23"/>
        <v>6.1968408262454409</v>
      </c>
    </row>
    <row r="212" spans="1:18" x14ac:dyDescent="0.25">
      <c r="A212" s="7">
        <f t="shared" si="18"/>
        <v>43</v>
      </c>
      <c r="B212" s="2">
        <v>43234</v>
      </c>
      <c r="C212" s="3">
        <v>17.829999999999998</v>
      </c>
      <c r="D212" s="3">
        <v>17.829999999999998</v>
      </c>
      <c r="E212" s="3">
        <v>17.14</v>
      </c>
      <c r="F212" s="3">
        <v>17.399999999999999</v>
      </c>
      <c r="G212" s="3">
        <v>24920</v>
      </c>
      <c r="H212" s="8">
        <f t="shared" si="19"/>
        <v>-1.494252873563207</v>
      </c>
      <c r="I212">
        <f t="shared" si="20"/>
        <v>17.178000000000001</v>
      </c>
      <c r="J212" s="6" cm="1">
        <f t="array" ref="J212">_xlfn.STDEV.S(IF($A:$A=A212, $F:$F))</f>
        <v>0.30053286010018881</v>
      </c>
      <c r="P212" s="8">
        <f t="shared" si="21"/>
        <v>-1.494252873563207</v>
      </c>
      <c r="Q212" s="8">
        <f t="shared" si="22"/>
        <v>-1.494252873563207</v>
      </c>
      <c r="R212" s="8">
        <f t="shared" si="23"/>
        <v>-1.494252873563207</v>
      </c>
    </row>
    <row r="213" spans="1:18" x14ac:dyDescent="0.25">
      <c r="A213" s="7">
        <f t="shared" si="18"/>
        <v>43</v>
      </c>
      <c r="B213" s="2">
        <v>43235</v>
      </c>
      <c r="C213" s="3">
        <v>17.36</v>
      </c>
      <c r="D213" s="3">
        <v>17.62</v>
      </c>
      <c r="E213" s="3">
        <v>17.14</v>
      </c>
      <c r="F213" s="3">
        <v>17.48</v>
      </c>
      <c r="G213" s="3">
        <v>55090</v>
      </c>
      <c r="H213" s="8">
        <f t="shared" si="19"/>
        <v>-1.494252873563207</v>
      </c>
      <c r="I213">
        <f t="shared" si="20"/>
        <v>17.178000000000001</v>
      </c>
      <c r="J213" s="6" cm="1">
        <f t="array" ref="J213">_xlfn.STDEV.S(IF($A:$A=A213, $F:$F))</f>
        <v>0.30053286010018881</v>
      </c>
      <c r="P213" s="8">
        <f t="shared" si="21"/>
        <v>-1.494252873563207</v>
      </c>
      <c r="Q213" s="8">
        <f t="shared" si="22"/>
        <v>-1.494252873563207</v>
      </c>
      <c r="R213" s="8">
        <f t="shared" si="23"/>
        <v>-1.494252873563207</v>
      </c>
    </row>
    <row r="214" spans="1:18" x14ac:dyDescent="0.25">
      <c r="A214" s="7">
        <f t="shared" si="18"/>
        <v>43</v>
      </c>
      <c r="B214" s="2">
        <v>43236</v>
      </c>
      <c r="C214" s="3">
        <v>17.48</v>
      </c>
      <c r="D214" s="3">
        <v>17.48</v>
      </c>
      <c r="E214" s="3">
        <v>17.16</v>
      </c>
      <c r="F214" s="3">
        <v>17.16</v>
      </c>
      <c r="G214" s="3">
        <v>35420</v>
      </c>
      <c r="H214" s="8">
        <f t="shared" si="19"/>
        <v>-1.494252873563207</v>
      </c>
      <c r="I214">
        <f t="shared" si="20"/>
        <v>17.178000000000001</v>
      </c>
      <c r="J214" s="6" cm="1">
        <f t="array" ref="J214">_xlfn.STDEV.S(IF($A:$A=A214, $F:$F))</f>
        <v>0.30053286010018881</v>
      </c>
      <c r="P214" s="8">
        <f t="shared" si="21"/>
        <v>-1.494252873563207</v>
      </c>
      <c r="Q214" s="8">
        <f t="shared" si="22"/>
        <v>-1.494252873563207</v>
      </c>
      <c r="R214" s="8">
        <f t="shared" si="23"/>
        <v>-1.494252873563207</v>
      </c>
    </row>
    <row r="215" spans="1:18" x14ac:dyDescent="0.25">
      <c r="A215" s="7">
        <f t="shared" si="18"/>
        <v>43</v>
      </c>
      <c r="B215" s="2">
        <v>43237</v>
      </c>
      <c r="C215" s="3">
        <v>16.88</v>
      </c>
      <c r="D215" s="3">
        <v>17.16</v>
      </c>
      <c r="E215" s="3">
        <v>16.71</v>
      </c>
      <c r="F215" s="3">
        <v>16.71</v>
      </c>
      <c r="G215" s="3">
        <v>78360</v>
      </c>
      <c r="H215" s="8">
        <f t="shared" si="19"/>
        <v>-1.494252873563207</v>
      </c>
      <c r="I215">
        <f t="shared" si="20"/>
        <v>17.178000000000001</v>
      </c>
      <c r="J215" s="6" cm="1">
        <f t="array" ref="J215">_xlfn.STDEV.S(IF($A:$A=A215, $F:$F))</f>
        <v>0.30053286010018881</v>
      </c>
      <c r="P215" s="8">
        <f t="shared" si="21"/>
        <v>-1.494252873563207</v>
      </c>
      <c r="Q215" s="8">
        <f t="shared" si="22"/>
        <v>-1.494252873563207</v>
      </c>
      <c r="R215" s="8">
        <f t="shared" si="23"/>
        <v>-1.494252873563207</v>
      </c>
    </row>
    <row r="216" spans="1:18" x14ac:dyDescent="0.25">
      <c r="A216" s="7">
        <f t="shared" si="18"/>
        <v>43</v>
      </c>
      <c r="B216" s="2">
        <v>43238</v>
      </c>
      <c r="C216" s="3">
        <v>16.32</v>
      </c>
      <c r="D216" s="3">
        <v>17.14</v>
      </c>
      <c r="E216" s="3">
        <v>16.32</v>
      </c>
      <c r="F216" s="3">
        <v>17.14</v>
      </c>
      <c r="G216" s="3">
        <v>65020</v>
      </c>
      <c r="H216" s="8">
        <f t="shared" si="19"/>
        <v>-1.494252873563207</v>
      </c>
      <c r="I216">
        <f t="shared" si="20"/>
        <v>17.178000000000001</v>
      </c>
      <c r="J216" s="6" cm="1">
        <f t="array" ref="J216">_xlfn.STDEV.S(IF($A:$A=A216, $F:$F))</f>
        <v>0.30053286010018881</v>
      </c>
      <c r="P216" s="8">
        <f t="shared" si="21"/>
        <v>-1.494252873563207</v>
      </c>
      <c r="Q216" s="8">
        <f t="shared" si="22"/>
        <v>-1.494252873563207</v>
      </c>
      <c r="R216" s="8">
        <f t="shared" si="23"/>
        <v>-1.494252873563207</v>
      </c>
    </row>
    <row r="217" spans="1:18" x14ac:dyDescent="0.25">
      <c r="A217" s="7">
        <f t="shared" si="18"/>
        <v>44</v>
      </c>
      <c r="B217" s="2">
        <v>43241</v>
      </c>
      <c r="C217" s="3">
        <v>17.16</v>
      </c>
      <c r="D217" s="3">
        <v>17.16</v>
      </c>
      <c r="E217" s="3">
        <v>16.97</v>
      </c>
      <c r="F217" s="3">
        <v>17</v>
      </c>
      <c r="G217" s="3">
        <v>13050</v>
      </c>
      <c r="H217" s="8">
        <f t="shared" si="19"/>
        <v>-7.6470588235294166</v>
      </c>
      <c r="I217">
        <f t="shared" si="20"/>
        <v>15.986000000000001</v>
      </c>
      <c r="J217" s="6" cm="1">
        <f t="array" ref="J217">_xlfn.STDEV.S(IF($A:$A=A217, $F:$F))</f>
        <v>0.5993996996996247</v>
      </c>
      <c r="P217" s="8">
        <f t="shared" si="21"/>
        <v>-7.6470588235294166</v>
      </c>
      <c r="Q217" s="8">
        <f t="shared" si="22"/>
        <v>-7.6470588235294166</v>
      </c>
      <c r="R217" s="8">
        <f t="shared" si="23"/>
        <v>-7.6470588235294166</v>
      </c>
    </row>
    <row r="218" spans="1:18" x14ac:dyDescent="0.25">
      <c r="A218" s="7">
        <f t="shared" si="18"/>
        <v>44</v>
      </c>
      <c r="B218" s="2">
        <v>43242</v>
      </c>
      <c r="C218" s="3">
        <v>16.8</v>
      </c>
      <c r="D218" s="3">
        <v>16.8</v>
      </c>
      <c r="E218" s="3">
        <v>15.82</v>
      </c>
      <c r="F218" s="3">
        <v>15.86</v>
      </c>
      <c r="G218" s="3">
        <v>114020</v>
      </c>
      <c r="H218" s="8">
        <f t="shared" si="19"/>
        <v>-7.6470588235294166</v>
      </c>
      <c r="I218">
        <f t="shared" si="20"/>
        <v>15.986000000000001</v>
      </c>
      <c r="J218" s="6" cm="1">
        <f t="array" ref="J218">_xlfn.STDEV.S(IF($A:$A=A218, $F:$F))</f>
        <v>0.5993996996996247</v>
      </c>
      <c r="P218" s="8">
        <f t="shared" si="21"/>
        <v>-7.6470588235294166</v>
      </c>
      <c r="Q218" s="8">
        <f t="shared" si="22"/>
        <v>-7.6470588235294166</v>
      </c>
      <c r="R218" s="8">
        <f t="shared" si="23"/>
        <v>-7.6470588235294166</v>
      </c>
    </row>
    <row r="219" spans="1:18" x14ac:dyDescent="0.25">
      <c r="A219" s="7">
        <f t="shared" si="18"/>
        <v>44</v>
      </c>
      <c r="B219" s="2">
        <v>43243</v>
      </c>
      <c r="C219" s="3">
        <v>15.44</v>
      </c>
      <c r="D219" s="3">
        <v>15.94</v>
      </c>
      <c r="E219" s="3">
        <v>15.26</v>
      </c>
      <c r="F219" s="3">
        <v>15.43</v>
      </c>
      <c r="G219" s="3">
        <v>65300</v>
      </c>
      <c r="H219" s="8">
        <f t="shared" si="19"/>
        <v>-7.6470588235294166</v>
      </c>
      <c r="I219">
        <f t="shared" si="20"/>
        <v>15.986000000000001</v>
      </c>
      <c r="J219" s="6" cm="1">
        <f t="array" ref="J219">_xlfn.STDEV.S(IF($A:$A=A219, $F:$F))</f>
        <v>0.5993996996996247</v>
      </c>
      <c r="P219" s="8">
        <f t="shared" si="21"/>
        <v>-7.6470588235294166</v>
      </c>
      <c r="Q219" s="8">
        <f t="shared" si="22"/>
        <v>-7.6470588235294166</v>
      </c>
      <c r="R219" s="8">
        <f t="shared" si="23"/>
        <v>-7.6470588235294166</v>
      </c>
    </row>
    <row r="220" spans="1:18" x14ac:dyDescent="0.25">
      <c r="A220" s="7">
        <f t="shared" si="18"/>
        <v>44</v>
      </c>
      <c r="B220" s="2">
        <v>43244</v>
      </c>
      <c r="C220" s="3">
        <v>16.010000000000002</v>
      </c>
      <c r="D220" s="3">
        <v>16.010000000000002</v>
      </c>
      <c r="E220" s="3">
        <v>15.43</v>
      </c>
      <c r="F220" s="3">
        <v>15.94</v>
      </c>
      <c r="G220" s="3">
        <v>11260</v>
      </c>
      <c r="H220" s="8">
        <f t="shared" si="19"/>
        <v>-7.6470588235294166</v>
      </c>
      <c r="I220">
        <f t="shared" si="20"/>
        <v>15.986000000000001</v>
      </c>
      <c r="J220" s="6" cm="1">
        <f t="array" ref="J220">_xlfn.STDEV.S(IF($A:$A=A220, $F:$F))</f>
        <v>0.5993996996996247</v>
      </c>
      <c r="P220" s="8">
        <f t="shared" si="21"/>
        <v>-7.6470588235294166</v>
      </c>
      <c r="Q220" s="8">
        <f t="shared" si="22"/>
        <v>-7.6470588235294166</v>
      </c>
      <c r="R220" s="8">
        <f t="shared" si="23"/>
        <v>-7.6470588235294166</v>
      </c>
    </row>
    <row r="221" spans="1:18" x14ac:dyDescent="0.25">
      <c r="A221" s="7">
        <f t="shared" si="18"/>
        <v>44</v>
      </c>
      <c r="B221" s="2">
        <v>43245</v>
      </c>
      <c r="C221" s="3">
        <v>15.51</v>
      </c>
      <c r="D221" s="3">
        <v>15.94</v>
      </c>
      <c r="E221" s="3">
        <v>15.29</v>
      </c>
      <c r="F221" s="3">
        <v>15.7</v>
      </c>
      <c r="G221" s="3">
        <v>35780</v>
      </c>
      <c r="H221" s="8">
        <f t="shared" si="19"/>
        <v>-7.6470588235294166</v>
      </c>
      <c r="I221">
        <f t="shared" si="20"/>
        <v>15.986000000000001</v>
      </c>
      <c r="J221" s="6" cm="1">
        <f t="array" ref="J221">_xlfn.STDEV.S(IF($A:$A=A221, $F:$F))</f>
        <v>0.5993996996996247</v>
      </c>
      <c r="P221" s="8">
        <f t="shared" si="21"/>
        <v>-7.6470588235294166</v>
      </c>
      <c r="Q221" s="8">
        <f t="shared" si="22"/>
        <v>-7.6470588235294166</v>
      </c>
      <c r="R221" s="8">
        <f t="shared" si="23"/>
        <v>-7.6470588235294166</v>
      </c>
    </row>
    <row r="222" spans="1:18" x14ac:dyDescent="0.25">
      <c r="A222" s="7">
        <f t="shared" si="18"/>
        <v>45</v>
      </c>
      <c r="B222" s="2">
        <v>43248</v>
      </c>
      <c r="C222" s="3">
        <v>15.26</v>
      </c>
      <c r="D222" s="3">
        <v>15.51</v>
      </c>
      <c r="E222" s="3">
        <v>14.6</v>
      </c>
      <c r="F222" s="3">
        <v>14.6</v>
      </c>
      <c r="G222" s="3">
        <v>155580</v>
      </c>
      <c r="H222" s="8">
        <f t="shared" si="19"/>
        <v>6.8493150684931505</v>
      </c>
      <c r="I222">
        <f t="shared" si="20"/>
        <v>15.028</v>
      </c>
      <c r="J222" s="6" cm="1">
        <f t="array" ref="J222">_xlfn.STDEV.S(IF($A:$A=A222, $F:$F))</f>
        <v>0.4330357952871795</v>
      </c>
      <c r="P222" s="8">
        <f t="shared" si="21"/>
        <v>6.8493150684931505</v>
      </c>
      <c r="Q222" s="8">
        <f t="shared" si="22"/>
        <v>6.8493150684931505</v>
      </c>
      <c r="R222" s="8">
        <f t="shared" si="23"/>
        <v>6.8493150684931505</v>
      </c>
    </row>
    <row r="223" spans="1:18" x14ac:dyDescent="0.25">
      <c r="A223" s="7">
        <f t="shared" si="18"/>
        <v>45</v>
      </c>
      <c r="B223" s="2">
        <v>43249</v>
      </c>
      <c r="C223" s="3">
        <v>14.24</v>
      </c>
      <c r="D223" s="3">
        <v>15.24</v>
      </c>
      <c r="E223" s="3">
        <v>13.59</v>
      </c>
      <c r="F223" s="3">
        <v>14.6</v>
      </c>
      <c r="G223" s="3">
        <v>287680</v>
      </c>
      <c r="H223" s="8">
        <f t="shared" si="19"/>
        <v>6.8493150684931505</v>
      </c>
      <c r="I223">
        <f t="shared" si="20"/>
        <v>15.028</v>
      </c>
      <c r="J223" s="6" cm="1">
        <f t="array" ref="J223">_xlfn.STDEV.S(IF($A:$A=A223, $F:$F))</f>
        <v>0.4330357952871795</v>
      </c>
      <c r="P223" s="8">
        <f t="shared" si="21"/>
        <v>6.8493150684931505</v>
      </c>
      <c r="Q223" s="8">
        <f t="shared" si="22"/>
        <v>6.8493150684931505</v>
      </c>
      <c r="R223" s="8">
        <f t="shared" si="23"/>
        <v>6.8493150684931505</v>
      </c>
    </row>
    <row r="224" spans="1:18" x14ac:dyDescent="0.25">
      <c r="A224" s="7">
        <f t="shared" si="18"/>
        <v>45</v>
      </c>
      <c r="B224" s="2">
        <v>43250</v>
      </c>
      <c r="C224" s="3">
        <v>14.6</v>
      </c>
      <c r="D224" s="3">
        <v>15.08</v>
      </c>
      <c r="E224" s="3">
        <v>13.88</v>
      </c>
      <c r="F224" s="3">
        <v>15.08</v>
      </c>
      <c r="G224" s="3">
        <v>60970</v>
      </c>
      <c r="H224" s="8">
        <f t="shared" si="19"/>
        <v>6.8493150684931505</v>
      </c>
      <c r="I224">
        <f t="shared" si="20"/>
        <v>15.028</v>
      </c>
      <c r="J224" s="6" cm="1">
        <f t="array" ref="J224">_xlfn.STDEV.S(IF($A:$A=A224, $F:$F))</f>
        <v>0.4330357952871795</v>
      </c>
      <c r="P224" s="8">
        <f t="shared" si="21"/>
        <v>6.8493150684931505</v>
      </c>
      <c r="Q224" s="8">
        <f t="shared" si="22"/>
        <v>6.8493150684931505</v>
      </c>
      <c r="R224" s="8">
        <f t="shared" si="23"/>
        <v>6.8493150684931505</v>
      </c>
    </row>
    <row r="225" spans="1:18" x14ac:dyDescent="0.25">
      <c r="A225" s="7">
        <f t="shared" si="18"/>
        <v>45</v>
      </c>
      <c r="B225" s="2">
        <v>43251</v>
      </c>
      <c r="C225" s="3">
        <v>14.67</v>
      </c>
      <c r="D225" s="3">
        <v>15.26</v>
      </c>
      <c r="E225" s="3">
        <v>14.57</v>
      </c>
      <c r="F225" s="3">
        <v>15.26</v>
      </c>
      <c r="G225" s="3">
        <v>42390</v>
      </c>
      <c r="H225" s="8">
        <f t="shared" si="19"/>
        <v>6.8493150684931505</v>
      </c>
      <c r="I225">
        <f t="shared" si="20"/>
        <v>15.028</v>
      </c>
      <c r="J225" s="6" cm="1">
        <f t="array" ref="J225">_xlfn.STDEV.S(IF($A:$A=A225, $F:$F))</f>
        <v>0.4330357952871795</v>
      </c>
      <c r="P225" s="8">
        <f t="shared" si="21"/>
        <v>6.8493150684931505</v>
      </c>
      <c r="Q225" s="8">
        <f t="shared" si="22"/>
        <v>6.8493150684931505</v>
      </c>
      <c r="R225" s="8">
        <f t="shared" si="23"/>
        <v>6.8493150684931505</v>
      </c>
    </row>
    <row r="226" spans="1:18" x14ac:dyDescent="0.25">
      <c r="A226" s="7">
        <f t="shared" si="18"/>
        <v>45</v>
      </c>
      <c r="B226" s="2">
        <v>43252</v>
      </c>
      <c r="C226" s="3">
        <v>14.76</v>
      </c>
      <c r="D226" s="3">
        <v>15.6</v>
      </c>
      <c r="E226" s="3">
        <v>14.76</v>
      </c>
      <c r="F226" s="3">
        <v>15.6</v>
      </c>
      <c r="G226" s="3">
        <v>120080</v>
      </c>
      <c r="H226" s="8">
        <f t="shared" si="19"/>
        <v>6.8493150684931505</v>
      </c>
      <c r="I226">
        <f t="shared" si="20"/>
        <v>15.028</v>
      </c>
      <c r="J226" s="6" cm="1">
        <f t="array" ref="J226">_xlfn.STDEV.S(IF($A:$A=A226, $F:$F))</f>
        <v>0.4330357952871795</v>
      </c>
      <c r="P226" s="8">
        <f t="shared" si="21"/>
        <v>6.8493150684931505</v>
      </c>
      <c r="Q226" s="8">
        <f t="shared" si="22"/>
        <v>6.8493150684931505</v>
      </c>
      <c r="R226" s="8">
        <f t="shared" si="23"/>
        <v>6.8493150684931505</v>
      </c>
    </row>
    <row r="227" spans="1:18" x14ac:dyDescent="0.25">
      <c r="A227" s="7">
        <f t="shared" si="18"/>
        <v>46</v>
      </c>
      <c r="B227" s="2">
        <v>43255</v>
      </c>
      <c r="C227" s="3">
        <v>15.6</v>
      </c>
      <c r="D227" s="3">
        <v>15.94</v>
      </c>
      <c r="E227" s="3">
        <v>15.58</v>
      </c>
      <c r="F227" s="3">
        <v>15.77</v>
      </c>
      <c r="G227" s="3">
        <v>75600</v>
      </c>
      <c r="H227" s="8">
        <f t="shared" si="19"/>
        <v>0.12682308180088506</v>
      </c>
      <c r="I227">
        <f t="shared" si="20"/>
        <v>15.790000000000001</v>
      </c>
      <c r="J227" s="6" cm="1">
        <f t="array" ref="J227">_xlfn.STDEV.S(IF($A:$A=A227, $F:$F))</f>
        <v>1.2247448713916354E-2</v>
      </c>
      <c r="P227" s="8">
        <f t="shared" si="21"/>
        <v>0.12682308180088506</v>
      </c>
      <c r="Q227" s="8">
        <f t="shared" si="22"/>
        <v>0.12682308180088506</v>
      </c>
      <c r="R227" s="8">
        <f t="shared" si="23"/>
        <v>0.12682308180088506</v>
      </c>
    </row>
    <row r="228" spans="1:18" x14ac:dyDescent="0.25">
      <c r="A228" s="7">
        <f t="shared" si="18"/>
        <v>46</v>
      </c>
      <c r="B228" s="2">
        <v>43256</v>
      </c>
      <c r="C228" s="3">
        <v>15.77</v>
      </c>
      <c r="D228" s="3">
        <v>15.86</v>
      </c>
      <c r="E228" s="3">
        <v>15.6</v>
      </c>
      <c r="F228" s="3">
        <v>15.8</v>
      </c>
      <c r="G228" s="3">
        <v>43740</v>
      </c>
      <c r="H228" s="8">
        <f t="shared" si="19"/>
        <v>0.12682308180088506</v>
      </c>
      <c r="I228">
        <f t="shared" si="20"/>
        <v>15.790000000000001</v>
      </c>
      <c r="J228" s="6" cm="1">
        <f t="array" ref="J228">_xlfn.STDEV.S(IF($A:$A=A228, $F:$F))</f>
        <v>1.2247448713916354E-2</v>
      </c>
      <c r="P228" s="8">
        <f t="shared" si="21"/>
        <v>0.12682308180088506</v>
      </c>
      <c r="Q228" s="8">
        <f t="shared" si="22"/>
        <v>0.12682308180088506</v>
      </c>
      <c r="R228" s="8">
        <f t="shared" si="23"/>
        <v>0.12682308180088506</v>
      </c>
    </row>
    <row r="229" spans="1:18" x14ac:dyDescent="0.25">
      <c r="A229" s="7">
        <f t="shared" si="18"/>
        <v>46</v>
      </c>
      <c r="B229" s="2">
        <v>43257</v>
      </c>
      <c r="C229" s="3">
        <v>15.8</v>
      </c>
      <c r="D229" s="3">
        <v>16.010000000000002</v>
      </c>
      <c r="E229" s="3">
        <v>15.8</v>
      </c>
      <c r="F229" s="3">
        <v>15.8</v>
      </c>
      <c r="G229" s="3">
        <v>29630</v>
      </c>
      <c r="H229" s="8">
        <f t="shared" si="19"/>
        <v>0.12682308180088506</v>
      </c>
      <c r="I229">
        <f t="shared" si="20"/>
        <v>15.790000000000001</v>
      </c>
      <c r="J229" s="6" cm="1">
        <f t="array" ref="J229">_xlfn.STDEV.S(IF($A:$A=A229, $F:$F))</f>
        <v>1.2247448713916354E-2</v>
      </c>
      <c r="P229" s="8">
        <f t="shared" si="21"/>
        <v>0.12682308180088506</v>
      </c>
      <c r="Q229" s="8">
        <f t="shared" si="22"/>
        <v>0.12682308180088506</v>
      </c>
      <c r="R229" s="8">
        <f t="shared" si="23"/>
        <v>0.12682308180088506</v>
      </c>
    </row>
    <row r="230" spans="1:18" x14ac:dyDescent="0.25">
      <c r="A230" s="7">
        <f t="shared" si="18"/>
        <v>46</v>
      </c>
      <c r="B230" s="2">
        <v>43258</v>
      </c>
      <c r="C230" s="3">
        <v>15.92</v>
      </c>
      <c r="D230" s="3">
        <v>15.94</v>
      </c>
      <c r="E230" s="3">
        <v>15.77</v>
      </c>
      <c r="F230" s="3">
        <v>15.79</v>
      </c>
      <c r="G230" s="3">
        <v>75700</v>
      </c>
      <c r="H230" s="8">
        <f t="shared" si="19"/>
        <v>0.12682308180088506</v>
      </c>
      <c r="I230">
        <f t="shared" si="20"/>
        <v>15.790000000000001</v>
      </c>
      <c r="J230" s="6" cm="1">
        <f t="array" ref="J230">_xlfn.STDEV.S(IF($A:$A=A230, $F:$F))</f>
        <v>1.2247448713916354E-2</v>
      </c>
      <c r="P230" s="8">
        <f t="shared" si="21"/>
        <v>0.12682308180088506</v>
      </c>
      <c r="Q230" s="8">
        <f t="shared" si="22"/>
        <v>0.12682308180088506</v>
      </c>
      <c r="R230" s="8">
        <f t="shared" si="23"/>
        <v>0.12682308180088506</v>
      </c>
    </row>
    <row r="231" spans="1:18" x14ac:dyDescent="0.25">
      <c r="A231" s="7">
        <f t="shared" si="18"/>
        <v>46</v>
      </c>
      <c r="B231" s="2">
        <v>43259</v>
      </c>
      <c r="C231" s="3">
        <v>15.6</v>
      </c>
      <c r="D231" s="3">
        <v>15.82</v>
      </c>
      <c r="E231" s="3">
        <v>15.51</v>
      </c>
      <c r="F231" s="3">
        <v>15.79</v>
      </c>
      <c r="G231" s="3">
        <v>40030</v>
      </c>
      <c r="H231" s="8">
        <f t="shared" si="19"/>
        <v>0.12682308180088506</v>
      </c>
      <c r="I231">
        <f t="shared" si="20"/>
        <v>15.790000000000001</v>
      </c>
      <c r="J231" s="6" cm="1">
        <f t="array" ref="J231">_xlfn.STDEV.S(IF($A:$A=A231, $F:$F))</f>
        <v>1.2247448713916354E-2</v>
      </c>
      <c r="P231" s="8">
        <f t="shared" si="21"/>
        <v>0.12682308180088506</v>
      </c>
      <c r="Q231" s="8">
        <f t="shared" si="22"/>
        <v>0.12682308180088506</v>
      </c>
      <c r="R231" s="8">
        <f t="shared" si="23"/>
        <v>0.12682308180088506</v>
      </c>
    </row>
    <row r="232" spans="1:18" x14ac:dyDescent="0.25">
      <c r="A232" s="7">
        <f t="shared" si="18"/>
        <v>47</v>
      </c>
      <c r="B232" s="2">
        <v>43262</v>
      </c>
      <c r="C232" s="3">
        <v>15.44</v>
      </c>
      <c r="D232" s="3">
        <v>16.03</v>
      </c>
      <c r="E232" s="3">
        <v>15.44</v>
      </c>
      <c r="F232" s="3">
        <v>15.98</v>
      </c>
      <c r="G232" s="3">
        <v>100570</v>
      </c>
      <c r="H232" s="8">
        <f t="shared" si="19"/>
        <v>0.813516896120144</v>
      </c>
      <c r="I232">
        <f t="shared" si="20"/>
        <v>15.843999999999999</v>
      </c>
      <c r="J232" s="6" cm="1">
        <f t="array" ref="J232">_xlfn.STDEV.S(IF($A:$A=A232, $F:$F))</f>
        <v>0.28527180021866888</v>
      </c>
      <c r="P232" s="8">
        <f t="shared" si="21"/>
        <v>0.813516896120144</v>
      </c>
      <c r="Q232" s="8">
        <f t="shared" si="22"/>
        <v>0.813516896120144</v>
      </c>
      <c r="R232" s="8">
        <f t="shared" si="23"/>
        <v>0.813516896120144</v>
      </c>
    </row>
    <row r="233" spans="1:18" x14ac:dyDescent="0.25">
      <c r="A233" s="7">
        <f t="shared" si="18"/>
        <v>47</v>
      </c>
      <c r="B233" s="2">
        <v>43263</v>
      </c>
      <c r="C233" s="3">
        <v>15.7</v>
      </c>
      <c r="D233" s="3">
        <v>15.77</v>
      </c>
      <c r="E233" s="3">
        <v>15.17</v>
      </c>
      <c r="F233" s="3">
        <v>15.43</v>
      </c>
      <c r="G233" s="3">
        <v>52130</v>
      </c>
      <c r="H233" s="8">
        <f t="shared" si="19"/>
        <v>0.813516896120144</v>
      </c>
      <c r="I233">
        <f t="shared" si="20"/>
        <v>15.843999999999999</v>
      </c>
      <c r="J233" s="6" cm="1">
        <f t="array" ref="J233">_xlfn.STDEV.S(IF($A:$A=A233, $F:$F))</f>
        <v>0.28527180021866888</v>
      </c>
      <c r="P233" s="8">
        <f t="shared" si="21"/>
        <v>0.813516896120144</v>
      </c>
      <c r="Q233" s="8">
        <f t="shared" si="22"/>
        <v>0.813516896120144</v>
      </c>
      <c r="R233" s="8">
        <f t="shared" si="23"/>
        <v>0.813516896120144</v>
      </c>
    </row>
    <row r="234" spans="1:18" x14ac:dyDescent="0.25">
      <c r="A234" s="7">
        <f t="shared" si="18"/>
        <v>47</v>
      </c>
      <c r="B234" s="2">
        <v>43264</v>
      </c>
      <c r="C234" s="3">
        <v>15.43</v>
      </c>
      <c r="D234" s="3">
        <v>15.67</v>
      </c>
      <c r="E234" s="3">
        <v>15.34</v>
      </c>
      <c r="F234" s="3">
        <v>15.67</v>
      </c>
      <c r="G234" s="3">
        <v>12410</v>
      </c>
      <c r="H234" s="8">
        <f t="shared" si="19"/>
        <v>0.813516896120144</v>
      </c>
      <c r="I234">
        <f t="shared" si="20"/>
        <v>15.843999999999999</v>
      </c>
      <c r="J234" s="6" cm="1">
        <f t="array" ref="J234">_xlfn.STDEV.S(IF($A:$A=A234, $F:$F))</f>
        <v>0.28527180021866888</v>
      </c>
      <c r="P234" s="8">
        <f t="shared" si="21"/>
        <v>0.813516896120144</v>
      </c>
      <c r="Q234" s="8">
        <f t="shared" si="22"/>
        <v>0.813516896120144</v>
      </c>
      <c r="R234" s="8">
        <f t="shared" si="23"/>
        <v>0.813516896120144</v>
      </c>
    </row>
    <row r="235" spans="1:18" x14ac:dyDescent="0.25">
      <c r="A235" s="7">
        <f t="shared" si="18"/>
        <v>47</v>
      </c>
      <c r="B235" s="2">
        <v>43265</v>
      </c>
      <c r="C235" s="3">
        <v>15.75</v>
      </c>
      <c r="D235" s="3">
        <v>16.03</v>
      </c>
      <c r="E235" s="3">
        <v>15.6</v>
      </c>
      <c r="F235" s="3">
        <v>16.03</v>
      </c>
      <c r="G235" s="3">
        <v>140000</v>
      </c>
      <c r="H235" s="8">
        <f t="shared" si="19"/>
        <v>0.813516896120144</v>
      </c>
      <c r="I235">
        <f t="shared" si="20"/>
        <v>15.843999999999999</v>
      </c>
      <c r="J235" s="6" cm="1">
        <f t="array" ref="J235">_xlfn.STDEV.S(IF($A:$A=A235, $F:$F))</f>
        <v>0.28527180021866888</v>
      </c>
      <c r="P235" s="8">
        <f t="shared" si="21"/>
        <v>0.813516896120144</v>
      </c>
      <c r="Q235" s="8">
        <f t="shared" si="22"/>
        <v>0.813516896120144</v>
      </c>
      <c r="R235" s="8">
        <f t="shared" si="23"/>
        <v>0.813516896120144</v>
      </c>
    </row>
    <row r="236" spans="1:18" x14ac:dyDescent="0.25">
      <c r="A236" s="7">
        <f t="shared" si="18"/>
        <v>47</v>
      </c>
      <c r="B236" s="2">
        <v>43266</v>
      </c>
      <c r="C236" s="3">
        <v>16.46</v>
      </c>
      <c r="D236" s="3">
        <v>16.46</v>
      </c>
      <c r="E236" s="3">
        <v>16.03</v>
      </c>
      <c r="F236" s="3">
        <v>16.11</v>
      </c>
      <c r="G236" s="3">
        <v>51510</v>
      </c>
      <c r="H236" s="8">
        <f t="shared" si="19"/>
        <v>0.813516896120144</v>
      </c>
      <c r="I236">
        <f t="shared" si="20"/>
        <v>15.843999999999999</v>
      </c>
      <c r="J236" s="6" cm="1">
        <f t="array" ref="J236">_xlfn.STDEV.S(IF($A:$A=A236, $F:$F))</f>
        <v>0.28527180021866888</v>
      </c>
      <c r="P236" s="8">
        <f t="shared" si="21"/>
        <v>0.813516896120144</v>
      </c>
      <c r="Q236" s="8">
        <f t="shared" si="22"/>
        <v>0.813516896120144</v>
      </c>
      <c r="R236" s="8">
        <f t="shared" si="23"/>
        <v>0.813516896120144</v>
      </c>
    </row>
    <row r="237" spans="1:18" x14ac:dyDescent="0.25">
      <c r="A237" s="7">
        <f t="shared" si="18"/>
        <v>48</v>
      </c>
      <c r="B237" s="2">
        <v>43269</v>
      </c>
      <c r="C237" s="3">
        <v>15.94</v>
      </c>
      <c r="D237" s="3">
        <v>15.94</v>
      </c>
      <c r="E237" s="3">
        <v>15.26</v>
      </c>
      <c r="F237" s="3">
        <v>15.26</v>
      </c>
      <c r="G237" s="3">
        <v>40190</v>
      </c>
      <c r="H237" s="8">
        <f t="shared" si="19"/>
        <v>-3.604193971166441</v>
      </c>
      <c r="I237">
        <f t="shared" si="20"/>
        <v>14.538</v>
      </c>
      <c r="J237" s="6" cm="1">
        <f t="array" ref="J237">_xlfn.STDEV.S(IF($A:$A=A237, $F:$F))</f>
        <v>0.45372899400413008</v>
      </c>
      <c r="P237" s="8">
        <f t="shared" si="21"/>
        <v>-3.604193971166441</v>
      </c>
      <c r="Q237" s="8">
        <f t="shared" si="22"/>
        <v>-3.604193971166441</v>
      </c>
      <c r="R237" s="8">
        <f t="shared" si="23"/>
        <v>-3.604193971166441</v>
      </c>
    </row>
    <row r="238" spans="1:18" x14ac:dyDescent="0.25">
      <c r="A238" s="7">
        <f t="shared" si="18"/>
        <v>48</v>
      </c>
      <c r="B238" s="2">
        <v>43270</v>
      </c>
      <c r="C238" s="3">
        <v>14.57</v>
      </c>
      <c r="D238" s="3">
        <v>15.05</v>
      </c>
      <c r="E238" s="3">
        <v>14.19</v>
      </c>
      <c r="F238" s="3">
        <v>14.19</v>
      </c>
      <c r="G238" s="3">
        <v>370130</v>
      </c>
      <c r="H238" s="8">
        <f t="shared" si="19"/>
        <v>-3.604193971166441</v>
      </c>
      <c r="I238">
        <f t="shared" si="20"/>
        <v>14.538</v>
      </c>
      <c r="J238" s="6" cm="1">
        <f t="array" ref="J238">_xlfn.STDEV.S(IF($A:$A=A238, $F:$F))</f>
        <v>0.45372899400413008</v>
      </c>
      <c r="P238" s="8">
        <f t="shared" si="21"/>
        <v>-3.604193971166441</v>
      </c>
      <c r="Q238" s="8">
        <f t="shared" si="22"/>
        <v>-3.604193971166441</v>
      </c>
      <c r="R238" s="8">
        <f t="shared" si="23"/>
        <v>-3.604193971166441</v>
      </c>
    </row>
    <row r="239" spans="1:18" x14ac:dyDescent="0.25">
      <c r="A239" s="7">
        <f t="shared" si="18"/>
        <v>48</v>
      </c>
      <c r="B239" s="2">
        <v>43271</v>
      </c>
      <c r="C239" s="3">
        <v>14.4</v>
      </c>
      <c r="D239" s="3">
        <v>14.4</v>
      </c>
      <c r="E239" s="3">
        <v>13.71</v>
      </c>
      <c r="F239" s="3">
        <v>14.3</v>
      </c>
      <c r="G239" s="3">
        <v>182660</v>
      </c>
      <c r="H239" s="8">
        <f t="shared" si="19"/>
        <v>-3.604193971166441</v>
      </c>
      <c r="I239">
        <f t="shared" si="20"/>
        <v>14.538</v>
      </c>
      <c r="J239" s="6" cm="1">
        <f t="array" ref="J239">_xlfn.STDEV.S(IF($A:$A=A239, $F:$F))</f>
        <v>0.45372899400413008</v>
      </c>
      <c r="P239" s="8">
        <f t="shared" si="21"/>
        <v>-3.604193971166441</v>
      </c>
      <c r="Q239" s="8">
        <f t="shared" si="22"/>
        <v>-3.604193971166441</v>
      </c>
      <c r="R239" s="8">
        <f t="shared" si="23"/>
        <v>-3.604193971166441</v>
      </c>
    </row>
    <row r="240" spans="1:18" x14ac:dyDescent="0.25">
      <c r="A240" s="7">
        <f t="shared" si="18"/>
        <v>48</v>
      </c>
      <c r="B240" s="2">
        <v>43272</v>
      </c>
      <c r="C240" s="3">
        <v>13.92</v>
      </c>
      <c r="D240" s="3">
        <v>14.23</v>
      </c>
      <c r="E240" s="3">
        <v>13.92</v>
      </c>
      <c r="F240" s="3">
        <v>14.23</v>
      </c>
      <c r="G240" s="3">
        <v>29610</v>
      </c>
      <c r="H240" s="8">
        <f t="shared" si="19"/>
        <v>-3.604193971166441</v>
      </c>
      <c r="I240">
        <f t="shared" si="20"/>
        <v>14.538</v>
      </c>
      <c r="J240" s="6" cm="1">
        <f t="array" ref="J240">_xlfn.STDEV.S(IF($A:$A=A240, $F:$F))</f>
        <v>0.45372899400413008</v>
      </c>
      <c r="P240" s="8">
        <f t="shared" si="21"/>
        <v>-3.604193971166441</v>
      </c>
      <c r="Q240" s="8">
        <f t="shared" si="22"/>
        <v>-3.604193971166441</v>
      </c>
      <c r="R240" s="8">
        <f t="shared" si="23"/>
        <v>-3.604193971166441</v>
      </c>
    </row>
    <row r="241" spans="1:18" x14ac:dyDescent="0.25">
      <c r="A241" s="7">
        <f t="shared" si="18"/>
        <v>48</v>
      </c>
      <c r="B241" s="2">
        <v>43273</v>
      </c>
      <c r="C241" s="3">
        <v>14.23</v>
      </c>
      <c r="D241" s="3">
        <v>14.71</v>
      </c>
      <c r="E241" s="3">
        <v>14.14</v>
      </c>
      <c r="F241" s="3">
        <v>14.71</v>
      </c>
      <c r="G241" s="3">
        <v>32680</v>
      </c>
      <c r="H241" s="8">
        <f t="shared" si="19"/>
        <v>-3.604193971166441</v>
      </c>
      <c r="I241">
        <f t="shared" si="20"/>
        <v>14.538</v>
      </c>
      <c r="J241" s="6" cm="1">
        <f t="array" ref="J241">_xlfn.STDEV.S(IF($A:$A=A241, $F:$F))</f>
        <v>0.45372899400413008</v>
      </c>
      <c r="P241" s="8">
        <f t="shared" si="21"/>
        <v>-3.604193971166441</v>
      </c>
      <c r="Q241" s="8">
        <f t="shared" si="22"/>
        <v>-3.604193971166441</v>
      </c>
      <c r="R241" s="8">
        <f t="shared" si="23"/>
        <v>-3.604193971166441</v>
      </c>
    </row>
    <row r="242" spans="1:18" x14ac:dyDescent="0.25">
      <c r="A242" s="7">
        <f t="shared" si="18"/>
        <v>49</v>
      </c>
      <c r="B242" s="2">
        <v>43276</v>
      </c>
      <c r="C242" s="3">
        <v>14.71</v>
      </c>
      <c r="D242" s="3">
        <v>14.74</v>
      </c>
      <c r="E242" s="3">
        <v>14.4</v>
      </c>
      <c r="F242" s="3">
        <v>14.74</v>
      </c>
      <c r="G242" s="3">
        <v>100900</v>
      </c>
      <c r="H242" s="8">
        <f t="shared" si="19"/>
        <v>-4.070556309362277</v>
      </c>
      <c r="I242">
        <f t="shared" si="20"/>
        <v>14.428000000000001</v>
      </c>
      <c r="J242" s="6" cm="1">
        <f t="array" ref="J242">_xlfn.STDEV.S(IF($A:$A=A242, $F:$F))</f>
        <v>0.31767908335299627</v>
      </c>
      <c r="P242" s="8">
        <f t="shared" si="21"/>
        <v>-4.070556309362277</v>
      </c>
      <c r="Q242" s="8">
        <f t="shared" si="22"/>
        <v>-4.070556309362277</v>
      </c>
      <c r="R242" s="8">
        <f t="shared" si="23"/>
        <v>-4.070556309362277</v>
      </c>
    </row>
    <row r="243" spans="1:18" x14ac:dyDescent="0.25">
      <c r="A243" s="7">
        <f t="shared" si="18"/>
        <v>49</v>
      </c>
      <c r="B243" s="2">
        <v>43277</v>
      </c>
      <c r="C243" s="3">
        <v>14.57</v>
      </c>
      <c r="D243" s="3">
        <v>14.74</v>
      </c>
      <c r="E243" s="3">
        <v>14.4</v>
      </c>
      <c r="F243" s="3">
        <v>14.72</v>
      </c>
      <c r="G243" s="3">
        <v>48740</v>
      </c>
      <c r="H243" s="8">
        <f t="shared" si="19"/>
        <v>-4.070556309362277</v>
      </c>
      <c r="I243">
        <f t="shared" si="20"/>
        <v>14.428000000000001</v>
      </c>
      <c r="J243" s="6" cm="1">
        <f t="array" ref="J243">_xlfn.STDEV.S(IF($A:$A=A243, $F:$F))</f>
        <v>0.31767908335299627</v>
      </c>
      <c r="P243" s="8">
        <f t="shared" si="21"/>
        <v>-4.070556309362277</v>
      </c>
      <c r="Q243" s="8">
        <f t="shared" si="22"/>
        <v>-4.070556309362277</v>
      </c>
      <c r="R243" s="8">
        <f t="shared" si="23"/>
        <v>-4.070556309362277</v>
      </c>
    </row>
    <row r="244" spans="1:18" x14ac:dyDescent="0.25">
      <c r="A244" s="7">
        <f t="shared" si="18"/>
        <v>49</v>
      </c>
      <c r="B244" s="2">
        <v>43278</v>
      </c>
      <c r="C244" s="3">
        <v>14.69</v>
      </c>
      <c r="D244" s="3">
        <v>14.74</v>
      </c>
      <c r="E244" s="3">
        <v>14.48</v>
      </c>
      <c r="F244" s="3">
        <v>14.48</v>
      </c>
      <c r="G244" s="3">
        <v>50420</v>
      </c>
      <c r="H244" s="8">
        <f t="shared" si="19"/>
        <v>-4.070556309362277</v>
      </c>
      <c r="I244">
        <f t="shared" si="20"/>
        <v>14.428000000000001</v>
      </c>
      <c r="J244" s="6" cm="1">
        <f t="array" ref="J244">_xlfn.STDEV.S(IF($A:$A=A244, $F:$F))</f>
        <v>0.31767908335299627</v>
      </c>
      <c r="P244" s="8">
        <f t="shared" si="21"/>
        <v>-4.070556309362277</v>
      </c>
      <c r="Q244" s="8">
        <f t="shared" si="22"/>
        <v>-4.070556309362277</v>
      </c>
      <c r="R244" s="8">
        <f t="shared" si="23"/>
        <v>-4.070556309362277</v>
      </c>
    </row>
    <row r="245" spans="1:18" x14ac:dyDescent="0.25">
      <c r="A245" s="7">
        <f t="shared" si="18"/>
        <v>49</v>
      </c>
      <c r="B245" s="2">
        <v>43279</v>
      </c>
      <c r="C245" s="3">
        <v>14.14</v>
      </c>
      <c r="D245" s="3">
        <v>14.4</v>
      </c>
      <c r="E245" s="3">
        <v>13.94</v>
      </c>
      <c r="F245" s="3">
        <v>14.06</v>
      </c>
      <c r="G245" s="3">
        <v>72530</v>
      </c>
      <c r="H245" s="8">
        <f t="shared" si="19"/>
        <v>-4.070556309362277</v>
      </c>
      <c r="I245">
        <f t="shared" si="20"/>
        <v>14.428000000000001</v>
      </c>
      <c r="J245" s="6" cm="1">
        <f t="array" ref="J245">_xlfn.STDEV.S(IF($A:$A=A245, $F:$F))</f>
        <v>0.31767908335299627</v>
      </c>
      <c r="P245" s="8">
        <f t="shared" si="21"/>
        <v>-4.070556309362277</v>
      </c>
      <c r="Q245" s="8">
        <f t="shared" si="22"/>
        <v>-4.070556309362277</v>
      </c>
      <c r="R245" s="8">
        <f t="shared" si="23"/>
        <v>-4.070556309362277</v>
      </c>
    </row>
    <row r="246" spans="1:18" x14ac:dyDescent="0.25">
      <c r="A246" s="7">
        <f t="shared" si="18"/>
        <v>49</v>
      </c>
      <c r="B246" s="2">
        <v>43280</v>
      </c>
      <c r="C246" s="3">
        <v>14.06</v>
      </c>
      <c r="D246" s="3">
        <v>14.67</v>
      </c>
      <c r="E246" s="3">
        <v>13.99</v>
      </c>
      <c r="F246" s="3">
        <v>14.14</v>
      </c>
      <c r="G246" s="3">
        <v>11440</v>
      </c>
      <c r="H246" s="8">
        <f t="shared" si="19"/>
        <v>-4.070556309362277</v>
      </c>
      <c r="I246">
        <f t="shared" si="20"/>
        <v>14.428000000000001</v>
      </c>
      <c r="J246" s="6" cm="1">
        <f t="array" ref="J246">_xlfn.STDEV.S(IF($A:$A=A246, $F:$F))</f>
        <v>0.31767908335299627</v>
      </c>
      <c r="P246" s="8">
        <f t="shared" si="21"/>
        <v>-4.070556309362277</v>
      </c>
      <c r="Q246" s="8">
        <f t="shared" si="22"/>
        <v>-4.070556309362277</v>
      </c>
      <c r="R246" s="8">
        <f t="shared" si="23"/>
        <v>-4.070556309362277</v>
      </c>
    </row>
    <row r="247" spans="1:18" x14ac:dyDescent="0.25">
      <c r="A247" s="7">
        <f t="shared" si="18"/>
        <v>50</v>
      </c>
      <c r="B247" s="2">
        <v>43283</v>
      </c>
      <c r="C247" s="3">
        <v>14.14</v>
      </c>
      <c r="D247" s="3">
        <v>14.14</v>
      </c>
      <c r="E247" s="3">
        <v>13.16</v>
      </c>
      <c r="F247" s="3">
        <v>13.16</v>
      </c>
      <c r="G247" s="3">
        <v>75060</v>
      </c>
      <c r="H247" s="8">
        <f t="shared" si="19"/>
        <v>-1.5197568389057698</v>
      </c>
      <c r="I247">
        <f t="shared" si="20"/>
        <v>12.856</v>
      </c>
      <c r="J247" s="6" cm="1">
        <f t="array" ref="J247">_xlfn.STDEV.S(IF($A:$A=A247, $F:$F))</f>
        <v>0.36773631857623235</v>
      </c>
      <c r="P247" s="8">
        <f t="shared" si="21"/>
        <v>-1.5197568389057698</v>
      </c>
      <c r="Q247" s="8">
        <f t="shared" si="22"/>
        <v>-1.5197568389057698</v>
      </c>
      <c r="R247" s="8">
        <f t="shared" si="23"/>
        <v>-1.5197568389057698</v>
      </c>
    </row>
    <row r="248" spans="1:18" x14ac:dyDescent="0.25">
      <c r="A248" s="7">
        <f t="shared" si="18"/>
        <v>50</v>
      </c>
      <c r="B248" s="2">
        <v>43284</v>
      </c>
      <c r="C248" s="3">
        <v>13.2</v>
      </c>
      <c r="D248" s="3">
        <v>13.23</v>
      </c>
      <c r="E248" s="3">
        <v>12.26</v>
      </c>
      <c r="F248" s="3">
        <v>12.26</v>
      </c>
      <c r="G248" s="3">
        <v>237600</v>
      </c>
      <c r="H248" s="8">
        <f t="shared" si="19"/>
        <v>-1.5197568389057698</v>
      </c>
      <c r="I248">
        <f t="shared" si="20"/>
        <v>12.856</v>
      </c>
      <c r="J248" s="6" cm="1">
        <f t="array" ref="J248">_xlfn.STDEV.S(IF($A:$A=A248, $F:$F))</f>
        <v>0.36773631857623235</v>
      </c>
      <c r="P248" s="8">
        <f t="shared" si="21"/>
        <v>-1.5197568389057698</v>
      </c>
      <c r="Q248" s="8">
        <f t="shared" si="22"/>
        <v>-1.5197568389057698</v>
      </c>
      <c r="R248" s="8">
        <f t="shared" si="23"/>
        <v>-1.5197568389057698</v>
      </c>
    </row>
    <row r="249" spans="1:18" x14ac:dyDescent="0.25">
      <c r="A249" s="7">
        <f t="shared" si="18"/>
        <v>50</v>
      </c>
      <c r="B249" s="2">
        <v>43285</v>
      </c>
      <c r="C249" s="3">
        <v>12.26</v>
      </c>
      <c r="D249" s="3">
        <v>12.84</v>
      </c>
      <c r="E249" s="3">
        <v>12.17</v>
      </c>
      <c r="F249" s="3">
        <v>12.77</v>
      </c>
      <c r="G249" s="3">
        <v>181040</v>
      </c>
      <c r="H249" s="8">
        <f t="shared" si="19"/>
        <v>-1.5197568389057698</v>
      </c>
      <c r="I249">
        <f t="shared" si="20"/>
        <v>12.856</v>
      </c>
      <c r="J249" s="6" cm="1">
        <f t="array" ref="J249">_xlfn.STDEV.S(IF($A:$A=A249, $F:$F))</f>
        <v>0.36773631857623235</v>
      </c>
      <c r="P249" s="8">
        <f t="shared" si="21"/>
        <v>-1.5197568389057698</v>
      </c>
      <c r="Q249" s="8">
        <f t="shared" si="22"/>
        <v>-1.5197568389057698</v>
      </c>
      <c r="R249" s="8">
        <f t="shared" si="23"/>
        <v>-1.5197568389057698</v>
      </c>
    </row>
    <row r="250" spans="1:18" x14ac:dyDescent="0.25">
      <c r="A250" s="7">
        <f t="shared" si="18"/>
        <v>50</v>
      </c>
      <c r="B250" s="2">
        <v>43286</v>
      </c>
      <c r="C250" s="3">
        <v>12.44</v>
      </c>
      <c r="D250" s="3">
        <v>13.13</v>
      </c>
      <c r="E250" s="3">
        <v>12.44</v>
      </c>
      <c r="F250" s="3">
        <v>13.13</v>
      </c>
      <c r="G250" s="3">
        <v>113150</v>
      </c>
      <c r="H250" s="8">
        <f t="shared" si="19"/>
        <v>-1.5197568389057698</v>
      </c>
      <c r="I250">
        <f t="shared" si="20"/>
        <v>12.856</v>
      </c>
      <c r="J250" s="6" cm="1">
        <f t="array" ref="J250">_xlfn.STDEV.S(IF($A:$A=A250, $F:$F))</f>
        <v>0.36773631857623235</v>
      </c>
      <c r="P250" s="8">
        <f t="shared" si="21"/>
        <v>-1.5197568389057698</v>
      </c>
      <c r="Q250" s="8">
        <f t="shared" si="22"/>
        <v>-1.5197568389057698</v>
      </c>
      <c r="R250" s="8">
        <f t="shared" si="23"/>
        <v>-1.5197568389057698</v>
      </c>
    </row>
    <row r="251" spans="1:18" x14ac:dyDescent="0.25">
      <c r="A251" s="7">
        <f t="shared" si="18"/>
        <v>50</v>
      </c>
      <c r="B251" s="2">
        <v>43287</v>
      </c>
      <c r="C251" s="3">
        <v>13.13</v>
      </c>
      <c r="D251" s="3">
        <v>13.13</v>
      </c>
      <c r="E251" s="3">
        <v>12.74</v>
      </c>
      <c r="F251" s="3">
        <v>12.96</v>
      </c>
      <c r="G251" s="3">
        <v>121660</v>
      </c>
      <c r="H251" s="8">
        <f t="shared" si="19"/>
        <v>-1.5197568389057698</v>
      </c>
      <c r="I251">
        <f t="shared" si="20"/>
        <v>12.856</v>
      </c>
      <c r="J251" s="6" cm="1">
        <f t="array" ref="J251">_xlfn.STDEV.S(IF($A:$A=A251, $F:$F))</f>
        <v>0.36773631857623235</v>
      </c>
      <c r="P251" s="8">
        <f t="shared" si="21"/>
        <v>-1.5197568389057698</v>
      </c>
      <c r="Q251" s="8">
        <f t="shared" si="22"/>
        <v>-1.5197568389057698</v>
      </c>
      <c r="R251" s="8">
        <f t="shared" si="23"/>
        <v>-1.5197568389057698</v>
      </c>
    </row>
    <row r="252" spans="1:18" x14ac:dyDescent="0.25">
      <c r="A252" s="7">
        <f t="shared" si="18"/>
        <v>51</v>
      </c>
      <c r="B252" s="2">
        <v>43290</v>
      </c>
      <c r="C252" s="3">
        <v>12.96</v>
      </c>
      <c r="D252" s="3">
        <v>13.54</v>
      </c>
      <c r="E252" s="3">
        <v>12.86</v>
      </c>
      <c r="F252" s="3">
        <v>13.03</v>
      </c>
      <c r="G252" s="3">
        <v>196590</v>
      </c>
      <c r="H252" s="8">
        <f t="shared" si="19"/>
        <v>-5.3722179585571705</v>
      </c>
      <c r="I252">
        <f t="shared" si="20"/>
        <v>12.768000000000001</v>
      </c>
      <c r="J252" s="6" cm="1">
        <f t="array" ref="J252">_xlfn.STDEV.S(IF($A:$A=A252, $F:$F))</f>
        <v>0.35709942593065058</v>
      </c>
      <c r="P252" s="8">
        <f t="shared" si="21"/>
        <v>-5.3722179585571705</v>
      </c>
      <c r="Q252" s="8">
        <f t="shared" si="22"/>
        <v>-5.3722179585571705</v>
      </c>
      <c r="R252" s="8">
        <f t="shared" si="23"/>
        <v>-5.3722179585571705</v>
      </c>
    </row>
    <row r="253" spans="1:18" x14ac:dyDescent="0.25">
      <c r="A253" s="7">
        <f t="shared" si="18"/>
        <v>51</v>
      </c>
      <c r="B253" s="2">
        <v>43291</v>
      </c>
      <c r="C253" s="3">
        <v>13.6</v>
      </c>
      <c r="D253" s="3">
        <v>13.6</v>
      </c>
      <c r="E253" s="3">
        <v>12.9</v>
      </c>
      <c r="F253" s="3">
        <v>13.13</v>
      </c>
      <c r="G253" s="3">
        <v>256320</v>
      </c>
      <c r="H253" s="8">
        <f t="shared" si="19"/>
        <v>-5.3722179585571705</v>
      </c>
      <c r="I253">
        <f t="shared" si="20"/>
        <v>12.768000000000001</v>
      </c>
      <c r="J253" s="6" cm="1">
        <f t="array" ref="J253">_xlfn.STDEV.S(IF($A:$A=A253, $F:$F))</f>
        <v>0.35709942593065058</v>
      </c>
      <c r="P253" s="8">
        <f t="shared" si="21"/>
        <v>-5.3722179585571705</v>
      </c>
      <c r="Q253" s="8">
        <f t="shared" si="22"/>
        <v>-5.3722179585571705</v>
      </c>
      <c r="R253" s="8">
        <f t="shared" si="23"/>
        <v>-5.3722179585571705</v>
      </c>
    </row>
    <row r="254" spans="1:18" x14ac:dyDescent="0.25">
      <c r="A254" s="7">
        <f t="shared" si="18"/>
        <v>51</v>
      </c>
      <c r="B254" s="2">
        <v>43292</v>
      </c>
      <c r="C254" s="3">
        <v>13.13</v>
      </c>
      <c r="D254" s="3">
        <v>13.13</v>
      </c>
      <c r="E254" s="3">
        <v>12.26</v>
      </c>
      <c r="F254" s="3">
        <v>12.9</v>
      </c>
      <c r="G254" s="3">
        <v>98900</v>
      </c>
      <c r="H254" s="8">
        <f t="shared" si="19"/>
        <v>-5.3722179585571705</v>
      </c>
      <c r="I254">
        <f t="shared" si="20"/>
        <v>12.768000000000001</v>
      </c>
      <c r="J254" s="6" cm="1">
        <f t="array" ref="J254">_xlfn.STDEV.S(IF($A:$A=A254, $F:$F))</f>
        <v>0.35709942593065058</v>
      </c>
      <c r="P254" s="8">
        <f t="shared" si="21"/>
        <v>-5.3722179585571705</v>
      </c>
      <c r="Q254" s="8">
        <f t="shared" si="22"/>
        <v>-5.3722179585571705</v>
      </c>
      <c r="R254" s="8">
        <f t="shared" si="23"/>
        <v>-5.3722179585571705</v>
      </c>
    </row>
    <row r="255" spans="1:18" x14ac:dyDescent="0.25">
      <c r="A255" s="7">
        <f t="shared" si="18"/>
        <v>51</v>
      </c>
      <c r="B255" s="2">
        <v>43293</v>
      </c>
      <c r="C255" s="3">
        <v>12.36</v>
      </c>
      <c r="D255" s="3">
        <v>12.9</v>
      </c>
      <c r="E255" s="3">
        <v>12.31</v>
      </c>
      <c r="F255" s="3">
        <v>12.45</v>
      </c>
      <c r="G255" s="3">
        <v>4800</v>
      </c>
      <c r="H255" s="8">
        <f t="shared" si="19"/>
        <v>-5.3722179585571705</v>
      </c>
      <c r="I255">
        <f t="shared" si="20"/>
        <v>12.768000000000001</v>
      </c>
      <c r="J255" s="6" cm="1">
        <f t="array" ref="J255">_xlfn.STDEV.S(IF($A:$A=A255, $F:$F))</f>
        <v>0.35709942593065058</v>
      </c>
      <c r="P255" s="8">
        <f t="shared" si="21"/>
        <v>-5.3722179585571705</v>
      </c>
      <c r="Q255" s="8">
        <f t="shared" si="22"/>
        <v>-5.3722179585571705</v>
      </c>
      <c r="R255" s="8">
        <f t="shared" si="23"/>
        <v>-5.3722179585571705</v>
      </c>
    </row>
    <row r="256" spans="1:18" x14ac:dyDescent="0.25">
      <c r="A256" s="7">
        <f t="shared" si="18"/>
        <v>51</v>
      </c>
      <c r="B256" s="2">
        <v>43294</v>
      </c>
      <c r="C256" s="3">
        <v>12.19</v>
      </c>
      <c r="D256" s="3">
        <v>12.48</v>
      </c>
      <c r="E256" s="3">
        <v>12.19</v>
      </c>
      <c r="F256" s="3">
        <v>12.33</v>
      </c>
      <c r="G256" s="3">
        <v>40380</v>
      </c>
      <c r="H256" s="8">
        <f t="shared" si="19"/>
        <v>-5.3722179585571705</v>
      </c>
      <c r="I256">
        <f t="shared" si="20"/>
        <v>12.768000000000001</v>
      </c>
      <c r="J256" s="6" cm="1">
        <f t="array" ref="J256">_xlfn.STDEV.S(IF($A:$A=A256, $F:$F))</f>
        <v>0.35709942593065058</v>
      </c>
      <c r="P256" s="8">
        <f t="shared" si="21"/>
        <v>-5.3722179585571705</v>
      </c>
      <c r="Q256" s="8">
        <f t="shared" si="22"/>
        <v>-5.3722179585571705</v>
      </c>
      <c r="R256" s="8">
        <f t="shared" si="23"/>
        <v>-5.3722179585571705</v>
      </c>
    </row>
    <row r="257" spans="1:18" x14ac:dyDescent="0.25">
      <c r="A257" s="7">
        <f t="shared" si="18"/>
        <v>52</v>
      </c>
      <c r="B257" s="2">
        <v>43297</v>
      </c>
      <c r="C257" s="3">
        <v>12.43</v>
      </c>
      <c r="D257" s="3">
        <v>12.66</v>
      </c>
      <c r="E257" s="3">
        <v>12.31</v>
      </c>
      <c r="F257" s="3">
        <v>12.31</v>
      </c>
      <c r="G257" s="3">
        <v>8100</v>
      </c>
      <c r="H257" s="8">
        <f t="shared" si="19"/>
        <v>8.6108854589764299</v>
      </c>
      <c r="I257">
        <f t="shared" si="20"/>
        <v>12.930000000000001</v>
      </c>
      <c r="J257" s="6" cm="1">
        <f t="array" ref="J257">_xlfn.STDEV.S(IF($A:$A=A257, $F:$F))</f>
        <v>0.57362879983487558</v>
      </c>
      <c r="P257" s="8">
        <f t="shared" si="21"/>
        <v>8.6108854589764299</v>
      </c>
      <c r="Q257" s="8">
        <f t="shared" si="22"/>
        <v>8.6108854589764299</v>
      </c>
      <c r="R257" s="8">
        <f t="shared" si="23"/>
        <v>8.6108854589764299</v>
      </c>
    </row>
    <row r="258" spans="1:18" x14ac:dyDescent="0.25">
      <c r="A258" s="7">
        <f t="shared" si="18"/>
        <v>52</v>
      </c>
      <c r="B258" s="2">
        <v>43298</v>
      </c>
      <c r="C258" s="3">
        <v>12.19</v>
      </c>
      <c r="D258" s="3">
        <v>12.55</v>
      </c>
      <c r="E258" s="3">
        <v>12.19</v>
      </c>
      <c r="F258" s="3">
        <v>12.52</v>
      </c>
      <c r="G258" s="3">
        <v>84210</v>
      </c>
      <c r="H258" s="8">
        <f t="shared" si="19"/>
        <v>8.6108854589764299</v>
      </c>
      <c r="I258">
        <f t="shared" si="20"/>
        <v>12.930000000000001</v>
      </c>
      <c r="J258" s="6" cm="1">
        <f t="array" ref="J258">_xlfn.STDEV.S(IF($A:$A=A258, $F:$F))</f>
        <v>0.57362879983487558</v>
      </c>
      <c r="P258" s="8">
        <f t="shared" si="21"/>
        <v>8.6108854589764299</v>
      </c>
      <c r="Q258" s="8">
        <f t="shared" si="22"/>
        <v>8.6108854589764299</v>
      </c>
      <c r="R258" s="8">
        <f t="shared" si="23"/>
        <v>8.6108854589764299</v>
      </c>
    </row>
    <row r="259" spans="1:18" x14ac:dyDescent="0.25">
      <c r="A259" s="7">
        <f t="shared" ref="A259:A322" si="24">INT((ROW(A259)-ROW($A$2))/5) + 1</f>
        <v>52</v>
      </c>
      <c r="B259" s="2">
        <v>43299</v>
      </c>
      <c r="C259" s="3">
        <v>12.52</v>
      </c>
      <c r="D259" s="3">
        <v>12.78</v>
      </c>
      <c r="E259" s="3">
        <v>12.36</v>
      </c>
      <c r="F259" s="3">
        <v>12.78</v>
      </c>
      <c r="G259" s="3">
        <v>114160</v>
      </c>
      <c r="H259" s="8">
        <f t="shared" ref="H259:H322" si="25">IF(A259=A258, H258, (F263-F259)/F259*100)</f>
        <v>8.6108854589764299</v>
      </c>
      <c r="I259">
        <f t="shared" ref="I259:I322" si="26">AVERAGEIF($A:$A, A259, $F:$F)</f>
        <v>12.930000000000001</v>
      </c>
      <c r="J259" s="6" cm="1">
        <f t="array" ref="J259">_xlfn.STDEV.S(IF($A:$A=A259, $F:$F))</f>
        <v>0.57362879983487558</v>
      </c>
      <c r="P259" s="8">
        <f t="shared" ref="P259:P322" si="27">IF(A259=A258,P258,(F263-F259)/F259*100)</f>
        <v>8.6108854589764299</v>
      </c>
      <c r="Q259" s="8">
        <f t="shared" ref="Q259:Q322" si="28">IF(A259=A258,Q258,(F263-F259)/F259*100)</f>
        <v>8.6108854589764299</v>
      </c>
      <c r="R259" s="8">
        <f t="shared" ref="R259:R322" si="29">IF(A259=A258,R258,(F263-F259)/F259*100)</f>
        <v>8.6108854589764299</v>
      </c>
    </row>
    <row r="260" spans="1:18" x14ac:dyDescent="0.25">
      <c r="A260" s="7">
        <f t="shared" si="24"/>
        <v>52</v>
      </c>
      <c r="B260" s="2">
        <v>43300</v>
      </c>
      <c r="C260" s="3">
        <v>12.78</v>
      </c>
      <c r="D260" s="3">
        <v>13.67</v>
      </c>
      <c r="E260" s="3">
        <v>12.78</v>
      </c>
      <c r="F260" s="3">
        <v>13.67</v>
      </c>
      <c r="G260" s="3">
        <v>184080</v>
      </c>
      <c r="H260" s="8">
        <f t="shared" si="25"/>
        <v>8.6108854589764299</v>
      </c>
      <c r="I260">
        <f t="shared" si="26"/>
        <v>12.930000000000001</v>
      </c>
      <c r="J260" s="6" cm="1">
        <f t="array" ref="J260">_xlfn.STDEV.S(IF($A:$A=A260, $F:$F))</f>
        <v>0.57362879983487558</v>
      </c>
      <c r="P260" s="8">
        <f t="shared" si="27"/>
        <v>8.6108854589764299</v>
      </c>
      <c r="Q260" s="8">
        <f t="shared" si="28"/>
        <v>8.6108854589764299</v>
      </c>
      <c r="R260" s="8">
        <f t="shared" si="29"/>
        <v>8.6108854589764299</v>
      </c>
    </row>
    <row r="261" spans="1:18" x14ac:dyDescent="0.25">
      <c r="A261" s="7">
        <f t="shared" si="24"/>
        <v>52</v>
      </c>
      <c r="B261" s="2">
        <v>43301</v>
      </c>
      <c r="C261" s="3">
        <v>13.67</v>
      </c>
      <c r="D261" s="3">
        <v>13.67</v>
      </c>
      <c r="E261" s="3">
        <v>12.9</v>
      </c>
      <c r="F261" s="3">
        <v>13.37</v>
      </c>
      <c r="G261" s="3">
        <v>25010</v>
      </c>
      <c r="H261" s="8">
        <f t="shared" si="25"/>
        <v>8.6108854589764299</v>
      </c>
      <c r="I261">
        <f t="shared" si="26"/>
        <v>12.930000000000001</v>
      </c>
      <c r="J261" s="6" cm="1">
        <f t="array" ref="J261">_xlfn.STDEV.S(IF($A:$A=A261, $F:$F))</f>
        <v>0.57362879983487558</v>
      </c>
      <c r="P261" s="8">
        <f t="shared" si="27"/>
        <v>8.6108854589764299</v>
      </c>
      <c r="Q261" s="8">
        <f t="shared" si="28"/>
        <v>8.6108854589764299</v>
      </c>
      <c r="R261" s="8">
        <f t="shared" si="29"/>
        <v>8.6108854589764299</v>
      </c>
    </row>
    <row r="262" spans="1:18" x14ac:dyDescent="0.25">
      <c r="A262" s="7">
        <f t="shared" si="24"/>
        <v>53</v>
      </c>
      <c r="B262" s="2">
        <v>43304</v>
      </c>
      <c r="C262" s="3">
        <v>12.94</v>
      </c>
      <c r="D262" s="3">
        <v>13.48</v>
      </c>
      <c r="E262" s="3">
        <v>12.9</v>
      </c>
      <c r="F262" s="3">
        <v>12.9</v>
      </c>
      <c r="G262" s="3">
        <v>79060</v>
      </c>
      <c r="H262" s="8">
        <f t="shared" si="25"/>
        <v>-1.4728682170542597</v>
      </c>
      <c r="I262">
        <f t="shared" si="26"/>
        <v>12.616000000000001</v>
      </c>
      <c r="J262" s="6" cm="1">
        <f t="array" ref="J262">_xlfn.STDEV.S(IF($A:$A=A262, $F:$F))</f>
        <v>0.21892921230388615</v>
      </c>
      <c r="P262" s="8">
        <f t="shared" si="27"/>
        <v>-1.4728682170542597</v>
      </c>
      <c r="Q262" s="8">
        <f t="shared" si="28"/>
        <v>-1.4728682170542597</v>
      </c>
      <c r="R262" s="8">
        <f t="shared" si="29"/>
        <v>-1.4728682170542597</v>
      </c>
    </row>
    <row r="263" spans="1:18" x14ac:dyDescent="0.25">
      <c r="A263" s="7">
        <f t="shared" si="24"/>
        <v>53</v>
      </c>
      <c r="B263" s="2">
        <v>43305</v>
      </c>
      <c r="C263" s="3">
        <v>12.9</v>
      </c>
      <c r="D263" s="3">
        <v>13.01</v>
      </c>
      <c r="E263" s="3">
        <v>12.38</v>
      </c>
      <c r="F263" s="3">
        <v>12.66</v>
      </c>
      <c r="G263" s="3">
        <v>77940</v>
      </c>
      <c r="H263" s="8">
        <f t="shared" si="25"/>
        <v>-1.4728682170542597</v>
      </c>
      <c r="I263">
        <f t="shared" si="26"/>
        <v>12.616000000000001</v>
      </c>
      <c r="J263" s="6" cm="1">
        <f t="array" ref="J263">_xlfn.STDEV.S(IF($A:$A=A263, $F:$F))</f>
        <v>0.21892921230388615</v>
      </c>
      <c r="P263" s="8">
        <f t="shared" si="27"/>
        <v>-1.4728682170542597</v>
      </c>
      <c r="Q263" s="8">
        <f t="shared" si="28"/>
        <v>-1.4728682170542597</v>
      </c>
      <c r="R263" s="8">
        <f t="shared" si="29"/>
        <v>-1.4728682170542597</v>
      </c>
    </row>
    <row r="264" spans="1:18" x14ac:dyDescent="0.25">
      <c r="A264" s="7">
        <f t="shared" si="24"/>
        <v>53</v>
      </c>
      <c r="B264" s="2">
        <v>43306</v>
      </c>
      <c r="C264" s="3">
        <v>12.66</v>
      </c>
      <c r="D264" s="3">
        <v>12.97</v>
      </c>
      <c r="E264" s="3">
        <v>12.48</v>
      </c>
      <c r="F264" s="3">
        <v>12.48</v>
      </c>
      <c r="G264" s="3">
        <v>67170</v>
      </c>
      <c r="H264" s="8">
        <f t="shared" si="25"/>
        <v>-1.4728682170542597</v>
      </c>
      <c r="I264">
        <f t="shared" si="26"/>
        <v>12.616000000000001</v>
      </c>
      <c r="J264" s="6" cm="1">
        <f t="array" ref="J264">_xlfn.STDEV.S(IF($A:$A=A264, $F:$F))</f>
        <v>0.21892921230388615</v>
      </c>
      <c r="P264" s="8">
        <f t="shared" si="27"/>
        <v>-1.4728682170542597</v>
      </c>
      <c r="Q264" s="8">
        <f t="shared" si="28"/>
        <v>-1.4728682170542597</v>
      </c>
      <c r="R264" s="8">
        <f t="shared" si="29"/>
        <v>-1.4728682170542597</v>
      </c>
    </row>
    <row r="265" spans="1:18" x14ac:dyDescent="0.25">
      <c r="A265" s="7">
        <f t="shared" si="24"/>
        <v>53</v>
      </c>
      <c r="B265" s="2">
        <v>43307</v>
      </c>
      <c r="C265" s="3">
        <v>12.78</v>
      </c>
      <c r="D265" s="3">
        <v>12.78</v>
      </c>
      <c r="E265" s="3">
        <v>12.33</v>
      </c>
      <c r="F265" s="3">
        <v>12.33</v>
      </c>
      <c r="G265" s="3">
        <v>8660</v>
      </c>
      <c r="H265" s="8">
        <f t="shared" si="25"/>
        <v>-1.4728682170542597</v>
      </c>
      <c r="I265">
        <f t="shared" si="26"/>
        <v>12.616000000000001</v>
      </c>
      <c r="J265" s="6" cm="1">
        <f t="array" ref="J265">_xlfn.STDEV.S(IF($A:$A=A265, $F:$F))</f>
        <v>0.21892921230388615</v>
      </c>
      <c r="P265" s="8">
        <f t="shared" si="27"/>
        <v>-1.4728682170542597</v>
      </c>
      <c r="Q265" s="8">
        <f t="shared" si="28"/>
        <v>-1.4728682170542597</v>
      </c>
      <c r="R265" s="8">
        <f t="shared" si="29"/>
        <v>-1.4728682170542597</v>
      </c>
    </row>
    <row r="266" spans="1:18" x14ac:dyDescent="0.25">
      <c r="A266" s="7">
        <f t="shared" si="24"/>
        <v>53</v>
      </c>
      <c r="B266" s="2">
        <v>43308</v>
      </c>
      <c r="C266" s="3">
        <v>12.43</v>
      </c>
      <c r="D266" s="3">
        <v>12.76</v>
      </c>
      <c r="E266" s="3">
        <v>12.43</v>
      </c>
      <c r="F266" s="3">
        <v>12.71</v>
      </c>
      <c r="G266" s="3">
        <v>38670</v>
      </c>
      <c r="H266" s="8">
        <f t="shared" si="25"/>
        <v>-1.4728682170542597</v>
      </c>
      <c r="I266">
        <f t="shared" si="26"/>
        <v>12.616000000000001</v>
      </c>
      <c r="J266" s="6" cm="1">
        <f t="array" ref="J266">_xlfn.STDEV.S(IF($A:$A=A266, $F:$F))</f>
        <v>0.21892921230388615</v>
      </c>
      <c r="P266" s="8">
        <f t="shared" si="27"/>
        <v>-1.4728682170542597</v>
      </c>
      <c r="Q266" s="8">
        <f t="shared" si="28"/>
        <v>-1.4728682170542597</v>
      </c>
      <c r="R266" s="8">
        <f t="shared" si="29"/>
        <v>-1.4728682170542597</v>
      </c>
    </row>
    <row r="267" spans="1:18" x14ac:dyDescent="0.25">
      <c r="A267" s="7">
        <f t="shared" si="24"/>
        <v>54</v>
      </c>
      <c r="B267" s="2">
        <v>43311</v>
      </c>
      <c r="C267" s="3">
        <v>13.13</v>
      </c>
      <c r="D267" s="3">
        <v>13.39</v>
      </c>
      <c r="E267" s="3">
        <v>12.9</v>
      </c>
      <c r="F267" s="3">
        <v>13.37</v>
      </c>
      <c r="G267" s="3">
        <v>121450</v>
      </c>
      <c r="H267" s="8">
        <f t="shared" si="25"/>
        <v>-1.9446522064323095</v>
      </c>
      <c r="I267">
        <f t="shared" si="26"/>
        <v>13.193999999999999</v>
      </c>
      <c r="J267" s="6" cm="1">
        <f t="array" ref="J267">_xlfn.STDEV.S(IF($A:$A=A267, $F:$F))</f>
        <v>0.16935170504013192</v>
      </c>
      <c r="P267" s="8">
        <f t="shared" si="27"/>
        <v>-1.9446522064323095</v>
      </c>
      <c r="Q267" s="8">
        <f t="shared" si="28"/>
        <v>-1.9446522064323095</v>
      </c>
      <c r="R267" s="8">
        <f t="shared" si="29"/>
        <v>-1.9446522064323095</v>
      </c>
    </row>
    <row r="268" spans="1:18" x14ac:dyDescent="0.25">
      <c r="A268" s="7">
        <f t="shared" si="24"/>
        <v>54</v>
      </c>
      <c r="B268" s="2">
        <v>43312</v>
      </c>
      <c r="C268" s="3">
        <v>13.37</v>
      </c>
      <c r="D268" s="3">
        <v>13.48</v>
      </c>
      <c r="E268" s="3">
        <v>12.9</v>
      </c>
      <c r="F268" s="3">
        <v>13.37</v>
      </c>
      <c r="G268" s="3">
        <v>98110</v>
      </c>
      <c r="H268" s="8">
        <f t="shared" si="25"/>
        <v>-1.9446522064323095</v>
      </c>
      <c r="I268">
        <f t="shared" si="26"/>
        <v>13.193999999999999</v>
      </c>
      <c r="J268" s="6" cm="1">
        <f t="array" ref="J268">_xlfn.STDEV.S(IF($A:$A=A268, $F:$F))</f>
        <v>0.16935170504013192</v>
      </c>
      <c r="P268" s="8">
        <f t="shared" si="27"/>
        <v>-1.9446522064323095</v>
      </c>
      <c r="Q268" s="8">
        <f t="shared" si="28"/>
        <v>-1.9446522064323095</v>
      </c>
      <c r="R268" s="8">
        <f t="shared" si="29"/>
        <v>-1.9446522064323095</v>
      </c>
    </row>
    <row r="269" spans="1:18" x14ac:dyDescent="0.25">
      <c r="A269" s="7">
        <f t="shared" si="24"/>
        <v>54</v>
      </c>
      <c r="B269" s="2">
        <v>43313</v>
      </c>
      <c r="C269" s="3">
        <v>13.3</v>
      </c>
      <c r="D269" s="3">
        <v>13.32</v>
      </c>
      <c r="E269" s="3">
        <v>13.01</v>
      </c>
      <c r="F269" s="3">
        <v>13.13</v>
      </c>
      <c r="G269" s="3">
        <v>26090</v>
      </c>
      <c r="H269" s="8">
        <f t="shared" si="25"/>
        <v>-1.9446522064323095</v>
      </c>
      <c r="I269">
        <f t="shared" si="26"/>
        <v>13.193999999999999</v>
      </c>
      <c r="J269" s="6" cm="1">
        <f t="array" ref="J269">_xlfn.STDEV.S(IF($A:$A=A269, $F:$F))</f>
        <v>0.16935170504013192</v>
      </c>
      <c r="P269" s="8">
        <f t="shared" si="27"/>
        <v>-1.9446522064323095</v>
      </c>
      <c r="Q269" s="8">
        <f t="shared" si="28"/>
        <v>-1.9446522064323095</v>
      </c>
      <c r="R269" s="8">
        <f t="shared" si="29"/>
        <v>-1.9446522064323095</v>
      </c>
    </row>
    <row r="270" spans="1:18" x14ac:dyDescent="0.25">
      <c r="A270" s="7">
        <f t="shared" si="24"/>
        <v>54</v>
      </c>
      <c r="B270" s="2">
        <v>43314</v>
      </c>
      <c r="C270" s="3">
        <v>12.92</v>
      </c>
      <c r="D270" s="3">
        <v>13.2</v>
      </c>
      <c r="E270" s="3">
        <v>12.9</v>
      </c>
      <c r="F270" s="3">
        <v>12.99</v>
      </c>
      <c r="G270" s="3">
        <v>63530</v>
      </c>
      <c r="H270" s="8">
        <f t="shared" si="25"/>
        <v>-1.9446522064323095</v>
      </c>
      <c r="I270">
        <f t="shared" si="26"/>
        <v>13.193999999999999</v>
      </c>
      <c r="J270" s="6" cm="1">
        <f t="array" ref="J270">_xlfn.STDEV.S(IF($A:$A=A270, $F:$F))</f>
        <v>0.16935170504013192</v>
      </c>
      <c r="P270" s="8">
        <f t="shared" si="27"/>
        <v>-1.9446522064323095</v>
      </c>
      <c r="Q270" s="8">
        <f t="shared" si="28"/>
        <v>-1.9446522064323095</v>
      </c>
      <c r="R270" s="8">
        <f t="shared" si="29"/>
        <v>-1.9446522064323095</v>
      </c>
    </row>
    <row r="271" spans="1:18" x14ac:dyDescent="0.25">
      <c r="A271" s="7">
        <f t="shared" si="24"/>
        <v>54</v>
      </c>
      <c r="B271" s="2">
        <v>43315</v>
      </c>
      <c r="C271" s="3">
        <v>13.13</v>
      </c>
      <c r="D271" s="3">
        <v>13.32</v>
      </c>
      <c r="E271" s="3">
        <v>12.97</v>
      </c>
      <c r="F271" s="3">
        <v>13.11</v>
      </c>
      <c r="G271" s="3">
        <v>22330</v>
      </c>
      <c r="H271" s="8">
        <f t="shared" si="25"/>
        <v>-1.9446522064323095</v>
      </c>
      <c r="I271">
        <f t="shared" si="26"/>
        <v>13.193999999999999</v>
      </c>
      <c r="J271" s="6" cm="1">
        <f t="array" ref="J271">_xlfn.STDEV.S(IF($A:$A=A271, $F:$F))</f>
        <v>0.16935170504013192</v>
      </c>
      <c r="P271" s="8">
        <f t="shared" si="27"/>
        <v>-1.9446522064323095</v>
      </c>
      <c r="Q271" s="8">
        <f t="shared" si="28"/>
        <v>-1.9446522064323095</v>
      </c>
      <c r="R271" s="8">
        <f t="shared" si="29"/>
        <v>-1.9446522064323095</v>
      </c>
    </row>
    <row r="272" spans="1:18" x14ac:dyDescent="0.25">
      <c r="A272" s="7">
        <f t="shared" si="24"/>
        <v>55</v>
      </c>
      <c r="B272" s="2">
        <v>43318</v>
      </c>
      <c r="C272" s="3">
        <v>13.13</v>
      </c>
      <c r="D272" s="3">
        <v>13.13</v>
      </c>
      <c r="E272" s="3">
        <v>12.9</v>
      </c>
      <c r="F272" s="3">
        <v>12.9</v>
      </c>
      <c r="G272" s="3">
        <v>17440</v>
      </c>
      <c r="H272" s="8">
        <f t="shared" si="25"/>
        <v>2.7131782945736407</v>
      </c>
      <c r="I272">
        <f t="shared" si="26"/>
        <v>12.972000000000003</v>
      </c>
      <c r="J272" s="6" cm="1">
        <f t="array" ref="J272">_xlfn.STDEV.S(IF($A:$A=A272, $F:$F))</f>
        <v>0.20849460424672878</v>
      </c>
      <c r="P272" s="8">
        <f t="shared" si="27"/>
        <v>2.7131782945736407</v>
      </c>
      <c r="Q272" s="8">
        <f t="shared" si="28"/>
        <v>2.7131782945736407</v>
      </c>
      <c r="R272" s="8">
        <f t="shared" si="29"/>
        <v>2.7131782945736407</v>
      </c>
    </row>
    <row r="273" spans="1:18" x14ac:dyDescent="0.25">
      <c r="A273" s="7">
        <f t="shared" si="24"/>
        <v>55</v>
      </c>
      <c r="B273" s="2">
        <v>43319</v>
      </c>
      <c r="C273" s="3">
        <v>13.06</v>
      </c>
      <c r="D273" s="3">
        <v>13.06</v>
      </c>
      <c r="E273" s="3">
        <v>12.69</v>
      </c>
      <c r="F273" s="3">
        <v>12.78</v>
      </c>
      <c r="G273" s="3">
        <v>29340</v>
      </c>
      <c r="H273" s="8">
        <f t="shared" si="25"/>
        <v>2.7131782945736407</v>
      </c>
      <c r="I273">
        <f t="shared" si="26"/>
        <v>12.972000000000003</v>
      </c>
      <c r="J273" s="6" cm="1">
        <f t="array" ref="J273">_xlfn.STDEV.S(IF($A:$A=A273, $F:$F))</f>
        <v>0.20849460424672878</v>
      </c>
      <c r="P273" s="8">
        <f t="shared" si="27"/>
        <v>2.7131782945736407</v>
      </c>
      <c r="Q273" s="8">
        <f t="shared" si="28"/>
        <v>2.7131782945736407</v>
      </c>
      <c r="R273" s="8">
        <f t="shared" si="29"/>
        <v>2.7131782945736407</v>
      </c>
    </row>
    <row r="274" spans="1:18" x14ac:dyDescent="0.25">
      <c r="A274" s="7">
        <f t="shared" si="24"/>
        <v>55</v>
      </c>
      <c r="B274" s="2">
        <v>43320</v>
      </c>
      <c r="C274" s="3">
        <v>12.9</v>
      </c>
      <c r="D274" s="3">
        <v>12.92</v>
      </c>
      <c r="E274" s="3">
        <v>12.66</v>
      </c>
      <c r="F274" s="3">
        <v>12.8</v>
      </c>
      <c r="G274" s="3">
        <v>40210</v>
      </c>
      <c r="H274" s="8">
        <f t="shared" si="25"/>
        <v>2.7131782945736407</v>
      </c>
      <c r="I274">
        <f t="shared" si="26"/>
        <v>12.972000000000003</v>
      </c>
      <c r="J274" s="6" cm="1">
        <f t="array" ref="J274">_xlfn.STDEV.S(IF($A:$A=A274, $F:$F))</f>
        <v>0.20849460424672878</v>
      </c>
      <c r="P274" s="8">
        <f t="shared" si="27"/>
        <v>2.7131782945736407</v>
      </c>
      <c r="Q274" s="8">
        <f t="shared" si="28"/>
        <v>2.7131782945736407</v>
      </c>
      <c r="R274" s="8">
        <f t="shared" si="29"/>
        <v>2.7131782945736407</v>
      </c>
    </row>
    <row r="275" spans="1:18" x14ac:dyDescent="0.25">
      <c r="A275" s="7">
        <f t="shared" si="24"/>
        <v>55</v>
      </c>
      <c r="B275" s="2">
        <v>43321</v>
      </c>
      <c r="C275" s="3">
        <v>12.99</v>
      </c>
      <c r="D275" s="3">
        <v>13.32</v>
      </c>
      <c r="E275" s="3">
        <v>12.99</v>
      </c>
      <c r="F275" s="3">
        <v>13.13</v>
      </c>
      <c r="G275" s="3">
        <v>103310</v>
      </c>
      <c r="H275" s="8">
        <f t="shared" si="25"/>
        <v>2.7131782945736407</v>
      </c>
      <c r="I275">
        <f t="shared" si="26"/>
        <v>12.972000000000003</v>
      </c>
      <c r="J275" s="6" cm="1">
        <f t="array" ref="J275">_xlfn.STDEV.S(IF($A:$A=A275, $F:$F))</f>
        <v>0.20849460424672878</v>
      </c>
      <c r="P275" s="8">
        <f t="shared" si="27"/>
        <v>2.7131782945736407</v>
      </c>
      <c r="Q275" s="8">
        <f t="shared" si="28"/>
        <v>2.7131782945736407</v>
      </c>
      <c r="R275" s="8">
        <f t="shared" si="29"/>
        <v>2.7131782945736407</v>
      </c>
    </row>
    <row r="276" spans="1:18" x14ac:dyDescent="0.25">
      <c r="A276" s="7">
        <f t="shared" si="24"/>
        <v>55</v>
      </c>
      <c r="B276" s="2">
        <v>43322</v>
      </c>
      <c r="C276" s="3">
        <v>13.13</v>
      </c>
      <c r="D276" s="3">
        <v>13.48</v>
      </c>
      <c r="E276" s="3">
        <v>13.06</v>
      </c>
      <c r="F276" s="3">
        <v>13.25</v>
      </c>
      <c r="G276" s="3">
        <v>218220</v>
      </c>
      <c r="H276" s="8">
        <f t="shared" si="25"/>
        <v>2.7131782945736407</v>
      </c>
      <c r="I276">
        <f t="shared" si="26"/>
        <v>12.972000000000003</v>
      </c>
      <c r="J276" s="6" cm="1">
        <f t="array" ref="J276">_xlfn.STDEV.S(IF($A:$A=A276, $F:$F))</f>
        <v>0.20849460424672878</v>
      </c>
      <c r="P276" s="8">
        <f t="shared" si="27"/>
        <v>2.7131782945736407</v>
      </c>
      <c r="Q276" s="8">
        <f t="shared" si="28"/>
        <v>2.7131782945736407</v>
      </c>
      <c r="R276" s="8">
        <f t="shared" si="29"/>
        <v>2.7131782945736407</v>
      </c>
    </row>
    <row r="277" spans="1:18" x14ac:dyDescent="0.25">
      <c r="A277" s="7">
        <f t="shared" si="24"/>
        <v>56</v>
      </c>
      <c r="B277" s="2">
        <v>43325</v>
      </c>
      <c r="C277" s="3">
        <v>13.25</v>
      </c>
      <c r="D277" s="3">
        <v>13.84</v>
      </c>
      <c r="E277" s="3">
        <v>13.25</v>
      </c>
      <c r="F277" s="3">
        <v>13.84</v>
      </c>
      <c r="G277" s="3">
        <v>210370</v>
      </c>
      <c r="H277" s="8">
        <f t="shared" si="25"/>
        <v>0</v>
      </c>
      <c r="I277">
        <f t="shared" si="26"/>
        <v>13.984</v>
      </c>
      <c r="J277" s="6" cm="1">
        <f t="array" ref="J277">_xlfn.STDEV.S(IF($A:$A=A277, $F:$F))</f>
        <v>0.31093407661431999</v>
      </c>
      <c r="P277" s="8">
        <f t="shared" si="27"/>
        <v>0</v>
      </c>
      <c r="Q277" s="8">
        <f t="shared" si="28"/>
        <v>0</v>
      </c>
      <c r="R277" s="8">
        <f t="shared" si="29"/>
        <v>0</v>
      </c>
    </row>
    <row r="278" spans="1:18" x14ac:dyDescent="0.25">
      <c r="A278" s="7">
        <f t="shared" si="24"/>
        <v>56</v>
      </c>
      <c r="B278" s="2">
        <v>43326</v>
      </c>
      <c r="C278" s="3">
        <v>14.05</v>
      </c>
      <c r="D278" s="3">
        <v>14.54</v>
      </c>
      <c r="E278" s="3">
        <v>13.86</v>
      </c>
      <c r="F278" s="3">
        <v>14.54</v>
      </c>
      <c r="G278" s="3">
        <v>121080</v>
      </c>
      <c r="H278" s="8">
        <f t="shared" si="25"/>
        <v>0</v>
      </c>
      <c r="I278">
        <f t="shared" si="26"/>
        <v>13.984</v>
      </c>
      <c r="J278" s="6" cm="1">
        <f t="array" ref="J278">_xlfn.STDEV.S(IF($A:$A=A278, $F:$F))</f>
        <v>0.31093407661431999</v>
      </c>
      <c r="P278" s="8">
        <f t="shared" si="27"/>
        <v>0</v>
      </c>
      <c r="Q278" s="8">
        <f t="shared" si="28"/>
        <v>0</v>
      </c>
      <c r="R278" s="8">
        <f t="shared" si="29"/>
        <v>0</v>
      </c>
    </row>
    <row r="279" spans="1:18" x14ac:dyDescent="0.25">
      <c r="A279" s="7">
        <f t="shared" si="24"/>
        <v>56</v>
      </c>
      <c r="B279" s="2">
        <v>43327</v>
      </c>
      <c r="C279" s="3">
        <v>14.14</v>
      </c>
      <c r="D279" s="3">
        <v>14.3</v>
      </c>
      <c r="E279" s="3">
        <v>13.84</v>
      </c>
      <c r="F279" s="3">
        <v>13.84</v>
      </c>
      <c r="G279" s="3">
        <v>88150</v>
      </c>
      <c r="H279" s="8">
        <f t="shared" si="25"/>
        <v>0</v>
      </c>
      <c r="I279">
        <f t="shared" si="26"/>
        <v>13.984</v>
      </c>
      <c r="J279" s="6" cm="1">
        <f t="array" ref="J279">_xlfn.STDEV.S(IF($A:$A=A279, $F:$F))</f>
        <v>0.31093407661431999</v>
      </c>
      <c r="P279" s="8">
        <f t="shared" si="27"/>
        <v>0</v>
      </c>
      <c r="Q279" s="8">
        <f t="shared" si="28"/>
        <v>0</v>
      </c>
      <c r="R279" s="8">
        <f t="shared" si="29"/>
        <v>0</v>
      </c>
    </row>
    <row r="280" spans="1:18" x14ac:dyDescent="0.25">
      <c r="A280" s="7">
        <f t="shared" si="24"/>
        <v>56</v>
      </c>
      <c r="B280" s="2">
        <v>43328</v>
      </c>
      <c r="C280" s="3">
        <v>13.6</v>
      </c>
      <c r="D280" s="3">
        <v>14.02</v>
      </c>
      <c r="E280" s="3">
        <v>13.48</v>
      </c>
      <c r="F280" s="3">
        <v>13.86</v>
      </c>
      <c r="G280" s="3">
        <v>228920</v>
      </c>
      <c r="H280" s="8">
        <f t="shared" si="25"/>
        <v>0</v>
      </c>
      <c r="I280">
        <f t="shared" si="26"/>
        <v>13.984</v>
      </c>
      <c r="J280" s="6" cm="1">
        <f t="array" ref="J280">_xlfn.STDEV.S(IF($A:$A=A280, $F:$F))</f>
        <v>0.31093407661431999</v>
      </c>
      <c r="P280" s="8">
        <f t="shared" si="27"/>
        <v>0</v>
      </c>
      <c r="Q280" s="8">
        <f t="shared" si="28"/>
        <v>0</v>
      </c>
      <c r="R280" s="8">
        <f t="shared" si="29"/>
        <v>0</v>
      </c>
    </row>
    <row r="281" spans="1:18" x14ac:dyDescent="0.25">
      <c r="A281" s="7">
        <f t="shared" si="24"/>
        <v>56</v>
      </c>
      <c r="B281" s="2">
        <v>43329</v>
      </c>
      <c r="C281" s="3">
        <v>13.95</v>
      </c>
      <c r="D281" s="3">
        <v>14.26</v>
      </c>
      <c r="E281" s="3">
        <v>13.84</v>
      </c>
      <c r="F281" s="3">
        <v>13.84</v>
      </c>
      <c r="G281" s="3">
        <v>113620</v>
      </c>
      <c r="H281" s="8">
        <f t="shared" si="25"/>
        <v>0</v>
      </c>
      <c r="I281">
        <f t="shared" si="26"/>
        <v>13.984</v>
      </c>
      <c r="J281" s="6" cm="1">
        <f t="array" ref="J281">_xlfn.STDEV.S(IF($A:$A=A281, $F:$F))</f>
        <v>0.31093407661431999</v>
      </c>
      <c r="P281" s="8">
        <f t="shared" si="27"/>
        <v>0</v>
      </c>
      <c r="Q281" s="8">
        <f t="shared" si="28"/>
        <v>0</v>
      </c>
      <c r="R281" s="8">
        <f t="shared" si="29"/>
        <v>0</v>
      </c>
    </row>
    <row r="282" spans="1:18" x14ac:dyDescent="0.25">
      <c r="A282" s="7">
        <f t="shared" si="24"/>
        <v>57</v>
      </c>
      <c r="B282" s="2">
        <v>43332</v>
      </c>
      <c r="C282" s="3">
        <v>13.72</v>
      </c>
      <c r="D282" s="3">
        <v>13.95</v>
      </c>
      <c r="E282" s="3">
        <v>13.72</v>
      </c>
      <c r="F282" s="3">
        <v>13.72</v>
      </c>
      <c r="G282" s="3">
        <v>40830</v>
      </c>
      <c r="H282" s="8">
        <f t="shared" si="25"/>
        <v>2.1865889212827909</v>
      </c>
      <c r="I282">
        <f t="shared" si="26"/>
        <v>13.904</v>
      </c>
      <c r="J282" s="6" cm="1">
        <f t="array" ref="J282">_xlfn.STDEV.S(IF($A:$A=A282, $F:$F))</f>
        <v>0.11414902540100759</v>
      </c>
      <c r="P282" s="8">
        <f t="shared" si="27"/>
        <v>2.1865889212827909</v>
      </c>
      <c r="Q282" s="8">
        <f t="shared" si="28"/>
        <v>2.1865889212827909</v>
      </c>
      <c r="R282" s="8">
        <f t="shared" si="29"/>
        <v>2.1865889212827909</v>
      </c>
    </row>
    <row r="283" spans="1:18" x14ac:dyDescent="0.25">
      <c r="A283" s="7">
        <f t="shared" si="24"/>
        <v>57</v>
      </c>
      <c r="B283" s="2">
        <v>43333</v>
      </c>
      <c r="C283" s="3">
        <v>13.72</v>
      </c>
      <c r="D283" s="3">
        <v>13.88</v>
      </c>
      <c r="E283" s="3">
        <v>13.48</v>
      </c>
      <c r="F283" s="3">
        <v>13.88</v>
      </c>
      <c r="G283" s="3">
        <v>87690</v>
      </c>
      <c r="H283" s="8">
        <f t="shared" si="25"/>
        <v>2.1865889212827909</v>
      </c>
      <c r="I283">
        <f t="shared" si="26"/>
        <v>13.904</v>
      </c>
      <c r="J283" s="6" cm="1">
        <f t="array" ref="J283">_xlfn.STDEV.S(IF($A:$A=A283, $F:$F))</f>
        <v>0.11414902540100759</v>
      </c>
      <c r="P283" s="8">
        <f t="shared" si="27"/>
        <v>2.1865889212827909</v>
      </c>
      <c r="Q283" s="8">
        <f t="shared" si="28"/>
        <v>2.1865889212827909</v>
      </c>
      <c r="R283" s="8">
        <f t="shared" si="29"/>
        <v>2.1865889212827909</v>
      </c>
    </row>
    <row r="284" spans="1:18" x14ac:dyDescent="0.25">
      <c r="A284" s="7">
        <f t="shared" si="24"/>
        <v>57</v>
      </c>
      <c r="B284" s="2">
        <v>43334</v>
      </c>
      <c r="C284" s="3">
        <v>14.07</v>
      </c>
      <c r="D284" s="3">
        <v>14.09</v>
      </c>
      <c r="E284" s="3">
        <v>13.72</v>
      </c>
      <c r="F284" s="3">
        <v>13.95</v>
      </c>
      <c r="G284" s="3">
        <v>166340</v>
      </c>
      <c r="H284" s="8">
        <f t="shared" si="25"/>
        <v>2.1865889212827909</v>
      </c>
      <c r="I284">
        <f t="shared" si="26"/>
        <v>13.904</v>
      </c>
      <c r="J284" s="6" cm="1">
        <f t="array" ref="J284">_xlfn.STDEV.S(IF($A:$A=A284, $F:$F))</f>
        <v>0.11414902540100759</v>
      </c>
      <c r="P284" s="8">
        <f t="shared" si="27"/>
        <v>2.1865889212827909</v>
      </c>
      <c r="Q284" s="8">
        <f t="shared" si="28"/>
        <v>2.1865889212827909</v>
      </c>
      <c r="R284" s="8">
        <f t="shared" si="29"/>
        <v>2.1865889212827909</v>
      </c>
    </row>
    <row r="285" spans="1:18" x14ac:dyDescent="0.25">
      <c r="A285" s="7">
        <f t="shared" si="24"/>
        <v>57</v>
      </c>
      <c r="B285" s="2">
        <v>43335</v>
      </c>
      <c r="C285" s="3">
        <v>13.95</v>
      </c>
      <c r="D285" s="3">
        <v>14.07</v>
      </c>
      <c r="E285" s="3">
        <v>13.88</v>
      </c>
      <c r="F285" s="3">
        <v>13.95</v>
      </c>
      <c r="G285" s="3">
        <v>211120</v>
      </c>
      <c r="H285" s="8">
        <f t="shared" si="25"/>
        <v>2.1865889212827909</v>
      </c>
      <c r="I285">
        <f t="shared" si="26"/>
        <v>13.904</v>
      </c>
      <c r="J285" s="6" cm="1">
        <f t="array" ref="J285">_xlfn.STDEV.S(IF($A:$A=A285, $F:$F))</f>
        <v>0.11414902540100759</v>
      </c>
      <c r="P285" s="8">
        <f t="shared" si="27"/>
        <v>2.1865889212827909</v>
      </c>
      <c r="Q285" s="8">
        <f t="shared" si="28"/>
        <v>2.1865889212827909</v>
      </c>
      <c r="R285" s="8">
        <f t="shared" si="29"/>
        <v>2.1865889212827909</v>
      </c>
    </row>
    <row r="286" spans="1:18" x14ac:dyDescent="0.25">
      <c r="A286" s="7">
        <f t="shared" si="24"/>
        <v>57</v>
      </c>
      <c r="B286" s="2">
        <v>43336</v>
      </c>
      <c r="C286" s="3">
        <v>13.95</v>
      </c>
      <c r="D286" s="3">
        <v>14.12</v>
      </c>
      <c r="E286" s="3">
        <v>13.84</v>
      </c>
      <c r="F286" s="3">
        <v>14.02</v>
      </c>
      <c r="G286" s="3">
        <v>197010</v>
      </c>
      <c r="H286" s="8">
        <f t="shared" si="25"/>
        <v>2.1865889212827909</v>
      </c>
      <c r="I286">
        <f t="shared" si="26"/>
        <v>13.904</v>
      </c>
      <c r="J286" s="6" cm="1">
        <f t="array" ref="J286">_xlfn.STDEV.S(IF($A:$A=A286, $F:$F))</f>
        <v>0.11414902540100759</v>
      </c>
      <c r="P286" s="8">
        <f t="shared" si="27"/>
        <v>2.1865889212827909</v>
      </c>
      <c r="Q286" s="8">
        <f t="shared" si="28"/>
        <v>2.1865889212827909</v>
      </c>
      <c r="R286" s="8">
        <f t="shared" si="29"/>
        <v>2.1865889212827909</v>
      </c>
    </row>
    <row r="287" spans="1:18" x14ac:dyDescent="0.25">
      <c r="A287" s="7">
        <f t="shared" si="24"/>
        <v>58</v>
      </c>
      <c r="B287" s="2">
        <v>43339</v>
      </c>
      <c r="C287" s="3">
        <v>14.3</v>
      </c>
      <c r="D287" s="3">
        <v>14.42</v>
      </c>
      <c r="E287" s="3">
        <v>14.07</v>
      </c>
      <c r="F287" s="3">
        <v>14.19</v>
      </c>
      <c r="G287" s="3">
        <v>267920</v>
      </c>
      <c r="H287" s="8">
        <f t="shared" si="25"/>
        <v>4.4397463002114224</v>
      </c>
      <c r="I287">
        <f t="shared" si="26"/>
        <v>14.551999999999998</v>
      </c>
      <c r="J287" s="6" cm="1">
        <f t="array" ref="J287">_xlfn.STDEV.S(IF($A:$A=A287, $F:$F))</f>
        <v>0.33327166096144484</v>
      </c>
      <c r="P287" s="8">
        <f t="shared" si="27"/>
        <v>4.4397463002114224</v>
      </c>
      <c r="Q287" s="8">
        <f t="shared" si="28"/>
        <v>4.4397463002114224</v>
      </c>
      <c r="R287" s="8">
        <f t="shared" si="29"/>
        <v>4.4397463002114224</v>
      </c>
    </row>
    <row r="288" spans="1:18" x14ac:dyDescent="0.25">
      <c r="A288" s="7">
        <f t="shared" si="24"/>
        <v>58</v>
      </c>
      <c r="B288" s="2">
        <v>43340</v>
      </c>
      <c r="C288" s="3">
        <v>14.49</v>
      </c>
      <c r="D288" s="3">
        <v>14.49</v>
      </c>
      <c r="E288" s="3">
        <v>14.19</v>
      </c>
      <c r="F288" s="3">
        <v>14.35</v>
      </c>
      <c r="G288" s="3">
        <v>124920</v>
      </c>
      <c r="H288" s="8">
        <f t="shared" si="25"/>
        <v>4.4397463002114224</v>
      </c>
      <c r="I288">
        <f t="shared" si="26"/>
        <v>14.551999999999998</v>
      </c>
      <c r="J288" s="6" cm="1">
        <f t="array" ref="J288">_xlfn.STDEV.S(IF($A:$A=A288, $F:$F))</f>
        <v>0.33327166096144484</v>
      </c>
      <c r="P288" s="8">
        <f t="shared" si="27"/>
        <v>4.4397463002114224</v>
      </c>
      <c r="Q288" s="8">
        <f t="shared" si="28"/>
        <v>4.4397463002114224</v>
      </c>
      <c r="R288" s="8">
        <f t="shared" si="29"/>
        <v>4.4397463002114224</v>
      </c>
    </row>
    <row r="289" spans="1:18" x14ac:dyDescent="0.25">
      <c r="A289" s="7">
        <f t="shared" si="24"/>
        <v>58</v>
      </c>
      <c r="B289" s="2">
        <v>43341</v>
      </c>
      <c r="C289" s="3">
        <v>14.28</v>
      </c>
      <c r="D289" s="3">
        <v>14.54</v>
      </c>
      <c r="E289" s="3">
        <v>14.23</v>
      </c>
      <c r="F289" s="3">
        <v>14.42</v>
      </c>
      <c r="G289" s="3">
        <v>256440</v>
      </c>
      <c r="H289" s="8">
        <f t="shared" si="25"/>
        <v>4.4397463002114224</v>
      </c>
      <c r="I289">
        <f t="shared" si="26"/>
        <v>14.551999999999998</v>
      </c>
      <c r="J289" s="6" cm="1">
        <f t="array" ref="J289">_xlfn.STDEV.S(IF($A:$A=A289, $F:$F))</f>
        <v>0.33327166096144484</v>
      </c>
      <c r="P289" s="8">
        <f t="shared" si="27"/>
        <v>4.4397463002114224</v>
      </c>
      <c r="Q289" s="8">
        <f t="shared" si="28"/>
        <v>4.4397463002114224</v>
      </c>
      <c r="R289" s="8">
        <f t="shared" si="29"/>
        <v>4.4397463002114224</v>
      </c>
    </row>
    <row r="290" spans="1:18" x14ac:dyDescent="0.25">
      <c r="A290" s="7">
        <f t="shared" si="24"/>
        <v>58</v>
      </c>
      <c r="B290" s="2">
        <v>43342</v>
      </c>
      <c r="C290" s="3">
        <v>14.42</v>
      </c>
      <c r="D290" s="3">
        <v>14.98</v>
      </c>
      <c r="E290" s="3">
        <v>14.35</v>
      </c>
      <c r="F290" s="3">
        <v>14.98</v>
      </c>
      <c r="G290" s="3">
        <v>341330</v>
      </c>
      <c r="H290" s="8">
        <f t="shared" si="25"/>
        <v>4.4397463002114224</v>
      </c>
      <c r="I290">
        <f t="shared" si="26"/>
        <v>14.551999999999998</v>
      </c>
      <c r="J290" s="6" cm="1">
        <f t="array" ref="J290">_xlfn.STDEV.S(IF($A:$A=A290, $F:$F))</f>
        <v>0.33327166096144484</v>
      </c>
      <c r="P290" s="8">
        <f t="shared" si="27"/>
        <v>4.4397463002114224</v>
      </c>
      <c r="Q290" s="8">
        <f t="shared" si="28"/>
        <v>4.4397463002114224</v>
      </c>
      <c r="R290" s="8">
        <f t="shared" si="29"/>
        <v>4.4397463002114224</v>
      </c>
    </row>
    <row r="291" spans="1:18" x14ac:dyDescent="0.25">
      <c r="A291" s="7">
        <f t="shared" si="24"/>
        <v>58</v>
      </c>
      <c r="B291" s="2">
        <v>43343</v>
      </c>
      <c r="C291" s="3">
        <v>14.84</v>
      </c>
      <c r="D291" s="3">
        <v>15.01</v>
      </c>
      <c r="E291" s="3">
        <v>14.77</v>
      </c>
      <c r="F291" s="3">
        <v>14.82</v>
      </c>
      <c r="G291" s="3">
        <v>79800</v>
      </c>
      <c r="H291" s="8">
        <f t="shared" si="25"/>
        <v>4.4397463002114224</v>
      </c>
      <c r="I291">
        <f t="shared" si="26"/>
        <v>14.551999999999998</v>
      </c>
      <c r="J291" s="6" cm="1">
        <f t="array" ref="J291">_xlfn.STDEV.S(IF($A:$A=A291, $F:$F))</f>
        <v>0.33327166096144484</v>
      </c>
      <c r="P291" s="8">
        <f t="shared" si="27"/>
        <v>4.4397463002114224</v>
      </c>
      <c r="Q291" s="8">
        <f t="shared" si="28"/>
        <v>4.4397463002114224</v>
      </c>
      <c r="R291" s="8">
        <f t="shared" si="29"/>
        <v>4.4397463002114224</v>
      </c>
    </row>
    <row r="292" spans="1:18" x14ac:dyDescent="0.25">
      <c r="A292" s="7">
        <f t="shared" si="24"/>
        <v>59</v>
      </c>
      <c r="B292" s="2">
        <v>43347</v>
      </c>
      <c r="C292" s="3">
        <v>14.77</v>
      </c>
      <c r="D292" s="3">
        <v>14.77</v>
      </c>
      <c r="E292" s="3">
        <v>14.35</v>
      </c>
      <c r="F292" s="3">
        <v>14.37</v>
      </c>
      <c r="G292" s="3">
        <v>122140</v>
      </c>
      <c r="H292" s="8">
        <f t="shared" si="25"/>
        <v>-1.7397355601948505</v>
      </c>
      <c r="I292">
        <f t="shared" si="26"/>
        <v>14.122</v>
      </c>
      <c r="J292" s="6" cm="1">
        <f t="array" ref="J292">_xlfn.STDEV.S(IF($A:$A=A292, $F:$F))</f>
        <v>0.15106290080625323</v>
      </c>
      <c r="P292" s="8">
        <f t="shared" si="27"/>
        <v>-1.7397355601948505</v>
      </c>
      <c r="Q292" s="8">
        <f t="shared" si="28"/>
        <v>-1.7397355601948505</v>
      </c>
      <c r="R292" s="8">
        <f t="shared" si="29"/>
        <v>-1.7397355601948505</v>
      </c>
    </row>
    <row r="293" spans="1:18" x14ac:dyDescent="0.25">
      <c r="A293" s="7">
        <f t="shared" si="24"/>
        <v>59</v>
      </c>
      <c r="B293" s="2">
        <v>43348</v>
      </c>
      <c r="C293" s="3">
        <v>14.4</v>
      </c>
      <c r="D293" s="3">
        <v>14.4</v>
      </c>
      <c r="E293" s="3">
        <v>13.95</v>
      </c>
      <c r="F293" s="3">
        <v>14</v>
      </c>
      <c r="G293" s="3">
        <v>141250</v>
      </c>
      <c r="H293" s="8">
        <f t="shared" si="25"/>
        <v>-1.7397355601948505</v>
      </c>
      <c r="I293">
        <f t="shared" si="26"/>
        <v>14.122</v>
      </c>
      <c r="J293" s="6" cm="1">
        <f t="array" ref="J293">_xlfn.STDEV.S(IF($A:$A=A293, $F:$F))</f>
        <v>0.15106290080625323</v>
      </c>
      <c r="P293" s="8">
        <f t="shared" si="27"/>
        <v>-1.7397355601948505</v>
      </c>
      <c r="Q293" s="8">
        <f t="shared" si="28"/>
        <v>-1.7397355601948505</v>
      </c>
      <c r="R293" s="8">
        <f t="shared" si="29"/>
        <v>-1.7397355601948505</v>
      </c>
    </row>
    <row r="294" spans="1:18" x14ac:dyDescent="0.25">
      <c r="A294" s="7">
        <f t="shared" si="24"/>
        <v>59</v>
      </c>
      <c r="B294" s="2">
        <v>43349</v>
      </c>
      <c r="C294" s="3">
        <v>13.98</v>
      </c>
      <c r="D294" s="3">
        <v>14.07</v>
      </c>
      <c r="E294" s="3">
        <v>13.95</v>
      </c>
      <c r="F294" s="3">
        <v>14</v>
      </c>
      <c r="G294" s="3">
        <v>73200</v>
      </c>
      <c r="H294" s="8">
        <f t="shared" si="25"/>
        <v>-1.7397355601948505</v>
      </c>
      <c r="I294">
        <f t="shared" si="26"/>
        <v>14.122</v>
      </c>
      <c r="J294" s="6" cm="1">
        <f t="array" ref="J294">_xlfn.STDEV.S(IF($A:$A=A294, $F:$F))</f>
        <v>0.15106290080625323</v>
      </c>
      <c r="P294" s="8">
        <f t="shared" si="27"/>
        <v>-1.7397355601948505</v>
      </c>
      <c r="Q294" s="8">
        <f t="shared" si="28"/>
        <v>-1.7397355601948505</v>
      </c>
      <c r="R294" s="8">
        <f t="shared" si="29"/>
        <v>-1.7397355601948505</v>
      </c>
    </row>
    <row r="295" spans="1:18" x14ac:dyDescent="0.25">
      <c r="A295" s="7">
        <f t="shared" si="24"/>
        <v>59</v>
      </c>
      <c r="B295" s="2">
        <v>43350</v>
      </c>
      <c r="C295" s="3">
        <v>14</v>
      </c>
      <c r="D295" s="3">
        <v>14.33</v>
      </c>
      <c r="E295" s="3">
        <v>14</v>
      </c>
      <c r="F295" s="3">
        <v>14.12</v>
      </c>
      <c r="G295" s="3">
        <v>28970</v>
      </c>
      <c r="H295" s="8">
        <f t="shared" si="25"/>
        <v>-1.7397355601948505</v>
      </c>
      <c r="I295">
        <f t="shared" si="26"/>
        <v>14.122</v>
      </c>
      <c r="J295" s="6" cm="1">
        <f t="array" ref="J295">_xlfn.STDEV.S(IF($A:$A=A295, $F:$F))</f>
        <v>0.15106290080625323</v>
      </c>
      <c r="P295" s="8">
        <f t="shared" si="27"/>
        <v>-1.7397355601948505</v>
      </c>
      <c r="Q295" s="8">
        <f t="shared" si="28"/>
        <v>-1.7397355601948505</v>
      </c>
      <c r="R295" s="8">
        <f t="shared" si="29"/>
        <v>-1.7397355601948505</v>
      </c>
    </row>
    <row r="296" spans="1:18" x14ac:dyDescent="0.25">
      <c r="A296" s="7">
        <f t="shared" si="24"/>
        <v>59</v>
      </c>
      <c r="B296" s="2">
        <v>43353</v>
      </c>
      <c r="C296" s="3">
        <v>14.12</v>
      </c>
      <c r="D296" s="3">
        <v>14.12</v>
      </c>
      <c r="E296" s="3">
        <v>13.84</v>
      </c>
      <c r="F296" s="3">
        <v>14.12</v>
      </c>
      <c r="G296" s="3">
        <v>42190</v>
      </c>
      <c r="H296" s="8">
        <f t="shared" si="25"/>
        <v>-1.7397355601948505</v>
      </c>
      <c r="I296">
        <f t="shared" si="26"/>
        <v>14.122</v>
      </c>
      <c r="J296" s="6" cm="1">
        <f t="array" ref="J296">_xlfn.STDEV.S(IF($A:$A=A296, $F:$F))</f>
        <v>0.15106290080625323</v>
      </c>
      <c r="P296" s="8">
        <f t="shared" si="27"/>
        <v>-1.7397355601948505</v>
      </c>
      <c r="Q296" s="8">
        <f t="shared" si="28"/>
        <v>-1.7397355601948505</v>
      </c>
      <c r="R296" s="8">
        <f t="shared" si="29"/>
        <v>-1.7397355601948505</v>
      </c>
    </row>
    <row r="297" spans="1:18" x14ac:dyDescent="0.25">
      <c r="A297" s="7">
        <f t="shared" si="24"/>
        <v>60</v>
      </c>
      <c r="B297" s="2">
        <v>43354</v>
      </c>
      <c r="C297" s="3">
        <v>14.07</v>
      </c>
      <c r="D297" s="3">
        <v>14.54</v>
      </c>
      <c r="E297" s="3">
        <v>14.07</v>
      </c>
      <c r="F297" s="3">
        <v>14.44</v>
      </c>
      <c r="G297" s="3">
        <v>159170</v>
      </c>
      <c r="H297" s="8">
        <f t="shared" si="25"/>
        <v>-1.1080332409972309</v>
      </c>
      <c r="I297">
        <f t="shared" si="26"/>
        <v>14.358000000000001</v>
      </c>
      <c r="J297" s="6" cm="1">
        <f t="array" ref="J297">_xlfn.STDEV.S(IF($A:$A=A297, $F:$F))</f>
        <v>9.6020831073262286E-2</v>
      </c>
      <c r="P297" s="8">
        <f t="shared" si="27"/>
        <v>-1.1080332409972309</v>
      </c>
      <c r="Q297" s="8">
        <f t="shared" si="28"/>
        <v>-1.1080332409972309</v>
      </c>
      <c r="R297" s="8">
        <f t="shared" si="29"/>
        <v>-1.1080332409972309</v>
      </c>
    </row>
    <row r="298" spans="1:18" x14ac:dyDescent="0.25">
      <c r="A298" s="7">
        <f t="shared" si="24"/>
        <v>60</v>
      </c>
      <c r="B298" s="2">
        <v>43355</v>
      </c>
      <c r="C298" s="3">
        <v>14.44</v>
      </c>
      <c r="D298" s="3">
        <v>14.63</v>
      </c>
      <c r="E298" s="3">
        <v>14.4</v>
      </c>
      <c r="F298" s="3">
        <v>14.42</v>
      </c>
      <c r="G298" s="3">
        <v>62240</v>
      </c>
      <c r="H298" s="8">
        <f t="shared" si="25"/>
        <v>-1.1080332409972309</v>
      </c>
      <c r="I298">
        <f t="shared" si="26"/>
        <v>14.358000000000001</v>
      </c>
      <c r="J298" s="6" cm="1">
        <f t="array" ref="J298">_xlfn.STDEV.S(IF($A:$A=A298, $F:$F))</f>
        <v>9.6020831073262286E-2</v>
      </c>
      <c r="P298" s="8">
        <f t="shared" si="27"/>
        <v>-1.1080332409972309</v>
      </c>
      <c r="Q298" s="8">
        <f t="shared" si="28"/>
        <v>-1.1080332409972309</v>
      </c>
      <c r="R298" s="8">
        <f t="shared" si="29"/>
        <v>-1.1080332409972309</v>
      </c>
    </row>
    <row r="299" spans="1:18" x14ac:dyDescent="0.25">
      <c r="A299" s="7">
        <f t="shared" si="24"/>
        <v>60</v>
      </c>
      <c r="B299" s="2">
        <v>43356</v>
      </c>
      <c r="C299" s="3">
        <v>14.3</v>
      </c>
      <c r="D299" s="3">
        <v>14.49</v>
      </c>
      <c r="E299" s="3">
        <v>14.23</v>
      </c>
      <c r="F299" s="3">
        <v>14.23</v>
      </c>
      <c r="G299" s="3">
        <v>69910</v>
      </c>
      <c r="H299" s="8">
        <f t="shared" si="25"/>
        <v>-1.1080332409972309</v>
      </c>
      <c r="I299">
        <f t="shared" si="26"/>
        <v>14.358000000000001</v>
      </c>
      <c r="J299" s="6" cm="1">
        <f t="array" ref="J299">_xlfn.STDEV.S(IF($A:$A=A299, $F:$F))</f>
        <v>9.6020831073262286E-2</v>
      </c>
      <c r="P299" s="8">
        <f t="shared" si="27"/>
        <v>-1.1080332409972309</v>
      </c>
      <c r="Q299" s="8">
        <f t="shared" si="28"/>
        <v>-1.1080332409972309</v>
      </c>
      <c r="R299" s="8">
        <f t="shared" si="29"/>
        <v>-1.1080332409972309</v>
      </c>
    </row>
    <row r="300" spans="1:18" x14ac:dyDescent="0.25">
      <c r="A300" s="7">
        <f t="shared" si="24"/>
        <v>60</v>
      </c>
      <c r="B300" s="2">
        <v>43357</v>
      </c>
      <c r="C300" s="3">
        <v>14.23</v>
      </c>
      <c r="D300" s="3">
        <v>14.54</v>
      </c>
      <c r="E300" s="3">
        <v>14.23</v>
      </c>
      <c r="F300" s="3">
        <v>14.42</v>
      </c>
      <c r="G300" s="3">
        <v>306240</v>
      </c>
      <c r="H300" s="8">
        <f t="shared" si="25"/>
        <v>-1.1080332409972309</v>
      </c>
      <c r="I300">
        <f t="shared" si="26"/>
        <v>14.358000000000001</v>
      </c>
      <c r="J300" s="6" cm="1">
        <f t="array" ref="J300">_xlfn.STDEV.S(IF($A:$A=A300, $F:$F))</f>
        <v>9.6020831073262286E-2</v>
      </c>
      <c r="P300" s="8">
        <f t="shared" si="27"/>
        <v>-1.1080332409972309</v>
      </c>
      <c r="Q300" s="8">
        <f t="shared" si="28"/>
        <v>-1.1080332409972309</v>
      </c>
      <c r="R300" s="8">
        <f t="shared" si="29"/>
        <v>-1.1080332409972309</v>
      </c>
    </row>
    <row r="301" spans="1:18" x14ac:dyDescent="0.25">
      <c r="A301" s="7">
        <f t="shared" si="24"/>
        <v>60</v>
      </c>
      <c r="B301" s="2">
        <v>43360</v>
      </c>
      <c r="C301" s="3">
        <v>14.42</v>
      </c>
      <c r="D301" s="3">
        <v>14.47</v>
      </c>
      <c r="E301" s="3">
        <v>14.23</v>
      </c>
      <c r="F301" s="3">
        <v>14.28</v>
      </c>
      <c r="G301" s="3">
        <v>57450</v>
      </c>
      <c r="H301" s="8">
        <f t="shared" si="25"/>
        <v>-1.1080332409972309</v>
      </c>
      <c r="I301">
        <f t="shared" si="26"/>
        <v>14.358000000000001</v>
      </c>
      <c r="J301" s="6" cm="1">
        <f t="array" ref="J301">_xlfn.STDEV.S(IF($A:$A=A301, $F:$F))</f>
        <v>9.6020831073262286E-2</v>
      </c>
      <c r="P301" s="8">
        <f t="shared" si="27"/>
        <v>-1.1080332409972309</v>
      </c>
      <c r="Q301" s="8">
        <f t="shared" si="28"/>
        <v>-1.1080332409972309</v>
      </c>
      <c r="R301" s="8">
        <f t="shared" si="29"/>
        <v>-1.1080332409972309</v>
      </c>
    </row>
    <row r="302" spans="1:18" x14ac:dyDescent="0.25">
      <c r="A302" s="7">
        <f t="shared" si="24"/>
        <v>61</v>
      </c>
      <c r="B302" s="2">
        <v>43361</v>
      </c>
      <c r="C302" s="3">
        <v>14.28</v>
      </c>
      <c r="D302" s="3">
        <v>14.37</v>
      </c>
      <c r="E302" s="3">
        <v>14.07</v>
      </c>
      <c r="F302" s="3">
        <v>14.3</v>
      </c>
      <c r="G302" s="3">
        <v>187590</v>
      </c>
      <c r="H302" s="8">
        <f t="shared" si="25"/>
        <v>4.9650349650349579</v>
      </c>
      <c r="I302">
        <f t="shared" si="26"/>
        <v>14.8</v>
      </c>
      <c r="J302" s="6" cm="1">
        <f t="array" ref="J302">_xlfn.STDEV.S(IF($A:$A=A302, $F:$F))</f>
        <v>0.34205262752974103</v>
      </c>
      <c r="P302" s="8">
        <f t="shared" si="27"/>
        <v>4.9650349650349579</v>
      </c>
      <c r="Q302" s="8">
        <f t="shared" si="28"/>
        <v>4.9650349650349579</v>
      </c>
      <c r="R302" s="8">
        <f t="shared" si="29"/>
        <v>4.9650349650349579</v>
      </c>
    </row>
    <row r="303" spans="1:18" x14ac:dyDescent="0.25">
      <c r="A303" s="7">
        <f t="shared" si="24"/>
        <v>61</v>
      </c>
      <c r="B303" s="2">
        <v>43362</v>
      </c>
      <c r="C303" s="3">
        <v>14.3</v>
      </c>
      <c r="D303" s="3">
        <v>14.73</v>
      </c>
      <c r="E303" s="3">
        <v>14.3</v>
      </c>
      <c r="F303" s="3">
        <v>14.63</v>
      </c>
      <c r="G303" s="3">
        <v>407400</v>
      </c>
      <c r="H303" s="8">
        <f t="shared" si="25"/>
        <v>4.9650349650349579</v>
      </c>
      <c r="I303">
        <f t="shared" si="26"/>
        <v>14.8</v>
      </c>
      <c r="J303" s="6" cm="1">
        <f t="array" ref="J303">_xlfn.STDEV.S(IF($A:$A=A303, $F:$F))</f>
        <v>0.34205262752974103</v>
      </c>
      <c r="P303" s="8">
        <f t="shared" si="27"/>
        <v>4.9650349650349579</v>
      </c>
      <c r="Q303" s="8">
        <f t="shared" si="28"/>
        <v>4.9650349650349579</v>
      </c>
      <c r="R303" s="8">
        <f t="shared" si="29"/>
        <v>4.9650349650349579</v>
      </c>
    </row>
    <row r="304" spans="1:18" x14ac:dyDescent="0.25">
      <c r="A304" s="7">
        <f t="shared" si="24"/>
        <v>61</v>
      </c>
      <c r="B304" s="2">
        <v>43363</v>
      </c>
      <c r="C304" s="3">
        <v>14.59</v>
      </c>
      <c r="D304" s="3">
        <v>14.94</v>
      </c>
      <c r="E304" s="3">
        <v>14.59</v>
      </c>
      <c r="F304" s="3">
        <v>14.89</v>
      </c>
      <c r="G304" s="3">
        <v>281280</v>
      </c>
      <c r="H304" s="8">
        <f t="shared" si="25"/>
        <v>4.9650349650349579</v>
      </c>
      <c r="I304">
        <f t="shared" si="26"/>
        <v>14.8</v>
      </c>
      <c r="J304" s="6" cm="1">
        <f t="array" ref="J304">_xlfn.STDEV.S(IF($A:$A=A304, $F:$F))</f>
        <v>0.34205262752974103</v>
      </c>
      <c r="P304" s="8">
        <f t="shared" si="27"/>
        <v>4.9650349650349579</v>
      </c>
      <c r="Q304" s="8">
        <f t="shared" si="28"/>
        <v>4.9650349650349579</v>
      </c>
      <c r="R304" s="8">
        <f t="shared" si="29"/>
        <v>4.9650349650349579</v>
      </c>
    </row>
    <row r="305" spans="1:18" x14ac:dyDescent="0.25">
      <c r="A305" s="7">
        <f t="shared" si="24"/>
        <v>61</v>
      </c>
      <c r="B305" s="2">
        <v>43364</v>
      </c>
      <c r="C305" s="3">
        <v>14.89</v>
      </c>
      <c r="D305" s="3">
        <v>15.36</v>
      </c>
      <c r="E305" s="3">
        <v>14.89</v>
      </c>
      <c r="F305" s="3">
        <v>15.17</v>
      </c>
      <c r="G305" s="3">
        <v>601270</v>
      </c>
      <c r="H305" s="8">
        <f t="shared" si="25"/>
        <v>4.9650349650349579</v>
      </c>
      <c r="I305">
        <f t="shared" si="26"/>
        <v>14.8</v>
      </c>
      <c r="J305" s="6" cm="1">
        <f t="array" ref="J305">_xlfn.STDEV.S(IF($A:$A=A305, $F:$F))</f>
        <v>0.34205262752974103</v>
      </c>
      <c r="P305" s="8">
        <f t="shared" si="27"/>
        <v>4.9650349650349579</v>
      </c>
      <c r="Q305" s="8">
        <f t="shared" si="28"/>
        <v>4.9650349650349579</v>
      </c>
      <c r="R305" s="8">
        <f t="shared" si="29"/>
        <v>4.9650349650349579</v>
      </c>
    </row>
    <row r="306" spans="1:18" x14ac:dyDescent="0.25">
      <c r="A306" s="7">
        <f t="shared" si="24"/>
        <v>61</v>
      </c>
      <c r="B306" s="2">
        <v>43367</v>
      </c>
      <c r="C306" s="3">
        <v>15.24</v>
      </c>
      <c r="D306" s="3">
        <v>15.34</v>
      </c>
      <c r="E306" s="3">
        <v>15.01</v>
      </c>
      <c r="F306" s="3">
        <v>15.01</v>
      </c>
      <c r="G306" s="3">
        <v>181890</v>
      </c>
      <c r="H306" s="8">
        <f t="shared" si="25"/>
        <v>4.9650349650349579</v>
      </c>
      <c r="I306">
        <f t="shared" si="26"/>
        <v>14.8</v>
      </c>
      <c r="J306" s="6" cm="1">
        <f t="array" ref="J306">_xlfn.STDEV.S(IF($A:$A=A306, $F:$F))</f>
        <v>0.34205262752974103</v>
      </c>
      <c r="P306" s="8">
        <f t="shared" si="27"/>
        <v>4.9650349650349579</v>
      </c>
      <c r="Q306" s="8">
        <f t="shared" si="28"/>
        <v>4.9650349650349579</v>
      </c>
      <c r="R306" s="8">
        <f t="shared" si="29"/>
        <v>4.9650349650349579</v>
      </c>
    </row>
    <row r="307" spans="1:18" x14ac:dyDescent="0.25">
      <c r="A307" s="7">
        <f t="shared" si="24"/>
        <v>62</v>
      </c>
      <c r="B307" s="2">
        <v>43368</v>
      </c>
      <c r="C307" s="3">
        <v>15.01</v>
      </c>
      <c r="D307" s="3">
        <v>15.05</v>
      </c>
      <c r="E307" s="3">
        <v>14.89</v>
      </c>
      <c r="F307" s="3">
        <v>14.96</v>
      </c>
      <c r="G307" s="3">
        <v>149590</v>
      </c>
      <c r="H307" s="8">
        <f t="shared" si="25"/>
        <v>0.60160427807486538</v>
      </c>
      <c r="I307">
        <f t="shared" si="26"/>
        <v>15.05</v>
      </c>
      <c r="J307" s="6" cm="1">
        <f t="array" ref="J307">_xlfn.STDEV.S(IF($A:$A=A307, $F:$F))</f>
        <v>9.0277350426338498E-2</v>
      </c>
      <c r="P307" s="8">
        <f t="shared" si="27"/>
        <v>0.60160427807486538</v>
      </c>
      <c r="Q307" s="8">
        <f t="shared" si="28"/>
        <v>0.60160427807486538</v>
      </c>
      <c r="R307" s="8">
        <f t="shared" si="29"/>
        <v>0.60160427807486538</v>
      </c>
    </row>
    <row r="308" spans="1:18" x14ac:dyDescent="0.25">
      <c r="A308" s="7">
        <f t="shared" si="24"/>
        <v>62</v>
      </c>
      <c r="B308" s="2">
        <v>43369</v>
      </c>
      <c r="C308" s="3">
        <v>14.91</v>
      </c>
      <c r="D308" s="3">
        <v>15.22</v>
      </c>
      <c r="E308" s="3">
        <v>14.91</v>
      </c>
      <c r="F308" s="3">
        <v>15.01</v>
      </c>
      <c r="G308" s="3">
        <v>164310</v>
      </c>
      <c r="H308" s="8">
        <f t="shared" si="25"/>
        <v>0.60160427807486538</v>
      </c>
      <c r="I308">
        <f t="shared" si="26"/>
        <v>15.05</v>
      </c>
      <c r="J308" s="6" cm="1">
        <f t="array" ref="J308">_xlfn.STDEV.S(IF($A:$A=A308, $F:$F))</f>
        <v>9.0277350426338498E-2</v>
      </c>
      <c r="P308" s="8">
        <f t="shared" si="27"/>
        <v>0.60160427807486538</v>
      </c>
      <c r="Q308" s="8">
        <f t="shared" si="28"/>
        <v>0.60160427807486538</v>
      </c>
      <c r="R308" s="8">
        <f t="shared" si="29"/>
        <v>0.60160427807486538</v>
      </c>
    </row>
    <row r="309" spans="1:18" x14ac:dyDescent="0.25">
      <c r="A309" s="7">
        <f t="shared" si="24"/>
        <v>62</v>
      </c>
      <c r="B309" s="2">
        <v>43370</v>
      </c>
      <c r="C309" s="3">
        <v>15.08</v>
      </c>
      <c r="D309" s="3">
        <v>15.22</v>
      </c>
      <c r="E309" s="3">
        <v>14.96</v>
      </c>
      <c r="F309" s="3">
        <v>15.03</v>
      </c>
      <c r="G309" s="3">
        <v>168450</v>
      </c>
      <c r="H309" s="8">
        <f t="shared" si="25"/>
        <v>0.60160427807486538</v>
      </c>
      <c r="I309">
        <f t="shared" si="26"/>
        <v>15.05</v>
      </c>
      <c r="J309" s="6" cm="1">
        <f t="array" ref="J309">_xlfn.STDEV.S(IF($A:$A=A309, $F:$F))</f>
        <v>9.0277350426338498E-2</v>
      </c>
      <c r="P309" s="8">
        <f t="shared" si="27"/>
        <v>0.60160427807486538</v>
      </c>
      <c r="Q309" s="8">
        <f t="shared" si="28"/>
        <v>0.60160427807486538</v>
      </c>
      <c r="R309" s="8">
        <f t="shared" si="29"/>
        <v>0.60160427807486538</v>
      </c>
    </row>
    <row r="310" spans="1:18" x14ac:dyDescent="0.25">
      <c r="A310" s="7">
        <f t="shared" si="24"/>
        <v>62</v>
      </c>
      <c r="B310" s="2">
        <v>43371</v>
      </c>
      <c r="C310" s="3">
        <v>15.03</v>
      </c>
      <c r="D310" s="3">
        <v>15.31</v>
      </c>
      <c r="E310" s="3">
        <v>15.03</v>
      </c>
      <c r="F310" s="3">
        <v>15.2</v>
      </c>
      <c r="G310" s="3">
        <v>227330</v>
      </c>
      <c r="H310" s="8">
        <f t="shared" si="25"/>
        <v>0.60160427807486538</v>
      </c>
      <c r="I310">
        <f t="shared" si="26"/>
        <v>15.05</v>
      </c>
      <c r="J310" s="6" cm="1">
        <f t="array" ref="J310">_xlfn.STDEV.S(IF($A:$A=A310, $F:$F))</f>
        <v>9.0277350426338498E-2</v>
      </c>
      <c r="P310" s="8">
        <f t="shared" si="27"/>
        <v>0.60160427807486538</v>
      </c>
      <c r="Q310" s="8">
        <f t="shared" si="28"/>
        <v>0.60160427807486538</v>
      </c>
      <c r="R310" s="8">
        <f t="shared" si="29"/>
        <v>0.60160427807486538</v>
      </c>
    </row>
    <row r="311" spans="1:18" x14ac:dyDescent="0.25">
      <c r="A311" s="7">
        <f t="shared" si="24"/>
        <v>62</v>
      </c>
      <c r="B311" s="2">
        <v>43374</v>
      </c>
      <c r="C311" s="3">
        <v>15.2</v>
      </c>
      <c r="D311" s="3">
        <v>15.36</v>
      </c>
      <c r="E311" s="3">
        <v>14.91</v>
      </c>
      <c r="F311" s="3">
        <v>15.05</v>
      </c>
      <c r="G311" s="3">
        <v>163200</v>
      </c>
      <c r="H311" s="8">
        <f t="shared" si="25"/>
        <v>0.60160427807486538</v>
      </c>
      <c r="I311">
        <f t="shared" si="26"/>
        <v>15.05</v>
      </c>
      <c r="J311" s="6" cm="1">
        <f t="array" ref="J311">_xlfn.STDEV.S(IF($A:$A=A311, $F:$F))</f>
        <v>9.0277350426338498E-2</v>
      </c>
      <c r="P311" s="8">
        <f t="shared" si="27"/>
        <v>0.60160427807486538</v>
      </c>
      <c r="Q311" s="8">
        <f t="shared" si="28"/>
        <v>0.60160427807486538</v>
      </c>
      <c r="R311" s="8">
        <f t="shared" si="29"/>
        <v>0.60160427807486538</v>
      </c>
    </row>
    <row r="312" spans="1:18" x14ac:dyDescent="0.25">
      <c r="A312" s="7">
        <f t="shared" si="24"/>
        <v>63</v>
      </c>
      <c r="B312" s="2">
        <v>43375</v>
      </c>
      <c r="C312" s="3">
        <v>15.05</v>
      </c>
      <c r="D312" s="3">
        <v>15.59</v>
      </c>
      <c r="E312" s="3">
        <v>14.89</v>
      </c>
      <c r="F312" s="3">
        <v>15.2</v>
      </c>
      <c r="G312" s="3">
        <v>297070</v>
      </c>
      <c r="H312" s="8">
        <f t="shared" si="25"/>
        <v>-0.65789473684210298</v>
      </c>
      <c r="I312">
        <f t="shared" si="26"/>
        <v>15.337999999999999</v>
      </c>
      <c r="J312" s="6" cm="1">
        <f t="array" ref="J312">_xlfn.STDEV.S(IF($A:$A=A312, $F:$F))</f>
        <v>0.19344249791604778</v>
      </c>
      <c r="P312" s="8">
        <f t="shared" si="27"/>
        <v>-0.65789473684210298</v>
      </c>
      <c r="Q312" s="8">
        <f t="shared" si="28"/>
        <v>-0.65789473684210298</v>
      </c>
      <c r="R312" s="8">
        <f t="shared" si="29"/>
        <v>-0.65789473684210298</v>
      </c>
    </row>
    <row r="313" spans="1:18" x14ac:dyDescent="0.25">
      <c r="A313" s="7">
        <f t="shared" si="24"/>
        <v>63</v>
      </c>
      <c r="B313" s="2">
        <v>43376</v>
      </c>
      <c r="C313" s="3">
        <v>15.2</v>
      </c>
      <c r="D313" s="3">
        <v>15.43</v>
      </c>
      <c r="E313" s="3">
        <v>15.2</v>
      </c>
      <c r="F313" s="3">
        <v>15.34</v>
      </c>
      <c r="G313" s="3">
        <v>92230</v>
      </c>
      <c r="H313" s="8">
        <f t="shared" si="25"/>
        <v>-0.65789473684210298</v>
      </c>
      <c r="I313">
        <f t="shared" si="26"/>
        <v>15.337999999999999</v>
      </c>
      <c r="J313" s="6" cm="1">
        <f t="array" ref="J313">_xlfn.STDEV.S(IF($A:$A=A313, $F:$F))</f>
        <v>0.19344249791604778</v>
      </c>
      <c r="P313" s="8">
        <f t="shared" si="27"/>
        <v>-0.65789473684210298</v>
      </c>
      <c r="Q313" s="8">
        <f t="shared" si="28"/>
        <v>-0.65789473684210298</v>
      </c>
      <c r="R313" s="8">
        <f t="shared" si="29"/>
        <v>-0.65789473684210298</v>
      </c>
    </row>
    <row r="314" spans="1:18" x14ac:dyDescent="0.25">
      <c r="A314" s="7">
        <f t="shared" si="24"/>
        <v>63</v>
      </c>
      <c r="B314" s="2">
        <v>43377</v>
      </c>
      <c r="C314" s="3">
        <v>15.43</v>
      </c>
      <c r="D314" s="3">
        <v>15.66</v>
      </c>
      <c r="E314" s="3">
        <v>15.36</v>
      </c>
      <c r="F314" s="3">
        <v>15.57</v>
      </c>
      <c r="G314" s="3">
        <v>160050</v>
      </c>
      <c r="H314" s="8">
        <f t="shared" si="25"/>
        <v>-0.65789473684210298</v>
      </c>
      <c r="I314">
        <f t="shared" si="26"/>
        <v>15.337999999999999</v>
      </c>
      <c r="J314" s="6" cm="1">
        <f t="array" ref="J314">_xlfn.STDEV.S(IF($A:$A=A314, $F:$F))</f>
        <v>0.19344249791604778</v>
      </c>
      <c r="P314" s="8">
        <f t="shared" si="27"/>
        <v>-0.65789473684210298</v>
      </c>
      <c r="Q314" s="8">
        <f t="shared" si="28"/>
        <v>-0.65789473684210298</v>
      </c>
      <c r="R314" s="8">
        <f t="shared" si="29"/>
        <v>-0.65789473684210298</v>
      </c>
    </row>
    <row r="315" spans="1:18" x14ac:dyDescent="0.25">
      <c r="A315" s="7">
        <f t="shared" si="24"/>
        <v>63</v>
      </c>
      <c r="B315" s="2">
        <v>43378</v>
      </c>
      <c r="C315" s="3">
        <v>15.45</v>
      </c>
      <c r="D315" s="3">
        <v>15.9</v>
      </c>
      <c r="E315" s="3">
        <v>15.45</v>
      </c>
      <c r="F315" s="3">
        <v>15.48</v>
      </c>
      <c r="G315" s="3">
        <v>281120</v>
      </c>
      <c r="H315" s="8">
        <f t="shared" si="25"/>
        <v>-0.65789473684210298</v>
      </c>
      <c r="I315">
        <f t="shared" si="26"/>
        <v>15.337999999999999</v>
      </c>
      <c r="J315" s="6" cm="1">
        <f t="array" ref="J315">_xlfn.STDEV.S(IF($A:$A=A315, $F:$F))</f>
        <v>0.19344249791604778</v>
      </c>
      <c r="P315" s="8">
        <f t="shared" si="27"/>
        <v>-0.65789473684210298</v>
      </c>
      <c r="Q315" s="8">
        <f t="shared" si="28"/>
        <v>-0.65789473684210298</v>
      </c>
      <c r="R315" s="8">
        <f t="shared" si="29"/>
        <v>-0.65789473684210298</v>
      </c>
    </row>
    <row r="316" spans="1:18" x14ac:dyDescent="0.25">
      <c r="A316" s="7">
        <f t="shared" si="24"/>
        <v>63</v>
      </c>
      <c r="B316" s="2">
        <v>43381</v>
      </c>
      <c r="C316" s="3">
        <v>15.36</v>
      </c>
      <c r="D316" s="3">
        <v>15.45</v>
      </c>
      <c r="E316" s="3">
        <v>15.1</v>
      </c>
      <c r="F316" s="3">
        <v>15.1</v>
      </c>
      <c r="G316" s="3">
        <v>89790</v>
      </c>
      <c r="H316" s="8">
        <f t="shared" si="25"/>
        <v>-0.65789473684210298</v>
      </c>
      <c r="I316">
        <f t="shared" si="26"/>
        <v>15.337999999999999</v>
      </c>
      <c r="J316" s="6" cm="1">
        <f t="array" ref="J316">_xlfn.STDEV.S(IF($A:$A=A316, $F:$F))</f>
        <v>0.19344249791604778</v>
      </c>
      <c r="P316" s="8">
        <f t="shared" si="27"/>
        <v>-0.65789473684210298</v>
      </c>
      <c r="Q316" s="8">
        <f t="shared" si="28"/>
        <v>-0.65789473684210298</v>
      </c>
      <c r="R316" s="8">
        <f t="shared" si="29"/>
        <v>-0.65789473684210298</v>
      </c>
    </row>
    <row r="317" spans="1:18" x14ac:dyDescent="0.25">
      <c r="A317" s="7">
        <f t="shared" si="24"/>
        <v>64</v>
      </c>
      <c r="B317" s="2">
        <v>43382</v>
      </c>
      <c r="C317" s="3">
        <v>15.1</v>
      </c>
      <c r="D317" s="3">
        <v>15.29</v>
      </c>
      <c r="E317" s="3">
        <v>15.03</v>
      </c>
      <c r="F317" s="3">
        <v>15.03</v>
      </c>
      <c r="G317" s="3">
        <v>94070</v>
      </c>
      <c r="H317" s="8">
        <f t="shared" si="25"/>
        <v>-5.1230871590153004</v>
      </c>
      <c r="I317">
        <f t="shared" si="26"/>
        <v>14.520000000000001</v>
      </c>
      <c r="J317" s="6" cm="1">
        <f t="array" ref="J317">_xlfn.STDEV.S(IF($A:$A=A317, $F:$F))</f>
        <v>0.47079719625333344</v>
      </c>
      <c r="P317" s="8">
        <f t="shared" si="27"/>
        <v>-5.1230871590153004</v>
      </c>
      <c r="Q317" s="8">
        <f t="shared" si="28"/>
        <v>-5.1230871590153004</v>
      </c>
      <c r="R317" s="8">
        <f t="shared" si="29"/>
        <v>-5.1230871590153004</v>
      </c>
    </row>
    <row r="318" spans="1:18" x14ac:dyDescent="0.25">
      <c r="A318" s="7">
        <f t="shared" si="24"/>
        <v>64</v>
      </c>
      <c r="B318" s="2">
        <v>43383</v>
      </c>
      <c r="C318" s="3">
        <v>15.05</v>
      </c>
      <c r="D318" s="3">
        <v>15.24</v>
      </c>
      <c r="E318" s="3">
        <v>14.96</v>
      </c>
      <c r="F318" s="3">
        <v>15.01</v>
      </c>
      <c r="G318" s="3">
        <v>114680</v>
      </c>
      <c r="H318" s="8">
        <f t="shared" si="25"/>
        <v>-5.1230871590153004</v>
      </c>
      <c r="I318">
        <f t="shared" si="26"/>
        <v>14.520000000000001</v>
      </c>
      <c r="J318" s="6" cm="1">
        <f t="array" ref="J318">_xlfn.STDEV.S(IF($A:$A=A318, $F:$F))</f>
        <v>0.47079719625333344</v>
      </c>
      <c r="P318" s="8">
        <f t="shared" si="27"/>
        <v>-5.1230871590153004</v>
      </c>
      <c r="Q318" s="8">
        <f t="shared" si="28"/>
        <v>-5.1230871590153004</v>
      </c>
      <c r="R318" s="8">
        <f t="shared" si="29"/>
        <v>-5.1230871590153004</v>
      </c>
    </row>
    <row r="319" spans="1:18" x14ac:dyDescent="0.25">
      <c r="A319" s="7">
        <f t="shared" si="24"/>
        <v>64</v>
      </c>
      <c r="B319" s="2">
        <v>43384</v>
      </c>
      <c r="C319" s="3">
        <v>14.26</v>
      </c>
      <c r="D319" s="3">
        <v>14.68</v>
      </c>
      <c r="E319" s="3">
        <v>14</v>
      </c>
      <c r="F319" s="3">
        <v>14</v>
      </c>
      <c r="G319" s="3">
        <v>389730</v>
      </c>
      <c r="H319" s="8">
        <f t="shared" si="25"/>
        <v>-5.1230871590153004</v>
      </c>
      <c r="I319">
        <f t="shared" si="26"/>
        <v>14.520000000000001</v>
      </c>
      <c r="J319" s="6" cm="1">
        <f t="array" ref="J319">_xlfn.STDEV.S(IF($A:$A=A319, $F:$F))</f>
        <v>0.47079719625333344</v>
      </c>
      <c r="P319" s="8">
        <f t="shared" si="27"/>
        <v>-5.1230871590153004</v>
      </c>
      <c r="Q319" s="8">
        <f t="shared" si="28"/>
        <v>-5.1230871590153004</v>
      </c>
      <c r="R319" s="8">
        <f t="shared" si="29"/>
        <v>-5.1230871590153004</v>
      </c>
    </row>
    <row r="320" spans="1:18" x14ac:dyDescent="0.25">
      <c r="A320" s="7">
        <f t="shared" si="24"/>
        <v>64</v>
      </c>
      <c r="B320" s="2">
        <v>43385</v>
      </c>
      <c r="C320" s="3">
        <v>13.27</v>
      </c>
      <c r="D320" s="3">
        <v>14.49</v>
      </c>
      <c r="E320" s="3">
        <v>13.27</v>
      </c>
      <c r="F320" s="3">
        <v>14.3</v>
      </c>
      <c r="G320" s="3">
        <v>208410</v>
      </c>
      <c r="H320" s="8">
        <f t="shared" si="25"/>
        <v>-5.1230871590153004</v>
      </c>
      <c r="I320">
        <f t="shared" si="26"/>
        <v>14.520000000000001</v>
      </c>
      <c r="J320" s="6" cm="1">
        <f t="array" ref="J320">_xlfn.STDEV.S(IF($A:$A=A320, $F:$F))</f>
        <v>0.47079719625333344</v>
      </c>
      <c r="P320" s="8">
        <f t="shared" si="27"/>
        <v>-5.1230871590153004</v>
      </c>
      <c r="Q320" s="8">
        <f t="shared" si="28"/>
        <v>-5.1230871590153004</v>
      </c>
      <c r="R320" s="8">
        <f t="shared" si="29"/>
        <v>-5.1230871590153004</v>
      </c>
    </row>
    <row r="321" spans="1:18" x14ac:dyDescent="0.25">
      <c r="A321" s="7">
        <f t="shared" si="24"/>
        <v>64</v>
      </c>
      <c r="B321" s="2">
        <v>43388</v>
      </c>
      <c r="C321" s="3">
        <v>14.54</v>
      </c>
      <c r="D321" s="3">
        <v>14.54</v>
      </c>
      <c r="E321" s="3">
        <v>14.09</v>
      </c>
      <c r="F321" s="3">
        <v>14.26</v>
      </c>
      <c r="G321" s="3">
        <v>61260</v>
      </c>
      <c r="H321" s="8">
        <f t="shared" si="25"/>
        <v>-5.1230871590153004</v>
      </c>
      <c r="I321">
        <f t="shared" si="26"/>
        <v>14.520000000000001</v>
      </c>
      <c r="J321" s="6" cm="1">
        <f t="array" ref="J321">_xlfn.STDEV.S(IF($A:$A=A321, $F:$F))</f>
        <v>0.47079719625333344</v>
      </c>
      <c r="P321" s="8">
        <f t="shared" si="27"/>
        <v>-5.1230871590153004</v>
      </c>
      <c r="Q321" s="8">
        <f t="shared" si="28"/>
        <v>-5.1230871590153004</v>
      </c>
      <c r="R321" s="8">
        <f t="shared" si="29"/>
        <v>-5.1230871590153004</v>
      </c>
    </row>
    <row r="322" spans="1:18" x14ac:dyDescent="0.25">
      <c r="A322" s="7">
        <f t="shared" si="24"/>
        <v>65</v>
      </c>
      <c r="B322" s="2">
        <v>43389</v>
      </c>
      <c r="C322" s="3">
        <v>14.26</v>
      </c>
      <c r="D322" s="3">
        <v>14.28</v>
      </c>
      <c r="E322" s="3">
        <v>14.14</v>
      </c>
      <c r="F322" s="3">
        <v>14.26</v>
      </c>
      <c r="G322" s="3">
        <v>70490</v>
      </c>
      <c r="H322" s="8">
        <f t="shared" si="25"/>
        <v>-4.6283309957924272</v>
      </c>
      <c r="I322">
        <f t="shared" si="26"/>
        <v>14.112</v>
      </c>
      <c r="J322" s="6" cm="1">
        <f t="array" ref="J322">_xlfn.STDEV.S(IF($A:$A=A322, $F:$F))</f>
        <v>0.29626002092756304</v>
      </c>
      <c r="P322" s="8">
        <f t="shared" si="27"/>
        <v>-4.6283309957924272</v>
      </c>
      <c r="Q322" s="8">
        <f t="shared" si="28"/>
        <v>-4.6283309957924272</v>
      </c>
      <c r="R322" s="8">
        <f t="shared" si="29"/>
        <v>-4.6283309957924272</v>
      </c>
    </row>
    <row r="323" spans="1:18" x14ac:dyDescent="0.25">
      <c r="A323" s="7">
        <f t="shared" ref="A323:A386" si="30">INT((ROW(A323)-ROW($A$2))/5) + 1</f>
        <v>65</v>
      </c>
      <c r="B323" s="2">
        <v>43390</v>
      </c>
      <c r="C323" s="3">
        <v>14.4</v>
      </c>
      <c r="D323" s="3">
        <v>14.47</v>
      </c>
      <c r="E323" s="3">
        <v>14.28</v>
      </c>
      <c r="F323" s="3">
        <v>14.35</v>
      </c>
      <c r="G323" s="3">
        <v>97690</v>
      </c>
      <c r="H323" s="8">
        <f t="shared" ref="H323:H386" si="31">IF(A323=A322, H322, (F327-F323)/F323*100)</f>
        <v>-4.6283309957924272</v>
      </c>
      <c r="I323">
        <f t="shared" ref="I323:I386" si="32">AVERAGEIF($A:$A, A323, $F:$F)</f>
        <v>14.112</v>
      </c>
      <c r="J323" s="6" cm="1">
        <f t="array" ref="J323">_xlfn.STDEV.S(IF($A:$A=A323, $F:$F))</f>
        <v>0.29626002092756304</v>
      </c>
      <c r="P323" s="8">
        <f t="shared" ref="P323:P386" si="33">IF(A323=A322,P322,(F327-F323)/F323*100)</f>
        <v>-4.6283309957924272</v>
      </c>
      <c r="Q323" s="8">
        <f t="shared" ref="Q323:Q386" si="34">IF(A323=A322,Q322,(F327-F323)/F323*100)</f>
        <v>-4.6283309957924272</v>
      </c>
      <c r="R323" s="8">
        <f t="shared" ref="R323:R386" si="35">IF(A323=A322,R322,(F327-F323)/F323*100)</f>
        <v>-4.6283309957924272</v>
      </c>
    </row>
    <row r="324" spans="1:18" x14ac:dyDescent="0.25">
      <c r="A324" s="7">
        <f t="shared" si="30"/>
        <v>65</v>
      </c>
      <c r="B324" s="2">
        <v>43391</v>
      </c>
      <c r="C324" s="3">
        <v>14.09</v>
      </c>
      <c r="D324" s="3">
        <v>14.35</v>
      </c>
      <c r="E324" s="3">
        <v>13.95</v>
      </c>
      <c r="F324" s="3">
        <v>14.21</v>
      </c>
      <c r="G324" s="3">
        <v>80580</v>
      </c>
      <c r="H324" s="8">
        <f t="shared" si="31"/>
        <v>-4.6283309957924272</v>
      </c>
      <c r="I324">
        <f t="shared" si="32"/>
        <v>14.112</v>
      </c>
      <c r="J324" s="6" cm="1">
        <f t="array" ref="J324">_xlfn.STDEV.S(IF($A:$A=A324, $F:$F))</f>
        <v>0.29626002092756304</v>
      </c>
      <c r="P324" s="8">
        <f t="shared" si="33"/>
        <v>-4.6283309957924272</v>
      </c>
      <c r="Q324" s="8">
        <f t="shared" si="34"/>
        <v>-4.6283309957924272</v>
      </c>
      <c r="R324" s="8">
        <f t="shared" si="35"/>
        <v>-4.6283309957924272</v>
      </c>
    </row>
    <row r="325" spans="1:18" x14ac:dyDescent="0.25">
      <c r="A325" s="7">
        <f t="shared" si="30"/>
        <v>65</v>
      </c>
      <c r="B325" s="2">
        <v>43392</v>
      </c>
      <c r="C325" s="3">
        <v>13.86</v>
      </c>
      <c r="D325" s="3">
        <v>14.21</v>
      </c>
      <c r="E325" s="3">
        <v>13.86</v>
      </c>
      <c r="F325" s="3">
        <v>14.14</v>
      </c>
      <c r="G325" s="3">
        <v>57810</v>
      </c>
      <c r="H325" s="8">
        <f t="shared" si="31"/>
        <v>-4.6283309957924272</v>
      </c>
      <c r="I325">
        <f t="shared" si="32"/>
        <v>14.112</v>
      </c>
      <c r="J325" s="6" cm="1">
        <f t="array" ref="J325">_xlfn.STDEV.S(IF($A:$A=A325, $F:$F))</f>
        <v>0.29626002092756304</v>
      </c>
      <c r="P325" s="8">
        <f t="shared" si="33"/>
        <v>-4.6283309957924272</v>
      </c>
      <c r="Q325" s="8">
        <f t="shared" si="34"/>
        <v>-4.6283309957924272</v>
      </c>
      <c r="R325" s="8">
        <f t="shared" si="35"/>
        <v>-4.6283309957924272</v>
      </c>
    </row>
    <row r="326" spans="1:18" x14ac:dyDescent="0.25">
      <c r="A326" s="7">
        <f t="shared" si="30"/>
        <v>65</v>
      </c>
      <c r="B326" s="2">
        <v>43395</v>
      </c>
      <c r="C326" s="3">
        <v>14.07</v>
      </c>
      <c r="D326" s="3">
        <v>14.07</v>
      </c>
      <c r="E326" s="3">
        <v>13.6</v>
      </c>
      <c r="F326" s="3">
        <v>13.6</v>
      </c>
      <c r="G326" s="3">
        <v>179130</v>
      </c>
      <c r="H326" s="8">
        <f t="shared" si="31"/>
        <v>-4.6283309957924272</v>
      </c>
      <c r="I326">
        <f t="shared" si="32"/>
        <v>14.112</v>
      </c>
      <c r="J326" s="6" cm="1">
        <f t="array" ref="J326">_xlfn.STDEV.S(IF($A:$A=A326, $F:$F))</f>
        <v>0.29626002092756304</v>
      </c>
      <c r="P326" s="8">
        <f t="shared" si="33"/>
        <v>-4.6283309957924272</v>
      </c>
      <c r="Q326" s="8">
        <f t="shared" si="34"/>
        <v>-4.6283309957924272</v>
      </c>
      <c r="R326" s="8">
        <f t="shared" si="35"/>
        <v>-4.6283309957924272</v>
      </c>
    </row>
    <row r="327" spans="1:18" x14ac:dyDescent="0.25">
      <c r="A327" s="7">
        <f t="shared" si="30"/>
        <v>66</v>
      </c>
      <c r="B327" s="2">
        <v>43396</v>
      </c>
      <c r="C327" s="3">
        <v>13.6</v>
      </c>
      <c r="D327" s="3">
        <v>13.65</v>
      </c>
      <c r="E327" s="3">
        <v>12.9</v>
      </c>
      <c r="F327" s="3">
        <v>13.13</v>
      </c>
      <c r="G327" s="3">
        <v>122290</v>
      </c>
      <c r="H327" s="8">
        <f t="shared" si="31"/>
        <v>-10.738766184310739</v>
      </c>
      <c r="I327">
        <f t="shared" si="32"/>
        <v>12.321999999999999</v>
      </c>
      <c r="J327" s="6" cm="1">
        <f t="array" ref="J327">_xlfn.STDEV.S(IF($A:$A=A327, $F:$F))</f>
        <v>0.71177243554383318</v>
      </c>
      <c r="P327" s="8">
        <f t="shared" si="33"/>
        <v>-10.738766184310739</v>
      </c>
      <c r="Q327" s="8">
        <f t="shared" si="34"/>
        <v>-10.738766184310739</v>
      </c>
      <c r="R327" s="11">
        <f t="shared" si="35"/>
        <v>-10.738766184310739</v>
      </c>
    </row>
    <row r="328" spans="1:18" x14ac:dyDescent="0.25">
      <c r="A328" s="7">
        <f t="shared" si="30"/>
        <v>66</v>
      </c>
      <c r="B328" s="2">
        <v>43397</v>
      </c>
      <c r="C328" s="3">
        <v>13.37</v>
      </c>
      <c r="D328" s="3">
        <v>13.37</v>
      </c>
      <c r="E328" s="3">
        <v>12.9</v>
      </c>
      <c r="F328" s="3">
        <v>12.9</v>
      </c>
      <c r="G328" s="3">
        <v>106800</v>
      </c>
      <c r="H328" s="8">
        <f t="shared" si="31"/>
        <v>-10.738766184310739</v>
      </c>
      <c r="I328">
        <f t="shared" si="32"/>
        <v>12.321999999999999</v>
      </c>
      <c r="J328" s="6" cm="1">
        <f t="array" ref="J328">_xlfn.STDEV.S(IF($A:$A=A328, $F:$F))</f>
        <v>0.71177243554383318</v>
      </c>
      <c r="P328" s="8">
        <f t="shared" si="33"/>
        <v>-10.738766184310739</v>
      </c>
      <c r="Q328" s="8">
        <f t="shared" si="34"/>
        <v>-10.738766184310739</v>
      </c>
      <c r="R328" s="11">
        <f t="shared" si="35"/>
        <v>-10.738766184310739</v>
      </c>
    </row>
    <row r="329" spans="1:18" x14ac:dyDescent="0.25">
      <c r="A329" s="7">
        <f t="shared" si="30"/>
        <v>66</v>
      </c>
      <c r="B329" s="2">
        <v>43398</v>
      </c>
      <c r="C329" s="3">
        <v>12.05</v>
      </c>
      <c r="D329" s="3">
        <v>12.43</v>
      </c>
      <c r="E329" s="3">
        <v>12.05</v>
      </c>
      <c r="F329" s="3">
        <v>12.36</v>
      </c>
      <c r="G329" s="3">
        <v>123670</v>
      </c>
      <c r="H329" s="8">
        <f t="shared" si="31"/>
        <v>-10.738766184310739</v>
      </c>
      <c r="I329">
        <f t="shared" si="32"/>
        <v>12.321999999999999</v>
      </c>
      <c r="J329" s="6" cm="1">
        <f t="array" ref="J329">_xlfn.STDEV.S(IF($A:$A=A329, $F:$F))</f>
        <v>0.71177243554383318</v>
      </c>
      <c r="P329" s="8">
        <f t="shared" si="33"/>
        <v>-10.738766184310739</v>
      </c>
      <c r="Q329" s="8">
        <f t="shared" si="34"/>
        <v>-10.738766184310739</v>
      </c>
      <c r="R329" s="11">
        <f t="shared" si="35"/>
        <v>-10.738766184310739</v>
      </c>
    </row>
    <row r="330" spans="1:18" x14ac:dyDescent="0.25">
      <c r="A330" s="7">
        <f t="shared" si="30"/>
        <v>66</v>
      </c>
      <c r="B330" s="2">
        <v>43399</v>
      </c>
      <c r="C330" s="3">
        <v>12.43</v>
      </c>
      <c r="D330" s="3">
        <v>12.5</v>
      </c>
      <c r="E330" s="3">
        <v>11.5</v>
      </c>
      <c r="F330" s="3">
        <v>11.5</v>
      </c>
      <c r="G330" s="3">
        <v>210510</v>
      </c>
      <c r="H330" s="8">
        <f t="shared" si="31"/>
        <v>-10.738766184310739</v>
      </c>
      <c r="I330">
        <f t="shared" si="32"/>
        <v>12.321999999999999</v>
      </c>
      <c r="J330" s="6" cm="1">
        <f t="array" ref="J330">_xlfn.STDEV.S(IF($A:$A=A330, $F:$F))</f>
        <v>0.71177243554383318</v>
      </c>
      <c r="P330" s="8">
        <f t="shared" si="33"/>
        <v>-10.738766184310739</v>
      </c>
      <c r="Q330" s="8">
        <f t="shared" si="34"/>
        <v>-10.738766184310739</v>
      </c>
      <c r="R330" s="11">
        <f t="shared" si="35"/>
        <v>-10.738766184310739</v>
      </c>
    </row>
    <row r="331" spans="1:18" x14ac:dyDescent="0.25">
      <c r="A331" s="7">
        <f t="shared" si="30"/>
        <v>66</v>
      </c>
      <c r="B331" s="2">
        <v>43402</v>
      </c>
      <c r="C331" s="3">
        <v>11.29</v>
      </c>
      <c r="D331" s="3">
        <v>11.96</v>
      </c>
      <c r="E331" s="3">
        <v>11.29</v>
      </c>
      <c r="F331" s="3">
        <v>11.72</v>
      </c>
      <c r="G331" s="3">
        <v>221180</v>
      </c>
      <c r="H331" s="8">
        <f t="shared" si="31"/>
        <v>-10.738766184310739</v>
      </c>
      <c r="I331">
        <f t="shared" si="32"/>
        <v>12.321999999999999</v>
      </c>
      <c r="J331" s="6" cm="1">
        <f t="array" ref="J331">_xlfn.STDEV.S(IF($A:$A=A331, $F:$F))</f>
        <v>0.71177243554383318</v>
      </c>
      <c r="P331" s="8">
        <f t="shared" si="33"/>
        <v>-10.738766184310739</v>
      </c>
      <c r="Q331" s="8">
        <f t="shared" si="34"/>
        <v>-10.738766184310739</v>
      </c>
      <c r="R331" s="11">
        <f t="shared" si="35"/>
        <v>-10.738766184310739</v>
      </c>
    </row>
    <row r="332" spans="1:18" x14ac:dyDescent="0.25">
      <c r="A332" s="7">
        <f t="shared" si="30"/>
        <v>67</v>
      </c>
      <c r="B332" s="2">
        <v>43403</v>
      </c>
      <c r="C332" s="3">
        <v>11.42</v>
      </c>
      <c r="D332" s="3">
        <v>12.01</v>
      </c>
      <c r="E332" s="3">
        <v>11.3</v>
      </c>
      <c r="F332" s="3">
        <v>11.94</v>
      </c>
      <c r="G332" s="3">
        <v>118040</v>
      </c>
      <c r="H332" s="8">
        <f t="shared" si="31"/>
        <v>6.0301507537688499</v>
      </c>
      <c r="I332">
        <f t="shared" si="32"/>
        <v>12.375999999999999</v>
      </c>
      <c r="J332" s="6" cm="1">
        <f t="array" ref="J332">_xlfn.STDEV.S(IF($A:$A=A332, $F:$F))</f>
        <v>0.30212580161250741</v>
      </c>
      <c r="P332" s="8">
        <f t="shared" si="33"/>
        <v>6.0301507537688499</v>
      </c>
      <c r="Q332" s="8">
        <f t="shared" si="34"/>
        <v>6.0301507537688499</v>
      </c>
      <c r="R332" s="8">
        <f t="shared" si="35"/>
        <v>6.0301507537688499</v>
      </c>
    </row>
    <row r="333" spans="1:18" x14ac:dyDescent="0.25">
      <c r="A333" s="7">
        <f t="shared" si="30"/>
        <v>67</v>
      </c>
      <c r="B333" s="2">
        <v>43404</v>
      </c>
      <c r="C333" s="3">
        <v>12.05</v>
      </c>
      <c r="D333" s="3">
        <v>12.26</v>
      </c>
      <c r="E333" s="3">
        <v>12.01</v>
      </c>
      <c r="F333" s="3">
        <v>12.26</v>
      </c>
      <c r="G333" s="3">
        <v>67130</v>
      </c>
      <c r="H333" s="8">
        <f t="shared" si="31"/>
        <v>6.0301507537688499</v>
      </c>
      <c r="I333">
        <f t="shared" si="32"/>
        <v>12.375999999999999</v>
      </c>
      <c r="J333" s="6" cm="1">
        <f t="array" ref="J333">_xlfn.STDEV.S(IF($A:$A=A333, $F:$F))</f>
        <v>0.30212580161250741</v>
      </c>
      <c r="P333" s="8">
        <f t="shared" si="33"/>
        <v>6.0301507537688499</v>
      </c>
      <c r="Q333" s="8">
        <f t="shared" si="34"/>
        <v>6.0301507537688499</v>
      </c>
      <c r="R333" s="8">
        <f t="shared" si="35"/>
        <v>6.0301507537688499</v>
      </c>
    </row>
    <row r="334" spans="1:18" x14ac:dyDescent="0.25">
      <c r="A334" s="7">
        <f t="shared" si="30"/>
        <v>67</v>
      </c>
      <c r="B334" s="2">
        <v>43405</v>
      </c>
      <c r="C334" s="3">
        <v>12.43</v>
      </c>
      <c r="D334" s="3">
        <v>12.48</v>
      </c>
      <c r="E334" s="3">
        <v>12.26</v>
      </c>
      <c r="F334" s="3">
        <v>12.36</v>
      </c>
      <c r="G334" s="3">
        <v>169360</v>
      </c>
      <c r="H334" s="8">
        <f t="shared" si="31"/>
        <v>6.0301507537688499</v>
      </c>
      <c r="I334">
        <f t="shared" si="32"/>
        <v>12.375999999999999</v>
      </c>
      <c r="J334" s="6" cm="1">
        <f t="array" ref="J334">_xlfn.STDEV.S(IF($A:$A=A334, $F:$F))</f>
        <v>0.30212580161250741</v>
      </c>
      <c r="P334" s="8">
        <f t="shared" si="33"/>
        <v>6.0301507537688499</v>
      </c>
      <c r="Q334" s="8">
        <f t="shared" si="34"/>
        <v>6.0301507537688499</v>
      </c>
      <c r="R334" s="8">
        <f t="shared" si="35"/>
        <v>6.0301507537688499</v>
      </c>
    </row>
    <row r="335" spans="1:18" x14ac:dyDescent="0.25">
      <c r="A335" s="7">
        <f t="shared" si="30"/>
        <v>67</v>
      </c>
      <c r="B335" s="2">
        <v>43406</v>
      </c>
      <c r="C335" s="3">
        <v>12.43</v>
      </c>
      <c r="D335" s="3">
        <v>12.66</v>
      </c>
      <c r="E335" s="3">
        <v>12.36</v>
      </c>
      <c r="F335" s="3">
        <v>12.66</v>
      </c>
      <c r="G335" s="3">
        <v>147720</v>
      </c>
      <c r="H335" s="8">
        <f t="shared" si="31"/>
        <v>6.0301507537688499</v>
      </c>
      <c r="I335">
        <f t="shared" si="32"/>
        <v>12.375999999999999</v>
      </c>
      <c r="J335" s="6" cm="1">
        <f t="array" ref="J335">_xlfn.STDEV.S(IF($A:$A=A335, $F:$F))</f>
        <v>0.30212580161250741</v>
      </c>
      <c r="P335" s="8">
        <f t="shared" si="33"/>
        <v>6.0301507537688499</v>
      </c>
      <c r="Q335" s="8">
        <f t="shared" si="34"/>
        <v>6.0301507537688499</v>
      </c>
      <c r="R335" s="8">
        <f t="shared" si="35"/>
        <v>6.0301507537688499</v>
      </c>
    </row>
    <row r="336" spans="1:18" x14ac:dyDescent="0.25">
      <c r="A336" s="7">
        <f t="shared" si="30"/>
        <v>67</v>
      </c>
      <c r="B336" s="2">
        <v>43409</v>
      </c>
      <c r="C336" s="3">
        <v>12.87</v>
      </c>
      <c r="D336" s="3">
        <v>12.87</v>
      </c>
      <c r="E336" s="3">
        <v>12.31</v>
      </c>
      <c r="F336" s="3">
        <v>12.66</v>
      </c>
      <c r="G336" s="3">
        <v>45100</v>
      </c>
      <c r="H336" s="8">
        <f t="shared" si="31"/>
        <v>6.0301507537688499</v>
      </c>
      <c r="I336">
        <f t="shared" si="32"/>
        <v>12.375999999999999</v>
      </c>
      <c r="J336" s="6" cm="1">
        <f t="array" ref="J336">_xlfn.STDEV.S(IF($A:$A=A336, $F:$F))</f>
        <v>0.30212580161250741</v>
      </c>
      <c r="P336" s="8">
        <f t="shared" si="33"/>
        <v>6.0301507537688499</v>
      </c>
      <c r="Q336" s="8">
        <f t="shared" si="34"/>
        <v>6.0301507537688499</v>
      </c>
      <c r="R336" s="8">
        <f t="shared" si="35"/>
        <v>6.0301507537688499</v>
      </c>
    </row>
    <row r="337" spans="1:18" x14ac:dyDescent="0.25">
      <c r="A337" s="7">
        <f t="shared" si="30"/>
        <v>68</v>
      </c>
      <c r="B337" s="2">
        <v>43410</v>
      </c>
      <c r="C337" s="3">
        <v>12.66</v>
      </c>
      <c r="D337" s="3">
        <v>12.85</v>
      </c>
      <c r="E337" s="3">
        <v>12.66</v>
      </c>
      <c r="F337" s="3">
        <v>12.83</v>
      </c>
      <c r="G337" s="3">
        <v>26870</v>
      </c>
      <c r="H337" s="8">
        <f t="shared" si="31"/>
        <v>-2.1823850350740401</v>
      </c>
      <c r="I337">
        <f t="shared" si="32"/>
        <v>12.612</v>
      </c>
      <c r="J337" s="6" cm="1">
        <f t="array" ref="J337">_xlfn.STDEV.S(IF($A:$A=A337, $F:$F))</f>
        <v>0.17282939564784708</v>
      </c>
      <c r="P337" s="8">
        <f t="shared" si="33"/>
        <v>-2.1823850350740401</v>
      </c>
      <c r="Q337" s="8">
        <f t="shared" si="34"/>
        <v>-2.1823850350740401</v>
      </c>
      <c r="R337" s="8">
        <f t="shared" si="35"/>
        <v>-2.1823850350740401</v>
      </c>
    </row>
    <row r="338" spans="1:18" x14ac:dyDescent="0.25">
      <c r="A338" s="7">
        <f t="shared" si="30"/>
        <v>68</v>
      </c>
      <c r="B338" s="2">
        <v>43411</v>
      </c>
      <c r="C338" s="3">
        <v>12.87</v>
      </c>
      <c r="D338" s="3">
        <v>12.87</v>
      </c>
      <c r="E338" s="3">
        <v>12.52</v>
      </c>
      <c r="F338" s="3">
        <v>12.66</v>
      </c>
      <c r="G338" s="3">
        <v>68380</v>
      </c>
      <c r="H338" s="8">
        <f t="shared" si="31"/>
        <v>-2.1823850350740401</v>
      </c>
      <c r="I338">
        <f t="shared" si="32"/>
        <v>12.612</v>
      </c>
      <c r="J338" s="6" cm="1">
        <f t="array" ref="J338">_xlfn.STDEV.S(IF($A:$A=A338, $F:$F))</f>
        <v>0.17282939564784708</v>
      </c>
      <c r="P338" s="8">
        <f t="shared" si="33"/>
        <v>-2.1823850350740401</v>
      </c>
      <c r="Q338" s="8">
        <f t="shared" si="34"/>
        <v>-2.1823850350740401</v>
      </c>
      <c r="R338" s="8">
        <f t="shared" si="35"/>
        <v>-2.1823850350740401</v>
      </c>
    </row>
    <row r="339" spans="1:18" x14ac:dyDescent="0.25">
      <c r="A339" s="7">
        <f t="shared" si="30"/>
        <v>68</v>
      </c>
      <c r="B339" s="2">
        <v>43412</v>
      </c>
      <c r="C339" s="3">
        <v>12.73</v>
      </c>
      <c r="D339" s="3">
        <v>12.9</v>
      </c>
      <c r="E339" s="3">
        <v>12.66</v>
      </c>
      <c r="F339" s="3">
        <v>12.66</v>
      </c>
      <c r="G339" s="3">
        <v>32150</v>
      </c>
      <c r="H339" s="8">
        <f t="shared" si="31"/>
        <v>-2.1823850350740401</v>
      </c>
      <c r="I339">
        <f t="shared" si="32"/>
        <v>12.612</v>
      </c>
      <c r="J339" s="6" cm="1">
        <f t="array" ref="J339">_xlfn.STDEV.S(IF($A:$A=A339, $F:$F))</f>
        <v>0.17282939564784708</v>
      </c>
      <c r="P339" s="8">
        <f t="shared" si="33"/>
        <v>-2.1823850350740401</v>
      </c>
      <c r="Q339" s="8">
        <f t="shared" si="34"/>
        <v>-2.1823850350740401</v>
      </c>
      <c r="R339" s="8">
        <f t="shared" si="35"/>
        <v>-2.1823850350740401</v>
      </c>
    </row>
    <row r="340" spans="1:18" x14ac:dyDescent="0.25">
      <c r="A340" s="7">
        <f t="shared" si="30"/>
        <v>68</v>
      </c>
      <c r="B340" s="2">
        <v>43413</v>
      </c>
      <c r="C340" s="3">
        <v>12.64</v>
      </c>
      <c r="D340" s="3">
        <v>12.64</v>
      </c>
      <c r="E340" s="3">
        <v>12.36</v>
      </c>
      <c r="F340" s="3">
        <v>12.36</v>
      </c>
      <c r="G340" s="3">
        <v>46390</v>
      </c>
      <c r="H340" s="8">
        <f t="shared" si="31"/>
        <v>-2.1823850350740401</v>
      </c>
      <c r="I340">
        <f t="shared" si="32"/>
        <v>12.612</v>
      </c>
      <c r="J340" s="6" cm="1">
        <f t="array" ref="J340">_xlfn.STDEV.S(IF($A:$A=A340, $F:$F))</f>
        <v>0.17282939564784708</v>
      </c>
      <c r="P340" s="8">
        <f t="shared" si="33"/>
        <v>-2.1823850350740401</v>
      </c>
      <c r="Q340" s="8">
        <f t="shared" si="34"/>
        <v>-2.1823850350740401</v>
      </c>
      <c r="R340" s="8">
        <f t="shared" si="35"/>
        <v>-2.1823850350740401</v>
      </c>
    </row>
    <row r="341" spans="1:18" x14ac:dyDescent="0.25">
      <c r="A341" s="7">
        <f t="shared" si="30"/>
        <v>68</v>
      </c>
      <c r="B341" s="2">
        <v>43416</v>
      </c>
      <c r="C341" s="3">
        <v>11.96</v>
      </c>
      <c r="D341" s="3">
        <v>12.55</v>
      </c>
      <c r="E341" s="3">
        <v>11.96</v>
      </c>
      <c r="F341" s="3">
        <v>12.55</v>
      </c>
      <c r="G341" s="3">
        <v>64490</v>
      </c>
      <c r="H341" s="8">
        <f t="shared" si="31"/>
        <v>-2.1823850350740401</v>
      </c>
      <c r="I341">
        <f t="shared" si="32"/>
        <v>12.612</v>
      </c>
      <c r="J341" s="6" cm="1">
        <f t="array" ref="J341">_xlfn.STDEV.S(IF($A:$A=A341, $F:$F))</f>
        <v>0.17282939564784708</v>
      </c>
      <c r="P341" s="8">
        <f t="shared" si="33"/>
        <v>-2.1823850350740401</v>
      </c>
      <c r="Q341" s="8">
        <f t="shared" si="34"/>
        <v>-2.1823850350740401</v>
      </c>
      <c r="R341" s="8">
        <f t="shared" si="35"/>
        <v>-2.1823850350740401</v>
      </c>
    </row>
    <row r="342" spans="1:18" x14ac:dyDescent="0.25">
      <c r="A342" s="7">
        <f t="shared" si="30"/>
        <v>69</v>
      </c>
      <c r="B342" s="2">
        <v>43417</v>
      </c>
      <c r="C342" s="3">
        <v>12.43</v>
      </c>
      <c r="D342" s="3">
        <v>12.43</v>
      </c>
      <c r="E342" s="3">
        <v>12.01</v>
      </c>
      <c r="F342" s="3">
        <v>12.26</v>
      </c>
      <c r="G342" s="3">
        <v>13310</v>
      </c>
      <c r="H342" s="8">
        <f t="shared" si="31"/>
        <v>-3.9967373572593821</v>
      </c>
      <c r="I342">
        <f t="shared" si="32"/>
        <v>11.891999999999999</v>
      </c>
      <c r="J342" s="6" cm="1">
        <f t="array" ref="J342">_xlfn.STDEV.S(IF($A:$A=A342, $F:$F))</f>
        <v>0.31618032829383952</v>
      </c>
      <c r="P342" s="8">
        <f t="shared" si="33"/>
        <v>-3.9967373572593821</v>
      </c>
      <c r="Q342" s="8">
        <f t="shared" si="34"/>
        <v>-3.9967373572593821</v>
      </c>
      <c r="R342" s="8">
        <f t="shared" si="35"/>
        <v>-3.9967373572593821</v>
      </c>
    </row>
    <row r="343" spans="1:18" x14ac:dyDescent="0.25">
      <c r="A343" s="7">
        <f t="shared" si="30"/>
        <v>69</v>
      </c>
      <c r="B343" s="2">
        <v>43418</v>
      </c>
      <c r="C343" s="3">
        <v>12.19</v>
      </c>
      <c r="D343" s="3">
        <v>12.29</v>
      </c>
      <c r="E343" s="3">
        <v>12.1</v>
      </c>
      <c r="F343" s="3">
        <v>12.19</v>
      </c>
      <c r="G343" s="3">
        <v>15250</v>
      </c>
      <c r="H343" s="8">
        <f t="shared" si="31"/>
        <v>-3.9967373572593821</v>
      </c>
      <c r="I343">
        <f t="shared" si="32"/>
        <v>11.891999999999999</v>
      </c>
      <c r="J343" s="6" cm="1">
        <f t="array" ref="J343">_xlfn.STDEV.S(IF($A:$A=A343, $F:$F))</f>
        <v>0.31618032829383952</v>
      </c>
      <c r="P343" s="8">
        <f t="shared" si="33"/>
        <v>-3.9967373572593821</v>
      </c>
      <c r="Q343" s="8">
        <f t="shared" si="34"/>
        <v>-3.9967373572593821</v>
      </c>
      <c r="R343" s="8">
        <f t="shared" si="35"/>
        <v>-3.9967373572593821</v>
      </c>
    </row>
    <row r="344" spans="1:18" x14ac:dyDescent="0.25">
      <c r="A344" s="7">
        <f t="shared" si="30"/>
        <v>69</v>
      </c>
      <c r="B344" s="2">
        <v>43419</v>
      </c>
      <c r="C344" s="3">
        <v>12.15</v>
      </c>
      <c r="D344" s="3">
        <v>12.17</v>
      </c>
      <c r="E344" s="3">
        <v>11.37</v>
      </c>
      <c r="F344" s="3">
        <v>11.54</v>
      </c>
      <c r="G344" s="3">
        <v>169270</v>
      </c>
      <c r="H344" s="8">
        <f t="shared" si="31"/>
        <v>-3.9967373572593821</v>
      </c>
      <c r="I344">
        <f t="shared" si="32"/>
        <v>11.891999999999999</v>
      </c>
      <c r="J344" s="6" cm="1">
        <f t="array" ref="J344">_xlfn.STDEV.S(IF($A:$A=A344, $F:$F))</f>
        <v>0.31618032829383952</v>
      </c>
      <c r="P344" s="8">
        <f t="shared" si="33"/>
        <v>-3.9967373572593821</v>
      </c>
      <c r="Q344" s="8">
        <f t="shared" si="34"/>
        <v>-3.9967373572593821</v>
      </c>
      <c r="R344" s="8">
        <f t="shared" si="35"/>
        <v>-3.9967373572593821</v>
      </c>
    </row>
    <row r="345" spans="1:18" x14ac:dyDescent="0.25">
      <c r="A345" s="7">
        <f t="shared" si="30"/>
        <v>69</v>
      </c>
      <c r="B345" s="2">
        <v>43420</v>
      </c>
      <c r="C345" s="3">
        <v>11.82</v>
      </c>
      <c r="D345" s="3">
        <v>11.94</v>
      </c>
      <c r="E345" s="3">
        <v>11.68</v>
      </c>
      <c r="F345" s="3">
        <v>11.7</v>
      </c>
      <c r="G345" s="3">
        <v>44050</v>
      </c>
      <c r="H345" s="8">
        <f t="shared" si="31"/>
        <v>-3.9967373572593821</v>
      </c>
      <c r="I345">
        <f t="shared" si="32"/>
        <v>11.891999999999999</v>
      </c>
      <c r="J345" s="6" cm="1">
        <f t="array" ref="J345">_xlfn.STDEV.S(IF($A:$A=A345, $F:$F))</f>
        <v>0.31618032829383952</v>
      </c>
      <c r="P345" s="8">
        <f t="shared" si="33"/>
        <v>-3.9967373572593821</v>
      </c>
      <c r="Q345" s="8">
        <f t="shared" si="34"/>
        <v>-3.9967373572593821</v>
      </c>
      <c r="R345" s="8">
        <f t="shared" si="35"/>
        <v>-3.9967373572593821</v>
      </c>
    </row>
    <row r="346" spans="1:18" x14ac:dyDescent="0.25">
      <c r="A346" s="7">
        <f t="shared" si="30"/>
        <v>69</v>
      </c>
      <c r="B346" s="2">
        <v>43423</v>
      </c>
      <c r="C346" s="3">
        <v>11.84</v>
      </c>
      <c r="D346" s="3">
        <v>11.84</v>
      </c>
      <c r="E346" s="3">
        <v>11.72</v>
      </c>
      <c r="F346" s="3">
        <v>11.77</v>
      </c>
      <c r="G346" s="3">
        <v>18820</v>
      </c>
      <c r="H346" s="8">
        <f t="shared" si="31"/>
        <v>-3.9967373572593821</v>
      </c>
      <c r="I346">
        <f t="shared" si="32"/>
        <v>11.891999999999999</v>
      </c>
      <c r="J346" s="6" cm="1">
        <f t="array" ref="J346">_xlfn.STDEV.S(IF($A:$A=A346, $F:$F))</f>
        <v>0.31618032829383952</v>
      </c>
      <c r="P346" s="8">
        <f t="shared" si="33"/>
        <v>-3.9967373572593821</v>
      </c>
      <c r="Q346" s="8">
        <f t="shared" si="34"/>
        <v>-3.9967373572593821</v>
      </c>
      <c r="R346" s="8">
        <f t="shared" si="35"/>
        <v>-3.9967373572593821</v>
      </c>
    </row>
    <row r="347" spans="1:18" x14ac:dyDescent="0.25">
      <c r="A347" s="7">
        <f t="shared" si="30"/>
        <v>70</v>
      </c>
      <c r="B347" s="2">
        <v>43424</v>
      </c>
      <c r="C347" s="3">
        <v>11.54</v>
      </c>
      <c r="D347" s="3">
        <v>11.72</v>
      </c>
      <c r="E347" s="3">
        <v>11.02</v>
      </c>
      <c r="F347" s="3">
        <v>11.49</v>
      </c>
      <c r="G347" s="3">
        <v>170310</v>
      </c>
      <c r="H347" s="8">
        <f t="shared" si="31"/>
        <v>3.6553524804177542</v>
      </c>
      <c r="I347">
        <f t="shared" si="32"/>
        <v>11.762</v>
      </c>
      <c r="J347" s="6" cm="1">
        <f t="array" ref="J347">_xlfn.STDEV.S(IF($A:$A=A347, $F:$F))</f>
        <v>0.21040437257813813</v>
      </c>
      <c r="P347" s="8">
        <f t="shared" si="33"/>
        <v>3.6553524804177542</v>
      </c>
      <c r="Q347" s="8">
        <f t="shared" si="34"/>
        <v>3.6553524804177542</v>
      </c>
      <c r="R347" s="8">
        <f t="shared" si="35"/>
        <v>3.6553524804177542</v>
      </c>
    </row>
    <row r="348" spans="1:18" x14ac:dyDescent="0.25">
      <c r="A348" s="7">
        <f t="shared" si="30"/>
        <v>70</v>
      </c>
      <c r="B348" s="2">
        <v>43425</v>
      </c>
      <c r="C348" s="3">
        <v>11.58</v>
      </c>
      <c r="D348" s="3">
        <v>11.58</v>
      </c>
      <c r="E348" s="3">
        <v>11.4</v>
      </c>
      <c r="F348" s="3">
        <v>11.58</v>
      </c>
      <c r="G348" s="3">
        <v>60680</v>
      </c>
      <c r="H348" s="8">
        <f t="shared" si="31"/>
        <v>3.6553524804177542</v>
      </c>
      <c r="I348">
        <f t="shared" si="32"/>
        <v>11.762</v>
      </c>
      <c r="J348" s="6" cm="1">
        <f t="array" ref="J348">_xlfn.STDEV.S(IF($A:$A=A348, $F:$F))</f>
        <v>0.21040437257813813</v>
      </c>
      <c r="P348" s="8">
        <f t="shared" si="33"/>
        <v>3.6553524804177542</v>
      </c>
      <c r="Q348" s="8">
        <f t="shared" si="34"/>
        <v>3.6553524804177542</v>
      </c>
      <c r="R348" s="8">
        <f t="shared" si="35"/>
        <v>3.6553524804177542</v>
      </c>
    </row>
    <row r="349" spans="1:18" x14ac:dyDescent="0.25">
      <c r="A349" s="7">
        <f t="shared" si="30"/>
        <v>70</v>
      </c>
      <c r="B349" s="2">
        <v>43426</v>
      </c>
      <c r="C349" s="3">
        <v>11.72</v>
      </c>
      <c r="D349" s="3">
        <v>11.94</v>
      </c>
      <c r="E349" s="3">
        <v>11.65</v>
      </c>
      <c r="F349" s="3">
        <v>11.94</v>
      </c>
      <c r="G349" s="3">
        <v>121530</v>
      </c>
      <c r="H349" s="8">
        <f t="shared" si="31"/>
        <v>3.6553524804177542</v>
      </c>
      <c r="I349">
        <f t="shared" si="32"/>
        <v>11.762</v>
      </c>
      <c r="J349" s="6" cm="1">
        <f t="array" ref="J349">_xlfn.STDEV.S(IF($A:$A=A349, $F:$F))</f>
        <v>0.21040437257813813</v>
      </c>
      <c r="P349" s="8">
        <f t="shared" si="33"/>
        <v>3.6553524804177542</v>
      </c>
      <c r="Q349" s="8">
        <f t="shared" si="34"/>
        <v>3.6553524804177542</v>
      </c>
      <c r="R349" s="8">
        <f t="shared" si="35"/>
        <v>3.6553524804177542</v>
      </c>
    </row>
    <row r="350" spans="1:18" x14ac:dyDescent="0.25">
      <c r="A350" s="7">
        <f t="shared" si="30"/>
        <v>70</v>
      </c>
      <c r="B350" s="2">
        <v>43427</v>
      </c>
      <c r="C350" s="3">
        <v>11.96</v>
      </c>
      <c r="D350" s="3">
        <v>11.98</v>
      </c>
      <c r="E350" s="3">
        <v>11.87</v>
      </c>
      <c r="F350" s="3">
        <v>11.89</v>
      </c>
      <c r="G350" s="3">
        <v>60920</v>
      </c>
      <c r="H350" s="8">
        <f t="shared" si="31"/>
        <v>3.6553524804177542</v>
      </c>
      <c r="I350">
        <f t="shared" si="32"/>
        <v>11.762</v>
      </c>
      <c r="J350" s="6" cm="1">
        <f t="array" ref="J350">_xlfn.STDEV.S(IF($A:$A=A350, $F:$F))</f>
        <v>0.21040437257813813</v>
      </c>
      <c r="P350" s="8">
        <f t="shared" si="33"/>
        <v>3.6553524804177542</v>
      </c>
      <c r="Q350" s="8">
        <f t="shared" si="34"/>
        <v>3.6553524804177542</v>
      </c>
      <c r="R350" s="8">
        <f t="shared" si="35"/>
        <v>3.6553524804177542</v>
      </c>
    </row>
    <row r="351" spans="1:18" x14ac:dyDescent="0.25">
      <c r="A351" s="7">
        <f t="shared" si="30"/>
        <v>70</v>
      </c>
      <c r="B351" s="2">
        <v>43430</v>
      </c>
      <c r="C351" s="3">
        <v>11.89</v>
      </c>
      <c r="D351" s="3">
        <v>11.94</v>
      </c>
      <c r="E351" s="3">
        <v>11.84</v>
      </c>
      <c r="F351" s="3">
        <v>11.91</v>
      </c>
      <c r="G351" s="3">
        <v>24840</v>
      </c>
      <c r="H351" s="8">
        <f t="shared" si="31"/>
        <v>3.6553524804177542</v>
      </c>
      <c r="I351">
        <f t="shared" si="32"/>
        <v>11.762</v>
      </c>
      <c r="J351" s="6" cm="1">
        <f t="array" ref="J351">_xlfn.STDEV.S(IF($A:$A=A351, $F:$F))</f>
        <v>0.21040437257813813</v>
      </c>
      <c r="P351" s="8">
        <f t="shared" si="33"/>
        <v>3.6553524804177542</v>
      </c>
      <c r="Q351" s="8">
        <f t="shared" si="34"/>
        <v>3.6553524804177542</v>
      </c>
      <c r="R351" s="8">
        <f t="shared" si="35"/>
        <v>3.6553524804177542</v>
      </c>
    </row>
    <row r="352" spans="1:18" x14ac:dyDescent="0.25">
      <c r="A352" s="7">
        <f t="shared" si="30"/>
        <v>71</v>
      </c>
      <c r="B352" s="2">
        <v>43431</v>
      </c>
      <c r="C352" s="3">
        <v>12.12</v>
      </c>
      <c r="D352" s="3">
        <v>12.12</v>
      </c>
      <c r="E352" s="3">
        <v>12.08</v>
      </c>
      <c r="F352" s="3">
        <v>12.08</v>
      </c>
      <c r="G352" s="3">
        <v>143790</v>
      </c>
      <c r="H352" s="8">
        <f t="shared" si="31"/>
        <v>-2.7317880794701992</v>
      </c>
      <c r="I352">
        <f t="shared" si="32"/>
        <v>11.85</v>
      </c>
      <c r="J352" s="6" cm="1">
        <f t="array" ref="J352">_xlfn.STDEV.S(IF($A:$A=A352, $F:$F))</f>
        <v>0.20928449536456373</v>
      </c>
      <c r="P352" s="8">
        <f t="shared" si="33"/>
        <v>-2.7317880794701992</v>
      </c>
      <c r="Q352" s="8">
        <f t="shared" si="34"/>
        <v>-2.7317880794701992</v>
      </c>
      <c r="R352" s="8">
        <f t="shared" si="35"/>
        <v>-2.7317880794701992</v>
      </c>
    </row>
    <row r="353" spans="1:18" x14ac:dyDescent="0.25">
      <c r="A353" s="7">
        <f t="shared" si="30"/>
        <v>71</v>
      </c>
      <c r="B353" s="2">
        <v>43432</v>
      </c>
      <c r="C353" s="3">
        <v>12.08</v>
      </c>
      <c r="D353" s="3">
        <v>12.1</v>
      </c>
      <c r="E353" s="3">
        <v>11.72</v>
      </c>
      <c r="F353" s="3">
        <v>11.94</v>
      </c>
      <c r="G353" s="3">
        <v>49190</v>
      </c>
      <c r="H353" s="8">
        <f t="shared" si="31"/>
        <v>-2.7317880794701992</v>
      </c>
      <c r="I353">
        <f t="shared" si="32"/>
        <v>11.85</v>
      </c>
      <c r="J353" s="6" cm="1">
        <f t="array" ref="J353">_xlfn.STDEV.S(IF($A:$A=A353, $F:$F))</f>
        <v>0.20928449536456373</v>
      </c>
      <c r="P353" s="8">
        <f t="shared" si="33"/>
        <v>-2.7317880794701992</v>
      </c>
      <c r="Q353" s="8">
        <f t="shared" si="34"/>
        <v>-2.7317880794701992</v>
      </c>
      <c r="R353" s="8">
        <f t="shared" si="35"/>
        <v>-2.7317880794701992</v>
      </c>
    </row>
    <row r="354" spans="1:18" x14ac:dyDescent="0.25">
      <c r="A354" s="7">
        <f t="shared" si="30"/>
        <v>71</v>
      </c>
      <c r="B354" s="2">
        <v>43433</v>
      </c>
      <c r="C354" s="3">
        <v>12.03</v>
      </c>
      <c r="D354" s="3">
        <v>12.17</v>
      </c>
      <c r="E354" s="3">
        <v>11.87</v>
      </c>
      <c r="F354" s="3">
        <v>11.94</v>
      </c>
      <c r="G354" s="3">
        <v>25660</v>
      </c>
      <c r="H354" s="8">
        <f t="shared" si="31"/>
        <v>-2.7317880794701992</v>
      </c>
      <c r="I354">
        <f t="shared" si="32"/>
        <v>11.85</v>
      </c>
      <c r="J354" s="6" cm="1">
        <f t="array" ref="J354">_xlfn.STDEV.S(IF($A:$A=A354, $F:$F))</f>
        <v>0.20928449536456373</v>
      </c>
      <c r="P354" s="8">
        <f t="shared" si="33"/>
        <v>-2.7317880794701992</v>
      </c>
      <c r="Q354" s="8">
        <f t="shared" si="34"/>
        <v>-2.7317880794701992</v>
      </c>
      <c r="R354" s="8">
        <f t="shared" si="35"/>
        <v>-2.7317880794701992</v>
      </c>
    </row>
    <row r="355" spans="1:18" x14ac:dyDescent="0.25">
      <c r="A355" s="7">
        <f t="shared" si="30"/>
        <v>71</v>
      </c>
      <c r="B355" s="2">
        <v>43434</v>
      </c>
      <c r="C355" s="3">
        <v>11.94</v>
      </c>
      <c r="D355" s="3">
        <v>12.15</v>
      </c>
      <c r="E355" s="3">
        <v>11.54</v>
      </c>
      <c r="F355" s="3">
        <v>11.54</v>
      </c>
      <c r="G355" s="3">
        <v>302870</v>
      </c>
      <c r="H355" s="8">
        <f t="shared" si="31"/>
        <v>-2.7317880794701992</v>
      </c>
      <c r="I355">
        <f t="shared" si="32"/>
        <v>11.85</v>
      </c>
      <c r="J355" s="6" cm="1">
        <f t="array" ref="J355">_xlfn.STDEV.S(IF($A:$A=A355, $F:$F))</f>
        <v>0.20928449536456373</v>
      </c>
      <c r="P355" s="8">
        <f t="shared" si="33"/>
        <v>-2.7317880794701992</v>
      </c>
      <c r="Q355" s="8">
        <f t="shared" si="34"/>
        <v>-2.7317880794701992</v>
      </c>
      <c r="R355" s="8">
        <f t="shared" si="35"/>
        <v>-2.7317880794701992</v>
      </c>
    </row>
    <row r="356" spans="1:18" x14ac:dyDescent="0.25">
      <c r="A356" s="7">
        <f t="shared" si="30"/>
        <v>71</v>
      </c>
      <c r="B356" s="2">
        <v>43437</v>
      </c>
      <c r="C356" s="3">
        <v>11.77</v>
      </c>
      <c r="D356" s="3">
        <v>11.94</v>
      </c>
      <c r="E356" s="3">
        <v>11.65</v>
      </c>
      <c r="F356" s="3">
        <v>11.75</v>
      </c>
      <c r="G356" s="3">
        <v>125900</v>
      </c>
      <c r="H356" s="8">
        <f t="shared" si="31"/>
        <v>-2.7317880794701992</v>
      </c>
      <c r="I356">
        <f t="shared" si="32"/>
        <v>11.85</v>
      </c>
      <c r="J356" s="6" cm="1">
        <f t="array" ref="J356">_xlfn.STDEV.S(IF($A:$A=A356, $F:$F))</f>
        <v>0.20928449536456373</v>
      </c>
      <c r="P356" s="8">
        <f t="shared" si="33"/>
        <v>-2.7317880794701992</v>
      </c>
      <c r="Q356" s="8">
        <f t="shared" si="34"/>
        <v>-2.7317880794701992</v>
      </c>
      <c r="R356" s="8">
        <f t="shared" si="35"/>
        <v>-2.7317880794701992</v>
      </c>
    </row>
    <row r="357" spans="1:18" x14ac:dyDescent="0.25">
      <c r="A357" s="7">
        <f t="shared" si="30"/>
        <v>72</v>
      </c>
      <c r="B357" s="2">
        <v>43438</v>
      </c>
      <c r="C357" s="3">
        <v>11.84</v>
      </c>
      <c r="D357" s="3">
        <v>11.91</v>
      </c>
      <c r="E357" s="3">
        <v>11.7</v>
      </c>
      <c r="F357" s="3">
        <v>11.75</v>
      </c>
      <c r="G357" s="3">
        <v>65740</v>
      </c>
      <c r="H357" s="8">
        <f t="shared" si="31"/>
        <v>-1.4468085106382973</v>
      </c>
      <c r="I357">
        <f t="shared" si="32"/>
        <v>11.725999999999999</v>
      </c>
      <c r="J357" s="6" cm="1">
        <f t="array" ref="J357">_xlfn.STDEV.S(IF($A:$A=A357, $F:$F))</f>
        <v>0.11148990985735008</v>
      </c>
      <c r="P357" s="8">
        <f t="shared" si="33"/>
        <v>-1.4468085106382973</v>
      </c>
      <c r="Q357" s="8">
        <f t="shared" si="34"/>
        <v>-1.4468085106382973</v>
      </c>
      <c r="R357" s="8">
        <f t="shared" si="35"/>
        <v>-1.4468085106382973</v>
      </c>
    </row>
    <row r="358" spans="1:18" x14ac:dyDescent="0.25">
      <c r="A358" s="7">
        <f t="shared" si="30"/>
        <v>72</v>
      </c>
      <c r="B358" s="2">
        <v>43439</v>
      </c>
      <c r="C358" s="3">
        <v>11.75</v>
      </c>
      <c r="D358" s="3">
        <v>11.75</v>
      </c>
      <c r="E358" s="3">
        <v>11.65</v>
      </c>
      <c r="F358" s="3">
        <v>11.71</v>
      </c>
      <c r="G358" s="3">
        <v>160430</v>
      </c>
      <c r="H358" s="8">
        <f t="shared" si="31"/>
        <v>-1.4468085106382973</v>
      </c>
      <c r="I358">
        <f t="shared" si="32"/>
        <v>11.725999999999999</v>
      </c>
      <c r="J358" s="6" cm="1">
        <f t="array" ref="J358">_xlfn.STDEV.S(IF($A:$A=A358, $F:$F))</f>
        <v>0.11148990985735008</v>
      </c>
      <c r="P358" s="8">
        <f t="shared" si="33"/>
        <v>-1.4468085106382973</v>
      </c>
      <c r="Q358" s="8">
        <f t="shared" si="34"/>
        <v>-1.4468085106382973</v>
      </c>
      <c r="R358" s="8">
        <f t="shared" si="35"/>
        <v>-1.4468085106382973</v>
      </c>
    </row>
    <row r="359" spans="1:18" x14ac:dyDescent="0.25">
      <c r="A359" s="7">
        <f t="shared" si="30"/>
        <v>72</v>
      </c>
      <c r="B359" s="2">
        <v>43440</v>
      </c>
      <c r="C359" s="3">
        <v>11.71</v>
      </c>
      <c r="D359" s="3">
        <v>11.77</v>
      </c>
      <c r="E359" s="3">
        <v>11.61</v>
      </c>
      <c r="F359" s="3">
        <v>11.7</v>
      </c>
      <c r="G359" s="3">
        <v>90910</v>
      </c>
      <c r="H359" s="8">
        <f t="shared" si="31"/>
        <v>-1.4468085106382973</v>
      </c>
      <c r="I359">
        <f t="shared" si="32"/>
        <v>11.725999999999999</v>
      </c>
      <c r="J359" s="6" cm="1">
        <f t="array" ref="J359">_xlfn.STDEV.S(IF($A:$A=A359, $F:$F))</f>
        <v>0.11148990985735008</v>
      </c>
      <c r="P359" s="8">
        <f t="shared" si="33"/>
        <v>-1.4468085106382973</v>
      </c>
      <c r="Q359" s="8">
        <f t="shared" si="34"/>
        <v>-1.4468085106382973</v>
      </c>
      <c r="R359" s="8">
        <f t="shared" si="35"/>
        <v>-1.4468085106382973</v>
      </c>
    </row>
    <row r="360" spans="1:18" x14ac:dyDescent="0.25">
      <c r="A360" s="7">
        <f t="shared" si="30"/>
        <v>72</v>
      </c>
      <c r="B360" s="2">
        <v>43441</v>
      </c>
      <c r="C360" s="3">
        <v>11.72</v>
      </c>
      <c r="D360" s="3">
        <v>11.89</v>
      </c>
      <c r="E360" s="3">
        <v>11.7</v>
      </c>
      <c r="F360" s="3">
        <v>11.89</v>
      </c>
      <c r="G360" s="3">
        <v>305520</v>
      </c>
      <c r="H360" s="8">
        <f t="shared" si="31"/>
        <v>-1.4468085106382973</v>
      </c>
      <c r="I360">
        <f t="shared" si="32"/>
        <v>11.725999999999999</v>
      </c>
      <c r="J360" s="6" cm="1">
        <f t="array" ref="J360">_xlfn.STDEV.S(IF($A:$A=A360, $F:$F))</f>
        <v>0.11148990985735008</v>
      </c>
      <c r="P360" s="8">
        <f t="shared" si="33"/>
        <v>-1.4468085106382973</v>
      </c>
      <c r="Q360" s="8">
        <f t="shared" si="34"/>
        <v>-1.4468085106382973</v>
      </c>
      <c r="R360" s="8">
        <f t="shared" si="35"/>
        <v>-1.4468085106382973</v>
      </c>
    </row>
    <row r="361" spans="1:18" x14ac:dyDescent="0.25">
      <c r="A361" s="7">
        <f t="shared" si="30"/>
        <v>72</v>
      </c>
      <c r="B361" s="2">
        <v>43444</v>
      </c>
      <c r="C361" s="3">
        <v>11.89</v>
      </c>
      <c r="D361" s="3">
        <v>11.89</v>
      </c>
      <c r="E361" s="3">
        <v>11.56</v>
      </c>
      <c r="F361" s="3">
        <v>11.58</v>
      </c>
      <c r="G361" s="3">
        <v>98950</v>
      </c>
      <c r="H361" s="8">
        <f t="shared" si="31"/>
        <v>-1.4468085106382973</v>
      </c>
      <c r="I361">
        <f t="shared" si="32"/>
        <v>11.725999999999999</v>
      </c>
      <c r="J361" s="6" cm="1">
        <f t="array" ref="J361">_xlfn.STDEV.S(IF($A:$A=A361, $F:$F))</f>
        <v>0.11148990985735008</v>
      </c>
      <c r="P361" s="8">
        <f t="shared" si="33"/>
        <v>-1.4468085106382973</v>
      </c>
      <c r="Q361" s="8">
        <f t="shared" si="34"/>
        <v>-1.4468085106382973</v>
      </c>
      <c r="R361" s="8">
        <f t="shared" si="35"/>
        <v>-1.4468085106382973</v>
      </c>
    </row>
    <row r="362" spans="1:18" x14ac:dyDescent="0.25">
      <c r="A362" s="7">
        <f t="shared" si="30"/>
        <v>73</v>
      </c>
      <c r="B362" s="2">
        <v>43445</v>
      </c>
      <c r="C362" s="3">
        <v>11.68</v>
      </c>
      <c r="D362" s="3">
        <v>11.68</v>
      </c>
      <c r="E362" s="3">
        <v>11.49</v>
      </c>
      <c r="F362" s="3">
        <v>11.49</v>
      </c>
      <c r="G362" s="3">
        <v>59350</v>
      </c>
      <c r="H362" s="8">
        <f t="shared" si="31"/>
        <v>-8.5291557876414306</v>
      </c>
      <c r="I362">
        <f t="shared" si="32"/>
        <v>11.261999999999999</v>
      </c>
      <c r="J362" s="6" cm="1">
        <f t="array" ref="J362">_xlfn.STDEV.S(IF($A:$A=A362, $F:$F))</f>
        <v>0.44013634251218137</v>
      </c>
      <c r="P362" s="8">
        <f t="shared" si="33"/>
        <v>-8.5291557876414306</v>
      </c>
      <c r="Q362" s="8">
        <f t="shared" si="34"/>
        <v>-8.5291557876414306</v>
      </c>
      <c r="R362" s="11">
        <f t="shared" si="35"/>
        <v>-8.5291557876414306</v>
      </c>
    </row>
    <row r="363" spans="1:18" x14ac:dyDescent="0.25">
      <c r="A363" s="7">
        <f t="shared" si="30"/>
        <v>73</v>
      </c>
      <c r="B363" s="2">
        <v>43446</v>
      </c>
      <c r="C363" s="3">
        <v>11.49</v>
      </c>
      <c r="D363" s="3">
        <v>11.63</v>
      </c>
      <c r="E363" s="3">
        <v>11.42</v>
      </c>
      <c r="F363" s="3">
        <v>11.63</v>
      </c>
      <c r="G363" s="3">
        <v>89520</v>
      </c>
      <c r="H363" s="8">
        <f t="shared" si="31"/>
        <v>-8.5291557876414306</v>
      </c>
      <c r="I363">
        <f t="shared" si="32"/>
        <v>11.261999999999999</v>
      </c>
      <c r="J363" s="6" cm="1">
        <f t="array" ref="J363">_xlfn.STDEV.S(IF($A:$A=A363, $F:$F))</f>
        <v>0.44013634251218137</v>
      </c>
      <c r="P363" s="8">
        <f t="shared" si="33"/>
        <v>-8.5291557876414306</v>
      </c>
      <c r="Q363" s="8">
        <f t="shared" si="34"/>
        <v>-8.5291557876414306</v>
      </c>
      <c r="R363" s="11">
        <f t="shared" si="35"/>
        <v>-8.5291557876414306</v>
      </c>
    </row>
    <row r="364" spans="1:18" x14ac:dyDescent="0.25">
      <c r="A364" s="7">
        <f t="shared" si="30"/>
        <v>73</v>
      </c>
      <c r="B364" s="2">
        <v>43447</v>
      </c>
      <c r="C364" s="3">
        <v>11.68</v>
      </c>
      <c r="D364" s="3">
        <v>11.75</v>
      </c>
      <c r="E364" s="3">
        <v>11.41</v>
      </c>
      <c r="F364" s="3">
        <v>11.41</v>
      </c>
      <c r="G364" s="3">
        <v>116710</v>
      </c>
      <c r="H364" s="8">
        <f t="shared" si="31"/>
        <v>-8.5291557876414306</v>
      </c>
      <c r="I364">
        <f t="shared" si="32"/>
        <v>11.261999999999999</v>
      </c>
      <c r="J364" s="6" cm="1">
        <f t="array" ref="J364">_xlfn.STDEV.S(IF($A:$A=A364, $F:$F))</f>
        <v>0.44013634251218137</v>
      </c>
      <c r="P364" s="8">
        <f t="shared" si="33"/>
        <v>-8.5291557876414306</v>
      </c>
      <c r="Q364" s="8">
        <f t="shared" si="34"/>
        <v>-8.5291557876414306</v>
      </c>
      <c r="R364" s="11">
        <f t="shared" si="35"/>
        <v>-8.5291557876414306</v>
      </c>
    </row>
    <row r="365" spans="1:18" x14ac:dyDescent="0.25">
      <c r="A365" s="7">
        <f t="shared" si="30"/>
        <v>73</v>
      </c>
      <c r="B365" s="2">
        <v>43448</v>
      </c>
      <c r="C365" s="3">
        <v>11.54</v>
      </c>
      <c r="D365" s="3">
        <v>11.56</v>
      </c>
      <c r="E365" s="3">
        <v>11.14</v>
      </c>
      <c r="F365" s="3">
        <v>11.27</v>
      </c>
      <c r="G365" s="3">
        <v>173030</v>
      </c>
      <c r="H365" s="8">
        <f t="shared" si="31"/>
        <v>-8.5291557876414306</v>
      </c>
      <c r="I365">
        <f t="shared" si="32"/>
        <v>11.261999999999999</v>
      </c>
      <c r="J365" s="6" cm="1">
        <f t="array" ref="J365">_xlfn.STDEV.S(IF($A:$A=A365, $F:$F))</f>
        <v>0.44013634251218137</v>
      </c>
      <c r="P365" s="8">
        <f t="shared" si="33"/>
        <v>-8.5291557876414306</v>
      </c>
      <c r="Q365" s="8">
        <f t="shared" si="34"/>
        <v>-8.5291557876414306</v>
      </c>
      <c r="R365" s="11">
        <f t="shared" si="35"/>
        <v>-8.5291557876414306</v>
      </c>
    </row>
    <row r="366" spans="1:18" x14ac:dyDescent="0.25">
      <c r="A366" s="7">
        <f t="shared" si="30"/>
        <v>73</v>
      </c>
      <c r="B366" s="2">
        <v>43451</v>
      </c>
      <c r="C366" s="3">
        <v>11.27</v>
      </c>
      <c r="D366" s="3">
        <v>11.27</v>
      </c>
      <c r="E366" s="3">
        <v>10.51</v>
      </c>
      <c r="F366" s="3">
        <v>10.51</v>
      </c>
      <c r="G366" s="3">
        <v>821960</v>
      </c>
      <c r="H366" s="8">
        <f t="shared" si="31"/>
        <v>-8.5291557876414306</v>
      </c>
      <c r="I366">
        <f t="shared" si="32"/>
        <v>11.261999999999999</v>
      </c>
      <c r="J366" s="6" cm="1">
        <f t="array" ref="J366">_xlfn.STDEV.S(IF($A:$A=A366, $F:$F))</f>
        <v>0.44013634251218137</v>
      </c>
      <c r="P366" s="8">
        <f t="shared" si="33"/>
        <v>-8.5291557876414306</v>
      </c>
      <c r="Q366" s="8">
        <f t="shared" si="34"/>
        <v>-8.5291557876414306</v>
      </c>
      <c r="R366" s="11">
        <f t="shared" si="35"/>
        <v>-8.5291557876414306</v>
      </c>
    </row>
    <row r="367" spans="1:18" x14ac:dyDescent="0.25">
      <c r="A367" s="7">
        <f t="shared" si="30"/>
        <v>74</v>
      </c>
      <c r="B367" s="2">
        <v>43452</v>
      </c>
      <c r="C367" s="3">
        <v>9.85</v>
      </c>
      <c r="D367" s="3">
        <v>10.69</v>
      </c>
      <c r="E367" s="3">
        <v>9.85</v>
      </c>
      <c r="F367" s="3">
        <v>10.67</v>
      </c>
      <c r="G367" s="3">
        <v>97630</v>
      </c>
      <c r="H367" s="8">
        <f t="shared" si="31"/>
        <v>0.46860356138707321</v>
      </c>
      <c r="I367">
        <f t="shared" si="32"/>
        <v>10.651999999999999</v>
      </c>
      <c r="J367" s="6" cm="1">
        <f t="array" ref="J367">_xlfn.STDEV.S(IF($A:$A=A367, $F:$F))</f>
        <v>5.1672042731055634E-2</v>
      </c>
      <c r="P367" s="8">
        <f t="shared" si="33"/>
        <v>0.46860356138707321</v>
      </c>
      <c r="Q367" s="8">
        <f t="shared" si="34"/>
        <v>0.46860356138707321</v>
      </c>
      <c r="R367" s="8">
        <f t="shared" si="35"/>
        <v>0.46860356138707321</v>
      </c>
    </row>
    <row r="368" spans="1:18" x14ac:dyDescent="0.25">
      <c r="A368" s="7">
        <f t="shared" si="30"/>
        <v>74</v>
      </c>
      <c r="B368" s="2">
        <v>43453</v>
      </c>
      <c r="C368" s="3">
        <v>10.93</v>
      </c>
      <c r="D368" s="3">
        <v>10.93</v>
      </c>
      <c r="E368" s="3">
        <v>10.6</v>
      </c>
      <c r="F368" s="3">
        <v>10.6</v>
      </c>
      <c r="G368" s="3">
        <v>30420</v>
      </c>
      <c r="H368" s="8">
        <f t="shared" si="31"/>
        <v>0.46860356138707321</v>
      </c>
      <c r="I368">
        <f t="shared" si="32"/>
        <v>10.651999999999999</v>
      </c>
      <c r="J368" s="6" cm="1">
        <f t="array" ref="J368">_xlfn.STDEV.S(IF($A:$A=A368, $F:$F))</f>
        <v>5.1672042731055634E-2</v>
      </c>
      <c r="P368" s="8">
        <f t="shared" si="33"/>
        <v>0.46860356138707321</v>
      </c>
      <c r="Q368" s="8">
        <f t="shared" si="34"/>
        <v>0.46860356138707321</v>
      </c>
      <c r="R368" s="8">
        <f t="shared" si="35"/>
        <v>0.46860356138707321</v>
      </c>
    </row>
    <row r="369" spans="1:18" x14ac:dyDescent="0.25">
      <c r="A369" s="7">
        <f t="shared" si="30"/>
        <v>74</v>
      </c>
      <c r="B369" s="2">
        <v>43454</v>
      </c>
      <c r="C369" s="3">
        <v>10.199999999999999</v>
      </c>
      <c r="D369" s="3">
        <v>10.62</v>
      </c>
      <c r="E369" s="3">
        <v>10.199999999999999</v>
      </c>
      <c r="F369" s="3">
        <v>10.6</v>
      </c>
      <c r="G369" s="3">
        <v>142900</v>
      </c>
      <c r="H369" s="8">
        <f t="shared" si="31"/>
        <v>0.46860356138707321</v>
      </c>
      <c r="I369">
        <f t="shared" si="32"/>
        <v>10.651999999999999</v>
      </c>
      <c r="J369" s="6" cm="1">
        <f t="array" ref="J369">_xlfn.STDEV.S(IF($A:$A=A369, $F:$F))</f>
        <v>5.1672042731055634E-2</v>
      </c>
      <c r="P369" s="8">
        <f t="shared" si="33"/>
        <v>0.46860356138707321</v>
      </c>
      <c r="Q369" s="8">
        <f t="shared" si="34"/>
        <v>0.46860356138707321</v>
      </c>
      <c r="R369" s="8">
        <f t="shared" si="35"/>
        <v>0.46860356138707321</v>
      </c>
    </row>
    <row r="370" spans="1:18" x14ac:dyDescent="0.25">
      <c r="A370" s="7">
        <f t="shared" si="30"/>
        <v>74</v>
      </c>
      <c r="B370" s="2">
        <v>43455</v>
      </c>
      <c r="C370" s="3">
        <v>10.36</v>
      </c>
      <c r="D370" s="3">
        <v>10.67</v>
      </c>
      <c r="E370" s="3">
        <v>10.36</v>
      </c>
      <c r="F370" s="3">
        <v>10.67</v>
      </c>
      <c r="G370" s="3">
        <v>69370</v>
      </c>
      <c r="H370" s="8">
        <f t="shared" si="31"/>
        <v>0.46860356138707321</v>
      </c>
      <c r="I370">
        <f t="shared" si="32"/>
        <v>10.651999999999999</v>
      </c>
      <c r="J370" s="6" cm="1">
        <f t="array" ref="J370">_xlfn.STDEV.S(IF($A:$A=A370, $F:$F))</f>
        <v>5.1672042731055634E-2</v>
      </c>
      <c r="P370" s="8">
        <f t="shared" si="33"/>
        <v>0.46860356138707321</v>
      </c>
      <c r="Q370" s="8">
        <f t="shared" si="34"/>
        <v>0.46860356138707321</v>
      </c>
      <c r="R370" s="8">
        <f t="shared" si="35"/>
        <v>0.46860356138707321</v>
      </c>
    </row>
    <row r="371" spans="1:18" x14ac:dyDescent="0.25">
      <c r="A371" s="7">
        <f t="shared" si="30"/>
        <v>74</v>
      </c>
      <c r="B371" s="2">
        <v>43458</v>
      </c>
      <c r="C371" s="3">
        <v>10.67</v>
      </c>
      <c r="D371" s="3">
        <v>10.72</v>
      </c>
      <c r="E371" s="3">
        <v>10.56</v>
      </c>
      <c r="F371" s="3">
        <v>10.72</v>
      </c>
      <c r="G371" s="3">
        <v>110500</v>
      </c>
      <c r="H371" s="8">
        <f t="shared" si="31"/>
        <v>0.46860356138707321</v>
      </c>
      <c r="I371">
        <f t="shared" si="32"/>
        <v>10.651999999999999</v>
      </c>
      <c r="J371" s="6" cm="1">
        <f t="array" ref="J371">_xlfn.STDEV.S(IF($A:$A=A371, $F:$F))</f>
        <v>5.1672042731055634E-2</v>
      </c>
      <c r="P371" s="8">
        <f t="shared" si="33"/>
        <v>0.46860356138707321</v>
      </c>
      <c r="Q371" s="8">
        <f t="shared" si="34"/>
        <v>0.46860356138707321</v>
      </c>
      <c r="R371" s="8">
        <f t="shared" si="35"/>
        <v>0.46860356138707321</v>
      </c>
    </row>
    <row r="372" spans="1:18" x14ac:dyDescent="0.25">
      <c r="A372" s="7">
        <f t="shared" si="30"/>
        <v>75</v>
      </c>
      <c r="B372" s="2">
        <v>43459</v>
      </c>
      <c r="C372" s="3">
        <v>10.09</v>
      </c>
      <c r="D372" s="3">
        <v>10.6</v>
      </c>
      <c r="E372" s="3">
        <v>10.08</v>
      </c>
      <c r="F372" s="3">
        <v>10.43</v>
      </c>
      <c r="G372" s="3">
        <v>56880</v>
      </c>
      <c r="H372" s="8">
        <f t="shared" si="31"/>
        <v>1.1505273250239789</v>
      </c>
      <c r="I372">
        <f t="shared" si="32"/>
        <v>10.756</v>
      </c>
      <c r="J372" s="6" cm="1">
        <f t="array" ref="J372">_xlfn.STDEV.S(IF($A:$A=A372, $F:$F))</f>
        <v>0.26847718711279722</v>
      </c>
      <c r="P372" s="8">
        <f t="shared" si="33"/>
        <v>1.1505273250239789</v>
      </c>
      <c r="Q372" s="8">
        <f t="shared" si="34"/>
        <v>1.1505273250239789</v>
      </c>
      <c r="R372" s="8">
        <f t="shared" si="35"/>
        <v>1.1505273250239789</v>
      </c>
    </row>
    <row r="373" spans="1:18" x14ac:dyDescent="0.25">
      <c r="A373" s="7">
        <f t="shared" si="30"/>
        <v>75</v>
      </c>
      <c r="B373" s="2">
        <v>43460</v>
      </c>
      <c r="C373" s="3">
        <v>10.32</v>
      </c>
      <c r="D373" s="3">
        <v>10.79</v>
      </c>
      <c r="E373" s="3">
        <v>10.32</v>
      </c>
      <c r="F373" s="3">
        <v>10.79</v>
      </c>
      <c r="G373" s="3">
        <v>164110</v>
      </c>
      <c r="H373" s="8">
        <f t="shared" si="31"/>
        <v>1.1505273250239789</v>
      </c>
      <c r="I373">
        <f t="shared" si="32"/>
        <v>10.756</v>
      </c>
      <c r="J373" s="6" cm="1">
        <f t="array" ref="J373">_xlfn.STDEV.S(IF($A:$A=A373, $F:$F))</f>
        <v>0.26847718711279722</v>
      </c>
      <c r="P373" s="8">
        <f t="shared" si="33"/>
        <v>1.1505273250239789</v>
      </c>
      <c r="Q373" s="8">
        <f t="shared" si="34"/>
        <v>1.1505273250239789</v>
      </c>
      <c r="R373" s="8">
        <f t="shared" si="35"/>
        <v>1.1505273250239789</v>
      </c>
    </row>
    <row r="374" spans="1:18" x14ac:dyDescent="0.25">
      <c r="A374" s="7">
        <f t="shared" si="30"/>
        <v>75</v>
      </c>
      <c r="B374" s="2">
        <v>43461</v>
      </c>
      <c r="C374" s="3">
        <v>10.9</v>
      </c>
      <c r="D374" s="3">
        <v>11.14</v>
      </c>
      <c r="E374" s="3">
        <v>10.79</v>
      </c>
      <c r="F374" s="3">
        <v>11.09</v>
      </c>
      <c r="G374" s="3">
        <v>106900</v>
      </c>
      <c r="H374" s="8">
        <f t="shared" si="31"/>
        <v>1.1505273250239789</v>
      </c>
      <c r="I374">
        <f t="shared" si="32"/>
        <v>10.756</v>
      </c>
      <c r="J374" s="6" cm="1">
        <f t="array" ref="J374">_xlfn.STDEV.S(IF($A:$A=A374, $F:$F))</f>
        <v>0.26847718711279722</v>
      </c>
      <c r="P374" s="8">
        <f t="shared" si="33"/>
        <v>1.1505273250239789</v>
      </c>
      <c r="Q374" s="8">
        <f t="shared" si="34"/>
        <v>1.1505273250239789</v>
      </c>
      <c r="R374" s="8">
        <f t="shared" si="35"/>
        <v>1.1505273250239789</v>
      </c>
    </row>
    <row r="375" spans="1:18" x14ac:dyDescent="0.25">
      <c r="A375" s="7">
        <f t="shared" si="30"/>
        <v>75</v>
      </c>
      <c r="B375" s="2">
        <v>43462</v>
      </c>
      <c r="C375" s="3">
        <v>11.09</v>
      </c>
      <c r="D375" s="3">
        <v>11.23</v>
      </c>
      <c r="E375" s="3">
        <v>10.79</v>
      </c>
      <c r="F375" s="3">
        <v>10.92</v>
      </c>
      <c r="G375" s="3">
        <v>132640</v>
      </c>
      <c r="H375" s="8">
        <f t="shared" si="31"/>
        <v>1.1505273250239789</v>
      </c>
      <c r="I375">
        <f t="shared" si="32"/>
        <v>10.756</v>
      </c>
      <c r="J375" s="6" cm="1">
        <f t="array" ref="J375">_xlfn.STDEV.S(IF($A:$A=A375, $F:$F))</f>
        <v>0.26847718711279722</v>
      </c>
      <c r="P375" s="8">
        <f t="shared" si="33"/>
        <v>1.1505273250239789</v>
      </c>
      <c r="Q375" s="8">
        <f t="shared" si="34"/>
        <v>1.1505273250239789</v>
      </c>
      <c r="R375" s="8">
        <f t="shared" si="35"/>
        <v>1.1505273250239789</v>
      </c>
    </row>
    <row r="376" spans="1:18" x14ac:dyDescent="0.25">
      <c r="A376" s="7">
        <f t="shared" si="30"/>
        <v>75</v>
      </c>
      <c r="B376" s="2">
        <v>43467</v>
      </c>
      <c r="C376" s="3">
        <v>10.97</v>
      </c>
      <c r="D376" s="3">
        <v>10.97</v>
      </c>
      <c r="E376" s="3">
        <v>10.55</v>
      </c>
      <c r="F376" s="3">
        <v>10.55</v>
      </c>
      <c r="G376" s="3">
        <v>19980</v>
      </c>
      <c r="H376" s="8">
        <f t="shared" si="31"/>
        <v>1.1505273250239789</v>
      </c>
      <c r="I376">
        <f t="shared" si="32"/>
        <v>10.756</v>
      </c>
      <c r="J376" s="6" cm="1">
        <f t="array" ref="J376">_xlfn.STDEV.S(IF($A:$A=A376, $F:$F))</f>
        <v>0.26847718711279722</v>
      </c>
      <c r="P376" s="8">
        <f t="shared" si="33"/>
        <v>1.1505273250239789</v>
      </c>
      <c r="Q376" s="8">
        <f t="shared" si="34"/>
        <v>1.1505273250239789</v>
      </c>
      <c r="R376" s="8">
        <f t="shared" si="35"/>
        <v>1.1505273250239789</v>
      </c>
    </row>
    <row r="377" spans="1:18" x14ac:dyDescent="0.25">
      <c r="A377" s="7">
        <f t="shared" si="30"/>
        <v>76</v>
      </c>
      <c r="B377" s="2">
        <v>43468</v>
      </c>
      <c r="C377" s="3">
        <v>10.88</v>
      </c>
      <c r="D377" s="3">
        <v>10.88</v>
      </c>
      <c r="E377" s="3">
        <v>9.83</v>
      </c>
      <c r="F377" s="3">
        <v>10.41</v>
      </c>
      <c r="G377" s="3">
        <v>26050</v>
      </c>
      <c r="H377" s="8">
        <f t="shared" si="31"/>
        <v>-12.391930835734879</v>
      </c>
      <c r="I377">
        <f t="shared" si="32"/>
        <v>9.6939999999999991</v>
      </c>
      <c r="J377" s="6" cm="1">
        <f t="array" ref="J377">_xlfn.STDEV.S(IF($A:$A=A377, $F:$F))</f>
        <v>0.56420740867166952</v>
      </c>
      <c r="P377" s="8">
        <f t="shared" si="33"/>
        <v>-12.391930835734879</v>
      </c>
      <c r="Q377" s="8">
        <f t="shared" si="34"/>
        <v>-12.391930835734879</v>
      </c>
      <c r="R377" s="11">
        <f t="shared" si="35"/>
        <v>-12.391930835734879</v>
      </c>
    </row>
    <row r="378" spans="1:18" x14ac:dyDescent="0.25">
      <c r="A378" s="7">
        <f t="shared" si="30"/>
        <v>76</v>
      </c>
      <c r="B378" s="2">
        <v>43469</v>
      </c>
      <c r="C378" s="3">
        <v>9.83</v>
      </c>
      <c r="D378" s="3">
        <v>10.29</v>
      </c>
      <c r="E378" s="3">
        <v>9.73</v>
      </c>
      <c r="F378" s="3">
        <v>10.06</v>
      </c>
      <c r="G378" s="3">
        <v>73200</v>
      </c>
      <c r="H378" s="8">
        <f t="shared" si="31"/>
        <v>-12.391930835734879</v>
      </c>
      <c r="I378">
        <f t="shared" si="32"/>
        <v>9.6939999999999991</v>
      </c>
      <c r="J378" s="6" cm="1">
        <f t="array" ref="J378">_xlfn.STDEV.S(IF($A:$A=A378, $F:$F))</f>
        <v>0.56420740867166952</v>
      </c>
      <c r="P378" s="8">
        <f t="shared" si="33"/>
        <v>-12.391930835734879</v>
      </c>
      <c r="Q378" s="8">
        <f t="shared" si="34"/>
        <v>-12.391930835734879</v>
      </c>
      <c r="R378" s="11">
        <f t="shared" si="35"/>
        <v>-12.391930835734879</v>
      </c>
    </row>
    <row r="379" spans="1:18" x14ac:dyDescent="0.25">
      <c r="A379" s="7">
        <f t="shared" si="30"/>
        <v>76</v>
      </c>
      <c r="B379" s="2">
        <v>43472</v>
      </c>
      <c r="C379" s="3">
        <v>10.08</v>
      </c>
      <c r="D379" s="3">
        <v>10.08</v>
      </c>
      <c r="E379" s="3">
        <v>9.73</v>
      </c>
      <c r="F379" s="3">
        <v>9.73</v>
      </c>
      <c r="G379" s="3">
        <v>39200</v>
      </c>
      <c r="H379" s="8">
        <f t="shared" si="31"/>
        <v>-12.391930835734879</v>
      </c>
      <c r="I379">
        <f t="shared" si="32"/>
        <v>9.6939999999999991</v>
      </c>
      <c r="J379" s="6" cm="1">
        <f t="array" ref="J379">_xlfn.STDEV.S(IF($A:$A=A379, $F:$F))</f>
        <v>0.56420740867166952</v>
      </c>
      <c r="P379" s="8">
        <f t="shared" si="33"/>
        <v>-12.391930835734879</v>
      </c>
      <c r="Q379" s="8">
        <f t="shared" si="34"/>
        <v>-12.391930835734879</v>
      </c>
      <c r="R379" s="11">
        <f t="shared" si="35"/>
        <v>-12.391930835734879</v>
      </c>
    </row>
    <row r="380" spans="1:18" x14ac:dyDescent="0.25">
      <c r="A380" s="7">
        <f t="shared" si="30"/>
        <v>76</v>
      </c>
      <c r="B380" s="2">
        <v>43473</v>
      </c>
      <c r="C380" s="3">
        <v>9.85</v>
      </c>
      <c r="D380" s="3">
        <v>9.85</v>
      </c>
      <c r="E380" s="3">
        <v>9.1</v>
      </c>
      <c r="F380" s="3">
        <v>9.15</v>
      </c>
      <c r="G380" s="3">
        <v>225860</v>
      </c>
      <c r="H380" s="8">
        <f t="shared" si="31"/>
        <v>-12.391930835734879</v>
      </c>
      <c r="I380">
        <f t="shared" si="32"/>
        <v>9.6939999999999991</v>
      </c>
      <c r="J380" s="6" cm="1">
        <f t="array" ref="J380">_xlfn.STDEV.S(IF($A:$A=A380, $F:$F))</f>
        <v>0.56420740867166952</v>
      </c>
      <c r="P380" s="8">
        <f t="shared" si="33"/>
        <v>-12.391930835734879</v>
      </c>
      <c r="Q380" s="8">
        <f t="shared" si="34"/>
        <v>-12.391930835734879</v>
      </c>
      <c r="R380" s="11">
        <f t="shared" si="35"/>
        <v>-12.391930835734879</v>
      </c>
    </row>
    <row r="381" spans="1:18" x14ac:dyDescent="0.25">
      <c r="A381" s="7">
        <f t="shared" si="30"/>
        <v>76</v>
      </c>
      <c r="B381" s="2">
        <v>43474</v>
      </c>
      <c r="C381" s="3">
        <v>9.15</v>
      </c>
      <c r="D381" s="3">
        <v>9.33</v>
      </c>
      <c r="E381" s="3">
        <v>9.1199999999999992</v>
      </c>
      <c r="F381" s="3">
        <v>9.1199999999999992</v>
      </c>
      <c r="G381" s="3">
        <v>161560</v>
      </c>
      <c r="H381" s="8">
        <f t="shared" si="31"/>
        <v>-12.391930835734879</v>
      </c>
      <c r="I381">
        <f t="shared" si="32"/>
        <v>9.6939999999999991</v>
      </c>
      <c r="J381" s="6" cm="1">
        <f t="array" ref="J381">_xlfn.STDEV.S(IF($A:$A=A381, $F:$F))</f>
        <v>0.56420740867166952</v>
      </c>
      <c r="P381" s="8">
        <f t="shared" si="33"/>
        <v>-12.391930835734879</v>
      </c>
      <c r="Q381" s="8">
        <f t="shared" si="34"/>
        <v>-12.391930835734879</v>
      </c>
      <c r="R381" s="11">
        <f t="shared" si="35"/>
        <v>-12.391930835734879</v>
      </c>
    </row>
    <row r="382" spans="1:18" x14ac:dyDescent="0.25">
      <c r="A382" s="7">
        <f t="shared" si="30"/>
        <v>77</v>
      </c>
      <c r="B382" s="2">
        <v>43475</v>
      </c>
      <c r="C382" s="3">
        <v>9.1199999999999992</v>
      </c>
      <c r="D382" s="3">
        <v>9.15</v>
      </c>
      <c r="E382" s="3">
        <v>8.93</v>
      </c>
      <c r="F382" s="3">
        <v>8.9700000000000006</v>
      </c>
      <c r="G382" s="3">
        <v>128720</v>
      </c>
      <c r="H382" s="8">
        <f t="shared" si="31"/>
        <v>3.7904124860646577</v>
      </c>
      <c r="I382">
        <f t="shared" si="32"/>
        <v>9.1080000000000005</v>
      </c>
      <c r="J382" s="6" cm="1">
        <f t="array" ref="J382">_xlfn.STDEV.S(IF($A:$A=A382, $F:$F))</f>
        <v>0.16679328523654668</v>
      </c>
      <c r="P382" s="8">
        <f t="shared" si="33"/>
        <v>3.7904124860646577</v>
      </c>
      <c r="Q382" s="8">
        <f t="shared" si="34"/>
        <v>3.7904124860646577</v>
      </c>
      <c r="R382" s="8">
        <f t="shared" si="35"/>
        <v>3.7904124860646577</v>
      </c>
    </row>
    <row r="383" spans="1:18" x14ac:dyDescent="0.25">
      <c r="A383" s="7">
        <f t="shared" si="30"/>
        <v>77</v>
      </c>
      <c r="B383" s="2">
        <v>43476</v>
      </c>
      <c r="C383" s="3">
        <v>9.15</v>
      </c>
      <c r="D383" s="3">
        <v>9.19</v>
      </c>
      <c r="E383" s="3">
        <v>9.0299999999999994</v>
      </c>
      <c r="F383" s="3">
        <v>9.0500000000000007</v>
      </c>
      <c r="G383" s="3">
        <v>75450</v>
      </c>
      <c r="H383" s="8">
        <f t="shared" si="31"/>
        <v>3.7904124860646577</v>
      </c>
      <c r="I383">
        <f t="shared" si="32"/>
        <v>9.1080000000000005</v>
      </c>
      <c r="J383" s="6" cm="1">
        <f t="array" ref="J383">_xlfn.STDEV.S(IF($A:$A=A383, $F:$F))</f>
        <v>0.16679328523654668</v>
      </c>
      <c r="P383" s="8">
        <f t="shared" si="33"/>
        <v>3.7904124860646577</v>
      </c>
      <c r="Q383" s="8">
        <f t="shared" si="34"/>
        <v>3.7904124860646577</v>
      </c>
      <c r="R383" s="8">
        <f t="shared" si="35"/>
        <v>3.7904124860646577</v>
      </c>
    </row>
    <row r="384" spans="1:18" x14ac:dyDescent="0.25">
      <c r="A384" s="7">
        <f t="shared" si="30"/>
        <v>77</v>
      </c>
      <c r="B384" s="2">
        <v>43479</v>
      </c>
      <c r="C384" s="3">
        <v>8.93</v>
      </c>
      <c r="D384" s="3">
        <v>9.11</v>
      </c>
      <c r="E384" s="3">
        <v>8.93</v>
      </c>
      <c r="F384" s="3">
        <v>8.9499999999999993</v>
      </c>
      <c r="G384" s="3">
        <v>34350</v>
      </c>
      <c r="H384" s="8">
        <f t="shared" si="31"/>
        <v>3.7904124860646577</v>
      </c>
      <c r="I384">
        <f t="shared" si="32"/>
        <v>9.1080000000000005</v>
      </c>
      <c r="J384" s="6" cm="1">
        <f t="array" ref="J384">_xlfn.STDEV.S(IF($A:$A=A384, $F:$F))</f>
        <v>0.16679328523654668</v>
      </c>
      <c r="P384" s="8">
        <f t="shared" si="33"/>
        <v>3.7904124860646577</v>
      </c>
      <c r="Q384" s="8">
        <f t="shared" si="34"/>
        <v>3.7904124860646577</v>
      </c>
      <c r="R384" s="8">
        <f t="shared" si="35"/>
        <v>3.7904124860646577</v>
      </c>
    </row>
    <row r="385" spans="1:18" x14ac:dyDescent="0.25">
      <c r="A385" s="7">
        <f t="shared" si="30"/>
        <v>77</v>
      </c>
      <c r="B385" s="2">
        <v>43480</v>
      </c>
      <c r="C385" s="3">
        <v>8.9499999999999993</v>
      </c>
      <c r="D385" s="3">
        <v>9.26</v>
      </c>
      <c r="E385" s="3">
        <v>8.9499999999999993</v>
      </c>
      <c r="F385" s="3">
        <v>9.26</v>
      </c>
      <c r="G385" s="3">
        <v>66220</v>
      </c>
      <c r="H385" s="8">
        <f t="shared" si="31"/>
        <v>3.7904124860646577</v>
      </c>
      <c r="I385">
        <f t="shared" si="32"/>
        <v>9.1080000000000005</v>
      </c>
      <c r="J385" s="6" cm="1">
        <f t="array" ref="J385">_xlfn.STDEV.S(IF($A:$A=A385, $F:$F))</f>
        <v>0.16679328523654668</v>
      </c>
      <c r="P385" s="8">
        <f t="shared" si="33"/>
        <v>3.7904124860646577</v>
      </c>
      <c r="Q385" s="8">
        <f t="shared" si="34"/>
        <v>3.7904124860646577</v>
      </c>
      <c r="R385" s="8">
        <f t="shared" si="35"/>
        <v>3.7904124860646577</v>
      </c>
    </row>
    <row r="386" spans="1:18" x14ac:dyDescent="0.25">
      <c r="A386" s="7">
        <f t="shared" si="30"/>
        <v>77</v>
      </c>
      <c r="B386" s="2">
        <v>43481</v>
      </c>
      <c r="C386" s="3">
        <v>9.36</v>
      </c>
      <c r="D386" s="3">
        <v>9.36</v>
      </c>
      <c r="E386" s="3">
        <v>9.24</v>
      </c>
      <c r="F386" s="3">
        <v>9.31</v>
      </c>
      <c r="G386" s="3">
        <v>22900</v>
      </c>
      <c r="H386" s="8">
        <f t="shared" si="31"/>
        <v>3.7904124860646577</v>
      </c>
      <c r="I386">
        <f t="shared" si="32"/>
        <v>9.1080000000000005</v>
      </c>
      <c r="J386" s="6" cm="1">
        <f t="array" ref="J386">_xlfn.STDEV.S(IF($A:$A=A386, $F:$F))</f>
        <v>0.16679328523654668</v>
      </c>
      <c r="P386" s="8">
        <f t="shared" si="33"/>
        <v>3.7904124860646577</v>
      </c>
      <c r="Q386" s="8">
        <f t="shared" si="34"/>
        <v>3.7904124860646577</v>
      </c>
      <c r="R386" s="8">
        <f t="shared" si="35"/>
        <v>3.7904124860646577</v>
      </c>
    </row>
    <row r="387" spans="1:18" x14ac:dyDescent="0.25">
      <c r="A387" s="7">
        <f t="shared" ref="A387:A450" si="36">INT((ROW(A387)-ROW($A$2))/5) + 1</f>
        <v>78</v>
      </c>
      <c r="B387" s="2">
        <v>43482</v>
      </c>
      <c r="C387" s="3">
        <v>9.31</v>
      </c>
      <c r="D387" s="3">
        <v>9.33</v>
      </c>
      <c r="E387" s="3">
        <v>9.24</v>
      </c>
      <c r="F387" s="3">
        <v>9.24</v>
      </c>
      <c r="G387" s="3">
        <v>6370</v>
      </c>
      <c r="H387" s="8">
        <f t="shared" ref="H387:H450" si="37">IF(A387=A386, H386, (F391-F387)/F387*100)</f>
        <v>-0.21645021645021181</v>
      </c>
      <c r="I387">
        <f t="shared" ref="I387:I450" si="38">AVERAGEIF($A:$A, A387, $F:$F)</f>
        <v>9.1939999999999991</v>
      </c>
      <c r="J387" s="6" cm="1">
        <f t="array" ref="J387">_xlfn.STDEV.S(IF($A:$A=A387, $F:$F))</f>
        <v>5.5497747702046789E-2</v>
      </c>
      <c r="P387" s="8">
        <f t="shared" ref="P387:P450" si="39">IF(A387=A386,P386,(F391-F387)/F387*100)</f>
        <v>-0.21645021645021181</v>
      </c>
      <c r="Q387" s="8">
        <f t="shared" ref="Q387:Q450" si="40">IF(A387=A386,Q386,(F391-F387)/F387*100)</f>
        <v>-0.21645021645021181</v>
      </c>
      <c r="R387" s="8">
        <f t="shared" ref="R387:R450" si="41">IF(A387=A386,R386,(F391-F387)/F387*100)</f>
        <v>-0.21645021645021181</v>
      </c>
    </row>
    <row r="388" spans="1:18" x14ac:dyDescent="0.25">
      <c r="A388" s="7">
        <f t="shared" si="36"/>
        <v>78</v>
      </c>
      <c r="B388" s="2">
        <v>43483</v>
      </c>
      <c r="C388" s="3">
        <v>9.24</v>
      </c>
      <c r="D388" s="3">
        <v>9.2899999999999991</v>
      </c>
      <c r="E388" s="3">
        <v>9.1</v>
      </c>
      <c r="F388" s="3">
        <v>9.15</v>
      </c>
      <c r="G388" s="3">
        <v>58980</v>
      </c>
      <c r="H388" s="8">
        <f t="shared" si="37"/>
        <v>-0.21645021645021181</v>
      </c>
      <c r="I388">
        <f t="shared" si="38"/>
        <v>9.1939999999999991</v>
      </c>
      <c r="J388" s="6" cm="1">
        <f t="array" ref="J388">_xlfn.STDEV.S(IF($A:$A=A388, $F:$F))</f>
        <v>5.5497747702046789E-2</v>
      </c>
      <c r="P388" s="8">
        <f t="shared" si="39"/>
        <v>-0.21645021645021181</v>
      </c>
      <c r="Q388" s="8">
        <f t="shared" si="40"/>
        <v>-0.21645021645021181</v>
      </c>
      <c r="R388" s="8">
        <f t="shared" si="41"/>
        <v>-0.21645021645021181</v>
      </c>
    </row>
    <row r="389" spans="1:18" x14ac:dyDescent="0.25">
      <c r="A389" s="7">
        <f t="shared" si="36"/>
        <v>78</v>
      </c>
      <c r="B389" s="2">
        <v>43486</v>
      </c>
      <c r="C389" s="3">
        <v>8.9600000000000009</v>
      </c>
      <c r="D389" s="3">
        <v>9.26</v>
      </c>
      <c r="E389" s="3">
        <v>8.9600000000000009</v>
      </c>
      <c r="F389" s="3">
        <v>9.1199999999999992</v>
      </c>
      <c r="G389" s="3">
        <v>14310</v>
      </c>
      <c r="H389" s="8">
        <f t="shared" si="37"/>
        <v>-0.21645021645021181</v>
      </c>
      <c r="I389">
        <f t="shared" si="38"/>
        <v>9.1939999999999991</v>
      </c>
      <c r="J389" s="6" cm="1">
        <f t="array" ref="J389">_xlfn.STDEV.S(IF($A:$A=A389, $F:$F))</f>
        <v>5.5497747702046789E-2</v>
      </c>
      <c r="P389" s="8">
        <f t="shared" si="39"/>
        <v>-0.21645021645021181</v>
      </c>
      <c r="Q389" s="8">
        <f t="shared" si="40"/>
        <v>-0.21645021645021181</v>
      </c>
      <c r="R389" s="8">
        <f t="shared" si="41"/>
        <v>-0.21645021645021181</v>
      </c>
    </row>
    <row r="390" spans="1:18" x14ac:dyDescent="0.25">
      <c r="A390" s="7">
        <f t="shared" si="36"/>
        <v>78</v>
      </c>
      <c r="B390" s="2">
        <v>43487</v>
      </c>
      <c r="C390" s="3">
        <v>9.15</v>
      </c>
      <c r="D390" s="3">
        <v>9.31</v>
      </c>
      <c r="E390" s="3">
        <v>9.1</v>
      </c>
      <c r="F390" s="3">
        <v>9.24</v>
      </c>
      <c r="G390" s="3">
        <v>49000</v>
      </c>
      <c r="H390" s="8">
        <f t="shared" si="37"/>
        <v>-0.21645021645021181</v>
      </c>
      <c r="I390">
        <f t="shared" si="38"/>
        <v>9.1939999999999991</v>
      </c>
      <c r="J390" s="6" cm="1">
        <f t="array" ref="J390">_xlfn.STDEV.S(IF($A:$A=A390, $F:$F))</f>
        <v>5.5497747702046789E-2</v>
      </c>
      <c r="P390" s="8">
        <f t="shared" si="39"/>
        <v>-0.21645021645021181</v>
      </c>
      <c r="Q390" s="8">
        <f t="shared" si="40"/>
        <v>-0.21645021645021181</v>
      </c>
      <c r="R390" s="8">
        <f t="shared" si="41"/>
        <v>-0.21645021645021181</v>
      </c>
    </row>
    <row r="391" spans="1:18" x14ac:dyDescent="0.25">
      <c r="A391" s="7">
        <f t="shared" si="36"/>
        <v>78</v>
      </c>
      <c r="B391" s="2">
        <v>43488</v>
      </c>
      <c r="C391" s="3">
        <v>9.15</v>
      </c>
      <c r="D391" s="3">
        <v>9.24</v>
      </c>
      <c r="E391" s="3">
        <v>9.15</v>
      </c>
      <c r="F391" s="3">
        <v>9.2200000000000006</v>
      </c>
      <c r="G391" s="3">
        <v>54620</v>
      </c>
      <c r="H391" s="8">
        <f t="shared" si="37"/>
        <v>-0.21645021645021181</v>
      </c>
      <c r="I391">
        <f t="shared" si="38"/>
        <v>9.1939999999999991</v>
      </c>
      <c r="J391" s="6" cm="1">
        <f t="array" ref="J391">_xlfn.STDEV.S(IF($A:$A=A391, $F:$F))</f>
        <v>5.5497747702046789E-2</v>
      </c>
      <c r="P391" s="8">
        <f t="shared" si="39"/>
        <v>-0.21645021645021181</v>
      </c>
      <c r="Q391" s="8">
        <f t="shared" si="40"/>
        <v>-0.21645021645021181</v>
      </c>
      <c r="R391" s="8">
        <f t="shared" si="41"/>
        <v>-0.21645021645021181</v>
      </c>
    </row>
    <row r="392" spans="1:18" x14ac:dyDescent="0.25">
      <c r="A392" s="7">
        <f t="shared" si="36"/>
        <v>79</v>
      </c>
      <c r="B392" s="2">
        <v>43489</v>
      </c>
      <c r="C392" s="3">
        <v>9.2200000000000006</v>
      </c>
      <c r="D392" s="3">
        <v>9.26</v>
      </c>
      <c r="E392" s="3">
        <v>9.15</v>
      </c>
      <c r="F392" s="3">
        <v>9.26</v>
      </c>
      <c r="G392" s="3">
        <v>13280</v>
      </c>
      <c r="H392" s="8">
        <f t="shared" si="37"/>
        <v>-4.6436285097192194</v>
      </c>
      <c r="I392">
        <f t="shared" si="38"/>
        <v>8.9640000000000004</v>
      </c>
      <c r="J392" s="6" cm="1">
        <f t="array" ref="J392">_xlfn.STDEV.S(IF($A:$A=A392, $F:$F))</f>
        <v>0.21892921230388562</v>
      </c>
      <c r="P392" s="8">
        <f t="shared" si="39"/>
        <v>-4.6436285097192194</v>
      </c>
      <c r="Q392" s="8">
        <f t="shared" si="40"/>
        <v>-4.6436285097192194</v>
      </c>
      <c r="R392" s="8">
        <f t="shared" si="41"/>
        <v>-4.6436285097192194</v>
      </c>
    </row>
    <row r="393" spans="1:18" x14ac:dyDescent="0.25">
      <c r="A393" s="7">
        <f t="shared" si="36"/>
        <v>79</v>
      </c>
      <c r="B393" s="2">
        <v>43490</v>
      </c>
      <c r="C393" s="3">
        <v>9.33</v>
      </c>
      <c r="D393" s="3">
        <v>9.33</v>
      </c>
      <c r="E393" s="3">
        <v>9.1199999999999992</v>
      </c>
      <c r="F393" s="3">
        <v>9.1199999999999992</v>
      </c>
      <c r="G393" s="3">
        <v>66850</v>
      </c>
      <c r="H393" s="8">
        <f t="shared" si="37"/>
        <v>-4.6436285097192194</v>
      </c>
      <c r="I393">
        <f t="shared" si="38"/>
        <v>8.9640000000000004</v>
      </c>
      <c r="J393" s="6" cm="1">
        <f t="array" ref="J393">_xlfn.STDEV.S(IF($A:$A=A393, $F:$F))</f>
        <v>0.21892921230388562</v>
      </c>
      <c r="P393" s="8">
        <f t="shared" si="39"/>
        <v>-4.6436285097192194</v>
      </c>
      <c r="Q393" s="8">
        <f t="shared" si="40"/>
        <v>-4.6436285097192194</v>
      </c>
      <c r="R393" s="8">
        <f t="shared" si="41"/>
        <v>-4.6436285097192194</v>
      </c>
    </row>
    <row r="394" spans="1:18" x14ac:dyDescent="0.25">
      <c r="A394" s="7">
        <f t="shared" si="36"/>
        <v>79</v>
      </c>
      <c r="B394" s="2">
        <v>43493</v>
      </c>
      <c r="C394" s="3">
        <v>9.2100000000000009</v>
      </c>
      <c r="D394" s="3">
        <v>9.2100000000000009</v>
      </c>
      <c r="E394" s="3">
        <v>8.7100000000000009</v>
      </c>
      <c r="F394" s="3">
        <v>8.73</v>
      </c>
      <c r="G394" s="3">
        <v>382320</v>
      </c>
      <c r="H394" s="8">
        <f t="shared" si="37"/>
        <v>-4.6436285097192194</v>
      </c>
      <c r="I394">
        <f t="shared" si="38"/>
        <v>8.9640000000000004</v>
      </c>
      <c r="J394" s="6" cm="1">
        <f t="array" ref="J394">_xlfn.STDEV.S(IF($A:$A=A394, $F:$F))</f>
        <v>0.21892921230388562</v>
      </c>
      <c r="P394" s="8">
        <f t="shared" si="39"/>
        <v>-4.6436285097192194</v>
      </c>
      <c r="Q394" s="8">
        <f t="shared" si="40"/>
        <v>-4.6436285097192194</v>
      </c>
      <c r="R394" s="8">
        <f t="shared" si="41"/>
        <v>-4.6436285097192194</v>
      </c>
    </row>
    <row r="395" spans="1:18" x14ac:dyDescent="0.25">
      <c r="A395" s="7">
        <f t="shared" si="36"/>
        <v>79</v>
      </c>
      <c r="B395" s="2">
        <v>43494</v>
      </c>
      <c r="C395" s="3">
        <v>8.74</v>
      </c>
      <c r="D395" s="3">
        <v>8.8800000000000008</v>
      </c>
      <c r="E395" s="3">
        <v>8.67</v>
      </c>
      <c r="F395" s="3">
        <v>8.8800000000000008</v>
      </c>
      <c r="G395" s="3">
        <v>51240</v>
      </c>
      <c r="H395" s="8">
        <f t="shared" si="37"/>
        <v>-4.6436285097192194</v>
      </c>
      <c r="I395">
        <f t="shared" si="38"/>
        <v>8.9640000000000004</v>
      </c>
      <c r="J395" s="6" cm="1">
        <f t="array" ref="J395">_xlfn.STDEV.S(IF($A:$A=A395, $F:$F))</f>
        <v>0.21892921230388562</v>
      </c>
      <c r="P395" s="8">
        <f t="shared" si="39"/>
        <v>-4.6436285097192194</v>
      </c>
      <c r="Q395" s="8">
        <f t="shared" si="40"/>
        <v>-4.6436285097192194</v>
      </c>
      <c r="R395" s="8">
        <f t="shared" si="41"/>
        <v>-4.6436285097192194</v>
      </c>
    </row>
    <row r="396" spans="1:18" x14ac:dyDescent="0.25">
      <c r="A396" s="7">
        <f t="shared" si="36"/>
        <v>79</v>
      </c>
      <c r="B396" s="2">
        <v>43495</v>
      </c>
      <c r="C396" s="3">
        <v>8.8800000000000008</v>
      </c>
      <c r="D396" s="3">
        <v>8.8800000000000008</v>
      </c>
      <c r="E396" s="3">
        <v>8.83</v>
      </c>
      <c r="F396" s="3">
        <v>8.83</v>
      </c>
      <c r="G396" s="3">
        <v>55180</v>
      </c>
      <c r="H396" s="8">
        <f t="shared" si="37"/>
        <v>-4.6436285097192194</v>
      </c>
      <c r="I396">
        <f t="shared" si="38"/>
        <v>8.9640000000000004</v>
      </c>
      <c r="J396" s="6" cm="1">
        <f t="array" ref="J396">_xlfn.STDEV.S(IF($A:$A=A396, $F:$F))</f>
        <v>0.21892921230388562</v>
      </c>
      <c r="P396" s="8">
        <f t="shared" si="39"/>
        <v>-4.6436285097192194</v>
      </c>
      <c r="Q396" s="8">
        <f t="shared" si="40"/>
        <v>-4.6436285097192194</v>
      </c>
      <c r="R396" s="8">
        <f t="shared" si="41"/>
        <v>-4.6436285097192194</v>
      </c>
    </row>
    <row r="397" spans="1:18" x14ac:dyDescent="0.25">
      <c r="A397" s="7">
        <f t="shared" si="36"/>
        <v>80</v>
      </c>
      <c r="B397" s="2">
        <v>43496</v>
      </c>
      <c r="C397" s="3">
        <v>8.7799999999999994</v>
      </c>
      <c r="D397" s="3">
        <v>8.83</v>
      </c>
      <c r="E397" s="3">
        <v>8.6199999999999992</v>
      </c>
      <c r="F397" s="3">
        <v>8.6199999999999992</v>
      </c>
      <c r="G397" s="3">
        <v>86300</v>
      </c>
      <c r="H397" s="8">
        <f t="shared" si="37"/>
        <v>6.0324825986079054</v>
      </c>
      <c r="I397">
        <f t="shared" si="38"/>
        <v>8.6639999999999997</v>
      </c>
      <c r="J397" s="6" cm="1">
        <f t="array" ref="J397">_xlfn.STDEV.S(IF($A:$A=A397, $F:$F))</f>
        <v>0.32331099579197764</v>
      </c>
      <c r="P397" s="8">
        <f t="shared" si="39"/>
        <v>6.0324825986079054</v>
      </c>
      <c r="Q397" s="8">
        <f t="shared" si="40"/>
        <v>6.0324825986079054</v>
      </c>
      <c r="R397" s="8">
        <f t="shared" si="41"/>
        <v>6.0324825986079054</v>
      </c>
    </row>
    <row r="398" spans="1:18" x14ac:dyDescent="0.25">
      <c r="A398" s="7">
        <f t="shared" si="36"/>
        <v>80</v>
      </c>
      <c r="B398" s="2">
        <v>43497</v>
      </c>
      <c r="C398" s="3">
        <v>8.65</v>
      </c>
      <c r="D398" s="3">
        <v>8.65</v>
      </c>
      <c r="E398" s="3">
        <v>8.31</v>
      </c>
      <c r="F398" s="3">
        <v>8.31</v>
      </c>
      <c r="G398" s="3">
        <v>184390</v>
      </c>
      <c r="H398" s="8">
        <f t="shared" si="37"/>
        <v>6.0324825986079054</v>
      </c>
      <c r="I398">
        <f t="shared" si="38"/>
        <v>8.6639999999999997</v>
      </c>
      <c r="J398" s="6" cm="1">
        <f t="array" ref="J398">_xlfn.STDEV.S(IF($A:$A=A398, $F:$F))</f>
        <v>0.32331099579197764</v>
      </c>
      <c r="P398" s="8">
        <f t="shared" si="39"/>
        <v>6.0324825986079054</v>
      </c>
      <c r="Q398" s="8">
        <f t="shared" si="40"/>
        <v>6.0324825986079054</v>
      </c>
      <c r="R398" s="8">
        <f t="shared" si="41"/>
        <v>6.0324825986079054</v>
      </c>
    </row>
    <row r="399" spans="1:18" x14ac:dyDescent="0.25">
      <c r="A399" s="7">
        <f t="shared" si="36"/>
        <v>80</v>
      </c>
      <c r="B399" s="2">
        <v>43507</v>
      </c>
      <c r="C399" s="3">
        <v>8.31</v>
      </c>
      <c r="D399" s="3">
        <v>8.4700000000000006</v>
      </c>
      <c r="E399" s="3">
        <v>8.31</v>
      </c>
      <c r="F399" s="3">
        <v>8.4499999999999993</v>
      </c>
      <c r="G399" s="3">
        <v>172080</v>
      </c>
      <c r="H399" s="8">
        <f t="shared" si="37"/>
        <v>6.0324825986079054</v>
      </c>
      <c r="I399">
        <f t="shared" si="38"/>
        <v>8.6639999999999997</v>
      </c>
      <c r="J399" s="6" cm="1">
        <f t="array" ref="J399">_xlfn.STDEV.S(IF($A:$A=A399, $F:$F))</f>
        <v>0.32331099579197764</v>
      </c>
      <c r="P399" s="8">
        <f t="shared" si="39"/>
        <v>6.0324825986079054</v>
      </c>
      <c r="Q399" s="8">
        <f t="shared" si="40"/>
        <v>6.0324825986079054</v>
      </c>
      <c r="R399" s="8">
        <f t="shared" si="41"/>
        <v>6.0324825986079054</v>
      </c>
    </row>
    <row r="400" spans="1:18" x14ac:dyDescent="0.25">
      <c r="A400" s="7">
        <f t="shared" si="36"/>
        <v>80</v>
      </c>
      <c r="B400" s="2">
        <v>43508</v>
      </c>
      <c r="C400" s="3">
        <v>8.57</v>
      </c>
      <c r="D400" s="3">
        <v>8.98</v>
      </c>
      <c r="E400" s="3">
        <v>8.5</v>
      </c>
      <c r="F400" s="3">
        <v>8.8000000000000007</v>
      </c>
      <c r="G400" s="3">
        <v>287340</v>
      </c>
      <c r="H400" s="8">
        <f t="shared" si="37"/>
        <v>6.0324825986079054</v>
      </c>
      <c r="I400">
        <f t="shared" si="38"/>
        <v>8.6639999999999997</v>
      </c>
      <c r="J400" s="6" cm="1">
        <f t="array" ref="J400">_xlfn.STDEV.S(IF($A:$A=A400, $F:$F))</f>
        <v>0.32331099579197764</v>
      </c>
      <c r="P400" s="8">
        <f t="shared" si="39"/>
        <v>6.0324825986079054</v>
      </c>
      <c r="Q400" s="8">
        <f t="shared" si="40"/>
        <v>6.0324825986079054</v>
      </c>
      <c r="R400" s="8">
        <f t="shared" si="41"/>
        <v>6.0324825986079054</v>
      </c>
    </row>
    <row r="401" spans="1:18" x14ac:dyDescent="0.25">
      <c r="A401" s="7">
        <f t="shared" si="36"/>
        <v>80</v>
      </c>
      <c r="B401" s="2">
        <v>43509</v>
      </c>
      <c r="C401" s="3">
        <v>8.8000000000000007</v>
      </c>
      <c r="D401" s="3">
        <v>9.2899999999999991</v>
      </c>
      <c r="E401" s="3">
        <v>8.8000000000000007</v>
      </c>
      <c r="F401" s="3">
        <v>9.14</v>
      </c>
      <c r="G401" s="3">
        <v>243360</v>
      </c>
      <c r="H401" s="8">
        <f t="shared" si="37"/>
        <v>6.0324825986079054</v>
      </c>
      <c r="I401">
        <f t="shared" si="38"/>
        <v>8.6639999999999997</v>
      </c>
      <c r="J401" s="6" cm="1">
        <f t="array" ref="J401">_xlfn.STDEV.S(IF($A:$A=A401, $F:$F))</f>
        <v>0.32331099579197764</v>
      </c>
      <c r="P401" s="8">
        <f t="shared" si="39"/>
        <v>6.0324825986079054</v>
      </c>
      <c r="Q401" s="8">
        <f t="shared" si="40"/>
        <v>6.0324825986079054</v>
      </c>
      <c r="R401" s="8">
        <f t="shared" si="41"/>
        <v>6.0324825986079054</v>
      </c>
    </row>
    <row r="402" spans="1:18" x14ac:dyDescent="0.25">
      <c r="A402" s="7">
        <f t="shared" si="36"/>
        <v>81</v>
      </c>
      <c r="B402" s="2">
        <v>43510</v>
      </c>
      <c r="C402" s="3">
        <v>9.14</v>
      </c>
      <c r="D402" s="3">
        <v>9.19</v>
      </c>
      <c r="E402" s="3">
        <v>9.0500000000000007</v>
      </c>
      <c r="F402" s="3">
        <v>9.14</v>
      </c>
      <c r="G402" s="3">
        <v>151260</v>
      </c>
      <c r="H402" s="8">
        <f t="shared" si="37"/>
        <v>2.4070021881837946</v>
      </c>
      <c r="I402">
        <f t="shared" si="38"/>
        <v>9.1320000000000014</v>
      </c>
      <c r="J402" s="6" cm="1">
        <f t="array" ref="J402">_xlfn.STDEV.S(IF($A:$A=A402, $F:$F))</f>
        <v>0.15319921670818024</v>
      </c>
      <c r="P402" s="8">
        <f t="shared" si="39"/>
        <v>2.4070021881837946</v>
      </c>
      <c r="Q402" s="8">
        <f t="shared" si="40"/>
        <v>2.4070021881837946</v>
      </c>
      <c r="R402" s="8">
        <f t="shared" si="41"/>
        <v>2.4070021881837946</v>
      </c>
    </row>
    <row r="403" spans="1:18" x14ac:dyDescent="0.25">
      <c r="A403" s="7">
        <f t="shared" si="36"/>
        <v>81</v>
      </c>
      <c r="B403" s="2">
        <v>43511</v>
      </c>
      <c r="C403" s="3">
        <v>9.07</v>
      </c>
      <c r="D403" s="3">
        <v>9.07</v>
      </c>
      <c r="E403" s="3">
        <v>8.84</v>
      </c>
      <c r="F403" s="3">
        <v>8.93</v>
      </c>
      <c r="G403" s="3">
        <v>201720</v>
      </c>
      <c r="H403" s="8">
        <f t="shared" si="37"/>
        <v>2.4070021881837946</v>
      </c>
      <c r="I403">
        <f t="shared" si="38"/>
        <v>9.1320000000000014</v>
      </c>
      <c r="J403" s="6" cm="1">
        <f t="array" ref="J403">_xlfn.STDEV.S(IF($A:$A=A403, $F:$F))</f>
        <v>0.15319921670818024</v>
      </c>
      <c r="P403" s="8">
        <f t="shared" si="39"/>
        <v>2.4070021881837946</v>
      </c>
      <c r="Q403" s="8">
        <f t="shared" si="40"/>
        <v>2.4070021881837946</v>
      </c>
      <c r="R403" s="8">
        <f t="shared" si="41"/>
        <v>2.4070021881837946</v>
      </c>
    </row>
    <row r="404" spans="1:18" x14ac:dyDescent="0.25">
      <c r="A404" s="7">
        <f t="shared" si="36"/>
        <v>81</v>
      </c>
      <c r="B404" s="2">
        <v>43514</v>
      </c>
      <c r="C404" s="3">
        <v>8.9</v>
      </c>
      <c r="D404" s="3">
        <v>9.2100000000000009</v>
      </c>
      <c r="E404" s="3">
        <v>8.8800000000000008</v>
      </c>
      <c r="F404" s="3">
        <v>9.1</v>
      </c>
      <c r="G404" s="3">
        <v>150800</v>
      </c>
      <c r="H404" s="8">
        <f t="shared" si="37"/>
        <v>2.4070021881837946</v>
      </c>
      <c r="I404">
        <f t="shared" si="38"/>
        <v>9.1320000000000014</v>
      </c>
      <c r="J404" s="6" cm="1">
        <f t="array" ref="J404">_xlfn.STDEV.S(IF($A:$A=A404, $F:$F))</f>
        <v>0.15319921670818024</v>
      </c>
      <c r="P404" s="8">
        <f t="shared" si="39"/>
        <v>2.4070021881837946</v>
      </c>
      <c r="Q404" s="8">
        <f t="shared" si="40"/>
        <v>2.4070021881837946</v>
      </c>
      <c r="R404" s="8">
        <f t="shared" si="41"/>
        <v>2.4070021881837946</v>
      </c>
    </row>
    <row r="405" spans="1:18" x14ac:dyDescent="0.25">
      <c r="A405" s="7">
        <f t="shared" si="36"/>
        <v>81</v>
      </c>
      <c r="B405" s="2">
        <v>43515</v>
      </c>
      <c r="C405" s="3">
        <v>9.07</v>
      </c>
      <c r="D405" s="3">
        <v>9.24</v>
      </c>
      <c r="E405" s="3">
        <v>9.07</v>
      </c>
      <c r="F405" s="3">
        <v>9.1300000000000008</v>
      </c>
      <c r="G405" s="3">
        <v>183760</v>
      </c>
      <c r="H405" s="8">
        <f t="shared" si="37"/>
        <v>2.4070021881837946</v>
      </c>
      <c r="I405">
        <f t="shared" si="38"/>
        <v>9.1320000000000014</v>
      </c>
      <c r="J405" s="6" cm="1">
        <f t="array" ref="J405">_xlfn.STDEV.S(IF($A:$A=A405, $F:$F))</f>
        <v>0.15319921670818024</v>
      </c>
      <c r="P405" s="8">
        <f t="shared" si="39"/>
        <v>2.4070021881837946</v>
      </c>
      <c r="Q405" s="8">
        <f t="shared" si="40"/>
        <v>2.4070021881837946</v>
      </c>
      <c r="R405" s="8">
        <f t="shared" si="41"/>
        <v>2.4070021881837946</v>
      </c>
    </row>
    <row r="406" spans="1:18" x14ac:dyDescent="0.25">
      <c r="A406" s="7">
        <f t="shared" si="36"/>
        <v>81</v>
      </c>
      <c r="B406" s="2">
        <v>43516</v>
      </c>
      <c r="C406" s="3">
        <v>9.18</v>
      </c>
      <c r="D406" s="3">
        <v>9.41</v>
      </c>
      <c r="E406" s="3">
        <v>9.14</v>
      </c>
      <c r="F406" s="3">
        <v>9.36</v>
      </c>
      <c r="G406" s="3">
        <v>206060</v>
      </c>
      <c r="H406" s="8">
        <f t="shared" si="37"/>
        <v>2.4070021881837946</v>
      </c>
      <c r="I406">
        <f t="shared" si="38"/>
        <v>9.1320000000000014</v>
      </c>
      <c r="J406" s="6" cm="1">
        <f t="array" ref="J406">_xlfn.STDEV.S(IF($A:$A=A406, $F:$F))</f>
        <v>0.15319921670818024</v>
      </c>
      <c r="P406" s="8">
        <f t="shared" si="39"/>
        <v>2.4070021881837946</v>
      </c>
      <c r="Q406" s="8">
        <f t="shared" si="40"/>
        <v>2.4070021881837946</v>
      </c>
      <c r="R406" s="8">
        <f t="shared" si="41"/>
        <v>2.4070021881837946</v>
      </c>
    </row>
    <row r="407" spans="1:18" x14ac:dyDescent="0.25">
      <c r="A407" s="7">
        <f t="shared" si="36"/>
        <v>82</v>
      </c>
      <c r="B407" s="2">
        <v>43517</v>
      </c>
      <c r="C407" s="3">
        <v>9.39</v>
      </c>
      <c r="D407" s="3">
        <v>9.43</v>
      </c>
      <c r="E407" s="3">
        <v>9.24</v>
      </c>
      <c r="F407" s="3">
        <v>9.39</v>
      </c>
      <c r="G407" s="3">
        <v>261420</v>
      </c>
      <c r="H407" s="8">
        <f t="shared" si="37"/>
        <v>8.3067092651757122</v>
      </c>
      <c r="I407">
        <f t="shared" si="38"/>
        <v>9.7880000000000003</v>
      </c>
      <c r="J407" s="6" cm="1">
        <f t="array" ref="J407">_xlfn.STDEV.S(IF($A:$A=A407, $F:$F))</f>
        <v>0.31451550041293636</v>
      </c>
      <c r="P407" s="8">
        <f t="shared" si="39"/>
        <v>8.3067092651757122</v>
      </c>
      <c r="Q407" s="8">
        <f t="shared" si="40"/>
        <v>8.3067092651757122</v>
      </c>
      <c r="R407" s="8">
        <f t="shared" si="41"/>
        <v>8.3067092651757122</v>
      </c>
    </row>
    <row r="408" spans="1:18" x14ac:dyDescent="0.25">
      <c r="A408" s="7">
        <f t="shared" si="36"/>
        <v>82</v>
      </c>
      <c r="B408" s="2">
        <v>43518</v>
      </c>
      <c r="C408" s="3">
        <v>9.36</v>
      </c>
      <c r="D408" s="3">
        <v>9.64</v>
      </c>
      <c r="E408" s="3">
        <v>9.2899999999999991</v>
      </c>
      <c r="F408" s="3">
        <v>9.5500000000000007</v>
      </c>
      <c r="G408" s="3">
        <v>125750</v>
      </c>
      <c r="H408" s="8">
        <f t="shared" si="37"/>
        <v>8.3067092651757122</v>
      </c>
      <c r="I408">
        <f t="shared" si="38"/>
        <v>9.7880000000000003</v>
      </c>
      <c r="J408" s="6" cm="1">
        <f t="array" ref="J408">_xlfn.STDEV.S(IF($A:$A=A408, $F:$F))</f>
        <v>0.31451550041293636</v>
      </c>
      <c r="P408" s="8">
        <f t="shared" si="39"/>
        <v>8.3067092651757122</v>
      </c>
      <c r="Q408" s="8">
        <f t="shared" si="40"/>
        <v>8.3067092651757122</v>
      </c>
      <c r="R408" s="8">
        <f t="shared" si="41"/>
        <v>8.3067092651757122</v>
      </c>
    </row>
    <row r="409" spans="1:18" x14ac:dyDescent="0.25">
      <c r="A409" s="7">
        <f t="shared" si="36"/>
        <v>82</v>
      </c>
      <c r="B409" s="2">
        <v>43521</v>
      </c>
      <c r="C409" s="3">
        <v>9.5500000000000007</v>
      </c>
      <c r="D409" s="3">
        <v>9.91</v>
      </c>
      <c r="E409" s="3">
        <v>9.5500000000000007</v>
      </c>
      <c r="F409" s="3">
        <v>9.8800000000000008</v>
      </c>
      <c r="G409" s="3">
        <v>595820</v>
      </c>
      <c r="H409" s="8">
        <f t="shared" si="37"/>
        <v>8.3067092651757122</v>
      </c>
      <c r="I409">
        <f t="shared" si="38"/>
        <v>9.7880000000000003</v>
      </c>
      <c r="J409" s="6" cm="1">
        <f t="array" ref="J409">_xlfn.STDEV.S(IF($A:$A=A409, $F:$F))</f>
        <v>0.31451550041293636</v>
      </c>
      <c r="P409" s="8">
        <f t="shared" si="39"/>
        <v>8.3067092651757122</v>
      </c>
      <c r="Q409" s="8">
        <f t="shared" si="40"/>
        <v>8.3067092651757122</v>
      </c>
      <c r="R409" s="8">
        <f t="shared" si="41"/>
        <v>8.3067092651757122</v>
      </c>
    </row>
    <row r="410" spans="1:18" x14ac:dyDescent="0.25">
      <c r="A410" s="7">
        <f t="shared" si="36"/>
        <v>82</v>
      </c>
      <c r="B410" s="2">
        <v>43522</v>
      </c>
      <c r="C410" s="3">
        <v>10</v>
      </c>
      <c r="D410" s="3">
        <v>10.039999999999999</v>
      </c>
      <c r="E410" s="3">
        <v>9.81</v>
      </c>
      <c r="F410" s="3">
        <v>9.9499999999999993</v>
      </c>
      <c r="G410" s="3">
        <v>311650</v>
      </c>
      <c r="H410" s="8">
        <f t="shared" si="37"/>
        <v>8.3067092651757122</v>
      </c>
      <c r="I410">
        <f t="shared" si="38"/>
        <v>9.7880000000000003</v>
      </c>
      <c r="J410" s="6" cm="1">
        <f t="array" ref="J410">_xlfn.STDEV.S(IF($A:$A=A410, $F:$F))</f>
        <v>0.31451550041293636</v>
      </c>
      <c r="P410" s="8">
        <f t="shared" si="39"/>
        <v>8.3067092651757122</v>
      </c>
      <c r="Q410" s="8">
        <f t="shared" si="40"/>
        <v>8.3067092651757122</v>
      </c>
      <c r="R410" s="8">
        <f t="shared" si="41"/>
        <v>8.3067092651757122</v>
      </c>
    </row>
    <row r="411" spans="1:18" x14ac:dyDescent="0.25">
      <c r="A411" s="7">
        <f t="shared" si="36"/>
        <v>82</v>
      </c>
      <c r="B411" s="2">
        <v>43523</v>
      </c>
      <c r="C411" s="3">
        <v>9.9499999999999993</v>
      </c>
      <c r="D411" s="3">
        <v>10.17</v>
      </c>
      <c r="E411" s="3">
        <v>9.91</v>
      </c>
      <c r="F411" s="3">
        <v>10.17</v>
      </c>
      <c r="G411" s="3">
        <v>128650</v>
      </c>
      <c r="H411" s="8">
        <f t="shared" si="37"/>
        <v>8.3067092651757122</v>
      </c>
      <c r="I411">
        <f t="shared" si="38"/>
        <v>9.7880000000000003</v>
      </c>
      <c r="J411" s="6" cm="1">
        <f t="array" ref="J411">_xlfn.STDEV.S(IF($A:$A=A411, $F:$F))</f>
        <v>0.31451550041293636</v>
      </c>
      <c r="P411" s="8">
        <f t="shared" si="39"/>
        <v>8.3067092651757122</v>
      </c>
      <c r="Q411" s="8">
        <f t="shared" si="40"/>
        <v>8.3067092651757122</v>
      </c>
      <c r="R411" s="8">
        <f t="shared" si="41"/>
        <v>8.3067092651757122</v>
      </c>
    </row>
    <row r="412" spans="1:18" x14ac:dyDescent="0.25">
      <c r="A412" s="7">
        <f t="shared" si="36"/>
        <v>83</v>
      </c>
      <c r="B412" s="2">
        <v>43524</v>
      </c>
      <c r="C412" s="3">
        <v>10.029999999999999</v>
      </c>
      <c r="D412" s="3">
        <v>10.5</v>
      </c>
      <c r="E412" s="3">
        <v>9.9700000000000006</v>
      </c>
      <c r="F412" s="3">
        <v>10.5</v>
      </c>
      <c r="G412" s="3">
        <v>378330</v>
      </c>
      <c r="H412" s="8">
        <f t="shared" si="37"/>
        <v>-2.000000000000008</v>
      </c>
      <c r="I412">
        <f t="shared" si="38"/>
        <v>10.404</v>
      </c>
      <c r="J412" s="6" cm="1">
        <f t="array" ref="J412">_xlfn.STDEV.S(IF($A:$A=A412, $F:$F))</f>
        <v>9.3434469014384874E-2</v>
      </c>
      <c r="P412" s="8">
        <f t="shared" si="39"/>
        <v>-2.000000000000008</v>
      </c>
      <c r="Q412" s="8">
        <f t="shared" si="40"/>
        <v>-2.000000000000008</v>
      </c>
      <c r="R412" s="8">
        <f t="shared" si="41"/>
        <v>-2.000000000000008</v>
      </c>
    </row>
    <row r="413" spans="1:18" x14ac:dyDescent="0.25">
      <c r="A413" s="7">
        <f t="shared" si="36"/>
        <v>83</v>
      </c>
      <c r="B413" s="2">
        <v>43525</v>
      </c>
      <c r="C413" s="3">
        <v>10.48</v>
      </c>
      <c r="D413" s="3">
        <v>10.58</v>
      </c>
      <c r="E413" s="3">
        <v>10.26</v>
      </c>
      <c r="F413" s="3">
        <v>10.5</v>
      </c>
      <c r="G413" s="3">
        <v>56990</v>
      </c>
      <c r="H413" s="8">
        <f t="shared" si="37"/>
        <v>-2.000000000000008</v>
      </c>
      <c r="I413">
        <f t="shared" si="38"/>
        <v>10.404</v>
      </c>
      <c r="J413" s="6" cm="1">
        <f t="array" ref="J413">_xlfn.STDEV.S(IF($A:$A=A413, $F:$F))</f>
        <v>9.3434469014384874E-2</v>
      </c>
      <c r="P413" s="8">
        <f t="shared" si="39"/>
        <v>-2.000000000000008</v>
      </c>
      <c r="Q413" s="8">
        <f t="shared" si="40"/>
        <v>-2.000000000000008</v>
      </c>
      <c r="R413" s="8">
        <f t="shared" si="41"/>
        <v>-2.000000000000008</v>
      </c>
    </row>
    <row r="414" spans="1:18" x14ac:dyDescent="0.25">
      <c r="A414" s="7">
        <f t="shared" si="36"/>
        <v>83</v>
      </c>
      <c r="B414" s="2">
        <v>43528</v>
      </c>
      <c r="C414" s="3">
        <v>10.5</v>
      </c>
      <c r="D414" s="3">
        <v>10.53</v>
      </c>
      <c r="E414" s="3">
        <v>10.38</v>
      </c>
      <c r="F414" s="3">
        <v>10.38</v>
      </c>
      <c r="G414" s="3">
        <v>217040</v>
      </c>
      <c r="H414" s="8">
        <f t="shared" si="37"/>
        <v>-2.000000000000008</v>
      </c>
      <c r="I414">
        <f t="shared" si="38"/>
        <v>10.404</v>
      </c>
      <c r="J414" s="6" cm="1">
        <f t="array" ref="J414">_xlfn.STDEV.S(IF($A:$A=A414, $F:$F))</f>
        <v>9.3434469014384874E-2</v>
      </c>
      <c r="P414" s="8">
        <f t="shared" si="39"/>
        <v>-2.000000000000008</v>
      </c>
      <c r="Q414" s="8">
        <f t="shared" si="40"/>
        <v>-2.000000000000008</v>
      </c>
      <c r="R414" s="8">
        <f t="shared" si="41"/>
        <v>-2.000000000000008</v>
      </c>
    </row>
    <row r="415" spans="1:18" x14ac:dyDescent="0.25">
      <c r="A415" s="7">
        <f t="shared" si="36"/>
        <v>83</v>
      </c>
      <c r="B415" s="2">
        <v>43529</v>
      </c>
      <c r="C415" s="3">
        <v>10.38</v>
      </c>
      <c r="D415" s="3">
        <v>10.5</v>
      </c>
      <c r="E415" s="3">
        <v>10.34</v>
      </c>
      <c r="F415" s="3">
        <v>10.35</v>
      </c>
      <c r="G415" s="3">
        <v>105270</v>
      </c>
      <c r="H415" s="8">
        <f t="shared" si="37"/>
        <v>-2.000000000000008</v>
      </c>
      <c r="I415">
        <f t="shared" si="38"/>
        <v>10.404</v>
      </c>
      <c r="J415" s="6" cm="1">
        <f t="array" ref="J415">_xlfn.STDEV.S(IF($A:$A=A415, $F:$F))</f>
        <v>9.3434469014384874E-2</v>
      </c>
      <c r="P415" s="8">
        <f t="shared" si="39"/>
        <v>-2.000000000000008</v>
      </c>
      <c r="Q415" s="8">
        <f t="shared" si="40"/>
        <v>-2.000000000000008</v>
      </c>
      <c r="R415" s="8">
        <f t="shared" si="41"/>
        <v>-2.000000000000008</v>
      </c>
    </row>
    <row r="416" spans="1:18" x14ac:dyDescent="0.25">
      <c r="A416" s="7">
        <f t="shared" si="36"/>
        <v>83</v>
      </c>
      <c r="B416" s="2">
        <v>43530</v>
      </c>
      <c r="C416" s="3">
        <v>10.24</v>
      </c>
      <c r="D416" s="3">
        <v>10.35</v>
      </c>
      <c r="E416" s="3">
        <v>10.220000000000001</v>
      </c>
      <c r="F416" s="3">
        <v>10.29</v>
      </c>
      <c r="G416" s="3">
        <v>147870</v>
      </c>
      <c r="H416" s="8">
        <f t="shared" si="37"/>
        <v>-2.000000000000008</v>
      </c>
      <c r="I416">
        <f t="shared" si="38"/>
        <v>10.404</v>
      </c>
      <c r="J416" s="6" cm="1">
        <f t="array" ref="J416">_xlfn.STDEV.S(IF($A:$A=A416, $F:$F))</f>
        <v>9.3434469014384874E-2</v>
      </c>
      <c r="P416" s="8">
        <f t="shared" si="39"/>
        <v>-2.000000000000008</v>
      </c>
      <c r="Q416" s="8">
        <f t="shared" si="40"/>
        <v>-2.000000000000008</v>
      </c>
      <c r="R416" s="8">
        <f t="shared" si="41"/>
        <v>-2.000000000000008</v>
      </c>
    </row>
    <row r="417" spans="1:18" x14ac:dyDescent="0.25">
      <c r="A417" s="7">
        <f t="shared" si="36"/>
        <v>84</v>
      </c>
      <c r="B417" s="2">
        <v>43531</v>
      </c>
      <c r="C417" s="3">
        <v>10.29</v>
      </c>
      <c r="D417" s="3">
        <v>10.38</v>
      </c>
      <c r="E417" s="3">
        <v>10.15</v>
      </c>
      <c r="F417" s="3">
        <v>10.38</v>
      </c>
      <c r="G417" s="3">
        <v>74940</v>
      </c>
      <c r="H417" s="8">
        <f t="shared" si="37"/>
        <v>-2.986512524084783</v>
      </c>
      <c r="I417">
        <f t="shared" si="38"/>
        <v>10.129999999999999</v>
      </c>
      <c r="J417" s="6" cm="1">
        <f t="array" ref="J417">_xlfn.STDEV.S(IF($A:$A=A417, $F:$F))</f>
        <v>0.17073371078963936</v>
      </c>
      <c r="P417" s="8">
        <f t="shared" si="39"/>
        <v>-2.986512524084783</v>
      </c>
      <c r="Q417" s="8">
        <f t="shared" si="40"/>
        <v>-2.986512524084783</v>
      </c>
      <c r="R417" s="8">
        <f t="shared" si="41"/>
        <v>-2.986512524084783</v>
      </c>
    </row>
    <row r="418" spans="1:18" x14ac:dyDescent="0.25">
      <c r="A418" s="7">
        <f t="shared" si="36"/>
        <v>84</v>
      </c>
      <c r="B418" s="2">
        <v>43532</v>
      </c>
      <c r="C418" s="3">
        <v>10.29</v>
      </c>
      <c r="D418" s="3">
        <v>10.38</v>
      </c>
      <c r="E418" s="3">
        <v>10.17</v>
      </c>
      <c r="F418" s="3">
        <v>10.220000000000001</v>
      </c>
      <c r="G418" s="3">
        <v>65280</v>
      </c>
      <c r="H418" s="8">
        <f t="shared" si="37"/>
        <v>-2.986512524084783</v>
      </c>
      <c r="I418">
        <f t="shared" si="38"/>
        <v>10.129999999999999</v>
      </c>
      <c r="J418" s="6" cm="1">
        <f t="array" ref="J418">_xlfn.STDEV.S(IF($A:$A=A418, $F:$F))</f>
        <v>0.17073371078963936</v>
      </c>
      <c r="P418" s="8">
        <f t="shared" si="39"/>
        <v>-2.986512524084783</v>
      </c>
      <c r="Q418" s="8">
        <f t="shared" si="40"/>
        <v>-2.986512524084783</v>
      </c>
      <c r="R418" s="8">
        <f t="shared" si="41"/>
        <v>-2.986512524084783</v>
      </c>
    </row>
    <row r="419" spans="1:18" x14ac:dyDescent="0.25">
      <c r="A419" s="7">
        <f t="shared" si="36"/>
        <v>84</v>
      </c>
      <c r="B419" s="2">
        <v>43535</v>
      </c>
      <c r="C419" s="3">
        <v>10.220000000000001</v>
      </c>
      <c r="D419" s="3">
        <v>10.24</v>
      </c>
      <c r="E419" s="3">
        <v>9.9499999999999993</v>
      </c>
      <c r="F419" s="3">
        <v>9.9499999999999993</v>
      </c>
      <c r="G419" s="3">
        <v>229630</v>
      </c>
      <c r="H419" s="8">
        <f t="shared" si="37"/>
        <v>-2.986512524084783</v>
      </c>
      <c r="I419">
        <f t="shared" si="38"/>
        <v>10.129999999999999</v>
      </c>
      <c r="J419" s="6" cm="1">
        <f t="array" ref="J419">_xlfn.STDEV.S(IF($A:$A=A419, $F:$F))</f>
        <v>0.17073371078963936</v>
      </c>
      <c r="P419" s="8">
        <f t="shared" si="39"/>
        <v>-2.986512524084783</v>
      </c>
      <c r="Q419" s="8">
        <f t="shared" si="40"/>
        <v>-2.986512524084783</v>
      </c>
      <c r="R419" s="8">
        <f t="shared" si="41"/>
        <v>-2.986512524084783</v>
      </c>
    </row>
    <row r="420" spans="1:18" x14ac:dyDescent="0.25">
      <c r="A420" s="7">
        <f t="shared" si="36"/>
        <v>84</v>
      </c>
      <c r="B420" s="2">
        <v>43536</v>
      </c>
      <c r="C420" s="3">
        <v>10.029999999999999</v>
      </c>
      <c r="D420" s="3">
        <v>10.15</v>
      </c>
      <c r="E420" s="3">
        <v>9.84</v>
      </c>
      <c r="F420" s="3">
        <v>10.029999999999999</v>
      </c>
      <c r="G420" s="3">
        <v>129990</v>
      </c>
      <c r="H420" s="8">
        <f t="shared" si="37"/>
        <v>-2.986512524084783</v>
      </c>
      <c r="I420">
        <f t="shared" si="38"/>
        <v>10.129999999999999</v>
      </c>
      <c r="J420" s="6" cm="1">
        <f t="array" ref="J420">_xlfn.STDEV.S(IF($A:$A=A420, $F:$F))</f>
        <v>0.17073371078963936</v>
      </c>
      <c r="P420" s="8">
        <f t="shared" si="39"/>
        <v>-2.986512524084783</v>
      </c>
      <c r="Q420" s="8">
        <f t="shared" si="40"/>
        <v>-2.986512524084783</v>
      </c>
      <c r="R420" s="8">
        <f t="shared" si="41"/>
        <v>-2.986512524084783</v>
      </c>
    </row>
    <row r="421" spans="1:18" x14ac:dyDescent="0.25">
      <c r="A421" s="7">
        <f t="shared" si="36"/>
        <v>84</v>
      </c>
      <c r="B421" s="2">
        <v>43537</v>
      </c>
      <c r="C421" s="3">
        <v>10.15</v>
      </c>
      <c r="D421" s="3">
        <v>10.38</v>
      </c>
      <c r="E421" s="3">
        <v>10.029999999999999</v>
      </c>
      <c r="F421" s="3">
        <v>10.07</v>
      </c>
      <c r="G421" s="3">
        <v>163690</v>
      </c>
      <c r="H421" s="8">
        <f t="shared" si="37"/>
        <v>-2.986512524084783</v>
      </c>
      <c r="I421">
        <f t="shared" si="38"/>
        <v>10.129999999999999</v>
      </c>
      <c r="J421" s="6" cm="1">
        <f t="array" ref="J421">_xlfn.STDEV.S(IF($A:$A=A421, $F:$F))</f>
        <v>0.17073371078963936</v>
      </c>
      <c r="P421" s="8">
        <f t="shared" si="39"/>
        <v>-2.986512524084783</v>
      </c>
      <c r="Q421" s="8">
        <f t="shared" si="40"/>
        <v>-2.986512524084783</v>
      </c>
      <c r="R421" s="8">
        <f t="shared" si="41"/>
        <v>-2.986512524084783</v>
      </c>
    </row>
    <row r="422" spans="1:18" x14ac:dyDescent="0.25">
      <c r="A422" s="7">
        <f t="shared" si="36"/>
        <v>85</v>
      </c>
      <c r="B422" s="2">
        <v>43538</v>
      </c>
      <c r="C422" s="3">
        <v>10.06</v>
      </c>
      <c r="D422" s="3">
        <v>10.119999999999999</v>
      </c>
      <c r="E422" s="3">
        <v>10</v>
      </c>
      <c r="F422" s="3">
        <v>10</v>
      </c>
      <c r="G422" s="3">
        <v>80610</v>
      </c>
      <c r="H422" s="8">
        <f t="shared" si="37"/>
        <v>-3.3000000000000007</v>
      </c>
      <c r="I422">
        <f t="shared" si="38"/>
        <v>9.7840000000000007</v>
      </c>
      <c r="J422" s="6" cm="1">
        <f t="array" ref="J422">_xlfn.STDEV.S(IF($A:$A=A422, $F:$F))</f>
        <v>0.1348332303254654</v>
      </c>
      <c r="P422" s="8">
        <f t="shared" si="39"/>
        <v>-3.3000000000000007</v>
      </c>
      <c r="Q422" s="8">
        <f t="shared" si="40"/>
        <v>-3.3000000000000007</v>
      </c>
      <c r="R422" s="8">
        <f t="shared" si="41"/>
        <v>-3.3000000000000007</v>
      </c>
    </row>
    <row r="423" spans="1:18" x14ac:dyDescent="0.25">
      <c r="A423" s="7">
        <f t="shared" si="36"/>
        <v>85</v>
      </c>
      <c r="B423" s="2">
        <v>43539</v>
      </c>
      <c r="C423" s="3">
        <v>9.93</v>
      </c>
      <c r="D423" s="3">
        <v>9.98</v>
      </c>
      <c r="E423" s="3">
        <v>9.76</v>
      </c>
      <c r="F423" s="3">
        <v>9.7899999999999991</v>
      </c>
      <c r="G423" s="3">
        <v>74680</v>
      </c>
      <c r="H423" s="8">
        <f t="shared" si="37"/>
        <v>-3.3000000000000007</v>
      </c>
      <c r="I423">
        <f t="shared" si="38"/>
        <v>9.7840000000000007</v>
      </c>
      <c r="J423" s="6" cm="1">
        <f t="array" ref="J423">_xlfn.STDEV.S(IF($A:$A=A423, $F:$F))</f>
        <v>0.1348332303254654</v>
      </c>
      <c r="P423" s="8">
        <f t="shared" si="39"/>
        <v>-3.3000000000000007</v>
      </c>
      <c r="Q423" s="8">
        <f t="shared" si="40"/>
        <v>-3.3000000000000007</v>
      </c>
      <c r="R423" s="8">
        <f t="shared" si="41"/>
        <v>-3.3000000000000007</v>
      </c>
    </row>
    <row r="424" spans="1:18" x14ac:dyDescent="0.25">
      <c r="A424" s="7">
        <f t="shared" si="36"/>
        <v>85</v>
      </c>
      <c r="B424" s="2">
        <v>43542</v>
      </c>
      <c r="C424" s="3">
        <v>10</v>
      </c>
      <c r="D424" s="3">
        <v>10</v>
      </c>
      <c r="E424" s="3">
        <v>9.64</v>
      </c>
      <c r="F424" s="3">
        <v>9.67</v>
      </c>
      <c r="G424" s="3">
        <v>171300</v>
      </c>
      <c r="H424" s="8">
        <f t="shared" si="37"/>
        <v>-3.3000000000000007</v>
      </c>
      <c r="I424">
        <f t="shared" si="38"/>
        <v>9.7840000000000007</v>
      </c>
      <c r="J424" s="6" cm="1">
        <f t="array" ref="J424">_xlfn.STDEV.S(IF($A:$A=A424, $F:$F))</f>
        <v>0.1348332303254654</v>
      </c>
      <c r="P424" s="8">
        <f t="shared" si="39"/>
        <v>-3.3000000000000007</v>
      </c>
      <c r="Q424" s="8">
        <f t="shared" si="40"/>
        <v>-3.3000000000000007</v>
      </c>
      <c r="R424" s="8">
        <f t="shared" si="41"/>
        <v>-3.3000000000000007</v>
      </c>
    </row>
    <row r="425" spans="1:18" x14ac:dyDescent="0.25">
      <c r="A425" s="7">
        <f t="shared" si="36"/>
        <v>85</v>
      </c>
      <c r="B425" s="2">
        <v>43543</v>
      </c>
      <c r="C425" s="3">
        <v>9.67</v>
      </c>
      <c r="D425" s="3">
        <v>9.7899999999999991</v>
      </c>
      <c r="E425" s="3">
        <v>9.6199999999999992</v>
      </c>
      <c r="F425" s="3">
        <v>9.7899999999999991</v>
      </c>
      <c r="G425" s="3">
        <v>143070</v>
      </c>
      <c r="H425" s="8">
        <f t="shared" si="37"/>
        <v>-3.3000000000000007</v>
      </c>
      <c r="I425">
        <f t="shared" si="38"/>
        <v>9.7840000000000007</v>
      </c>
      <c r="J425" s="6" cm="1">
        <f t="array" ref="J425">_xlfn.STDEV.S(IF($A:$A=A425, $F:$F))</f>
        <v>0.1348332303254654</v>
      </c>
      <c r="P425" s="8">
        <f t="shared" si="39"/>
        <v>-3.3000000000000007</v>
      </c>
      <c r="Q425" s="8">
        <f t="shared" si="40"/>
        <v>-3.3000000000000007</v>
      </c>
      <c r="R425" s="8">
        <f t="shared" si="41"/>
        <v>-3.3000000000000007</v>
      </c>
    </row>
    <row r="426" spans="1:18" x14ac:dyDescent="0.25">
      <c r="A426" s="7">
        <f t="shared" si="36"/>
        <v>85</v>
      </c>
      <c r="B426" s="2">
        <v>43544</v>
      </c>
      <c r="C426" s="3">
        <v>9.7899999999999991</v>
      </c>
      <c r="D426" s="3">
        <v>9.7899999999999991</v>
      </c>
      <c r="E426" s="3">
        <v>9.57</v>
      </c>
      <c r="F426" s="3">
        <v>9.67</v>
      </c>
      <c r="G426" s="3">
        <v>99400</v>
      </c>
      <c r="H426" s="8">
        <f t="shared" si="37"/>
        <v>-3.3000000000000007</v>
      </c>
      <c r="I426">
        <f t="shared" si="38"/>
        <v>9.7840000000000007</v>
      </c>
      <c r="J426" s="6" cm="1">
        <f t="array" ref="J426">_xlfn.STDEV.S(IF($A:$A=A426, $F:$F))</f>
        <v>0.1348332303254654</v>
      </c>
      <c r="P426" s="8">
        <f t="shared" si="39"/>
        <v>-3.3000000000000007</v>
      </c>
      <c r="Q426" s="8">
        <f t="shared" si="40"/>
        <v>-3.3000000000000007</v>
      </c>
      <c r="R426" s="8">
        <f t="shared" si="41"/>
        <v>-3.3000000000000007</v>
      </c>
    </row>
    <row r="427" spans="1:18" x14ac:dyDescent="0.25">
      <c r="A427" s="7">
        <f t="shared" si="36"/>
        <v>86</v>
      </c>
      <c r="B427" s="2">
        <v>43545</v>
      </c>
      <c r="C427" s="3">
        <v>9.67</v>
      </c>
      <c r="D427" s="3">
        <v>9.7899999999999991</v>
      </c>
      <c r="E427" s="3">
        <v>9.6199999999999992</v>
      </c>
      <c r="F427" s="3">
        <v>9.6199999999999992</v>
      </c>
      <c r="G427" s="3">
        <v>65530</v>
      </c>
      <c r="H427" s="8">
        <f t="shared" si="37"/>
        <v>-4.4698544698544671</v>
      </c>
      <c r="I427">
        <f t="shared" si="38"/>
        <v>9.2759999999999998</v>
      </c>
      <c r="J427" s="6" cm="1">
        <f t="array" ref="J427">_xlfn.STDEV.S(IF($A:$A=A427, $F:$F))</f>
        <v>0.2713484844254706</v>
      </c>
      <c r="P427" s="8">
        <f t="shared" si="39"/>
        <v>-4.4698544698544671</v>
      </c>
      <c r="Q427" s="8">
        <f t="shared" si="40"/>
        <v>-4.4698544698544671</v>
      </c>
      <c r="R427" s="8">
        <f t="shared" si="41"/>
        <v>-4.4698544698544671</v>
      </c>
    </row>
    <row r="428" spans="1:18" x14ac:dyDescent="0.25">
      <c r="A428" s="7">
        <f t="shared" si="36"/>
        <v>86</v>
      </c>
      <c r="B428" s="2">
        <v>43546</v>
      </c>
      <c r="C428" s="3">
        <v>9.64</v>
      </c>
      <c r="D428" s="3">
        <v>9.64</v>
      </c>
      <c r="E428" s="3">
        <v>9.43</v>
      </c>
      <c r="F428" s="3">
        <v>9.5</v>
      </c>
      <c r="G428" s="3">
        <v>61580</v>
      </c>
      <c r="H428" s="8">
        <f t="shared" si="37"/>
        <v>-4.4698544698544671</v>
      </c>
      <c r="I428">
        <f t="shared" si="38"/>
        <v>9.2759999999999998</v>
      </c>
      <c r="J428" s="6" cm="1">
        <f t="array" ref="J428">_xlfn.STDEV.S(IF($A:$A=A428, $F:$F))</f>
        <v>0.2713484844254706</v>
      </c>
      <c r="P428" s="8">
        <f t="shared" si="39"/>
        <v>-4.4698544698544671</v>
      </c>
      <c r="Q428" s="8">
        <f t="shared" si="40"/>
        <v>-4.4698544698544671</v>
      </c>
      <c r="R428" s="8">
        <f t="shared" si="41"/>
        <v>-4.4698544698544671</v>
      </c>
    </row>
    <row r="429" spans="1:18" x14ac:dyDescent="0.25">
      <c r="A429" s="7">
        <f t="shared" si="36"/>
        <v>86</v>
      </c>
      <c r="B429" s="2">
        <v>43549</v>
      </c>
      <c r="C429" s="3">
        <v>9.31</v>
      </c>
      <c r="D429" s="3">
        <v>9.31</v>
      </c>
      <c r="E429" s="3">
        <v>9</v>
      </c>
      <c r="F429" s="3">
        <v>9</v>
      </c>
      <c r="G429" s="3">
        <v>147580</v>
      </c>
      <c r="H429" s="8">
        <f t="shared" si="37"/>
        <v>-4.4698544698544671</v>
      </c>
      <c r="I429">
        <f t="shared" si="38"/>
        <v>9.2759999999999998</v>
      </c>
      <c r="J429" s="6" cm="1">
        <f t="array" ref="J429">_xlfn.STDEV.S(IF($A:$A=A429, $F:$F))</f>
        <v>0.2713484844254706</v>
      </c>
      <c r="P429" s="8">
        <f t="shared" si="39"/>
        <v>-4.4698544698544671</v>
      </c>
      <c r="Q429" s="8">
        <f t="shared" si="40"/>
        <v>-4.4698544698544671</v>
      </c>
      <c r="R429" s="8">
        <f t="shared" si="41"/>
        <v>-4.4698544698544671</v>
      </c>
    </row>
    <row r="430" spans="1:18" x14ac:dyDescent="0.25">
      <c r="A430" s="7">
        <f t="shared" si="36"/>
        <v>86</v>
      </c>
      <c r="B430" s="2">
        <v>43550</v>
      </c>
      <c r="C430" s="3">
        <v>9.18</v>
      </c>
      <c r="D430" s="3">
        <v>9.19</v>
      </c>
      <c r="E430" s="3">
        <v>9.0500000000000007</v>
      </c>
      <c r="F430" s="3">
        <v>9.07</v>
      </c>
      <c r="G430" s="3">
        <v>81510</v>
      </c>
      <c r="H430" s="8">
        <f t="shared" si="37"/>
        <v>-4.4698544698544671</v>
      </c>
      <c r="I430">
        <f t="shared" si="38"/>
        <v>9.2759999999999998</v>
      </c>
      <c r="J430" s="6" cm="1">
        <f t="array" ref="J430">_xlfn.STDEV.S(IF($A:$A=A430, $F:$F))</f>
        <v>0.2713484844254706</v>
      </c>
      <c r="P430" s="8">
        <f t="shared" si="39"/>
        <v>-4.4698544698544671</v>
      </c>
      <c r="Q430" s="8">
        <f t="shared" si="40"/>
        <v>-4.4698544698544671</v>
      </c>
      <c r="R430" s="8">
        <f t="shared" si="41"/>
        <v>-4.4698544698544671</v>
      </c>
    </row>
    <row r="431" spans="1:18" x14ac:dyDescent="0.25">
      <c r="A431" s="7">
        <f t="shared" si="36"/>
        <v>86</v>
      </c>
      <c r="B431" s="2">
        <v>43551</v>
      </c>
      <c r="C431" s="3">
        <v>9.1199999999999992</v>
      </c>
      <c r="D431" s="3">
        <v>9.24</v>
      </c>
      <c r="E431" s="3">
        <v>9.1199999999999992</v>
      </c>
      <c r="F431" s="3">
        <v>9.19</v>
      </c>
      <c r="G431" s="3">
        <v>50030</v>
      </c>
      <c r="H431" s="8">
        <f t="shared" si="37"/>
        <v>-4.4698544698544671</v>
      </c>
      <c r="I431">
        <f t="shared" si="38"/>
        <v>9.2759999999999998</v>
      </c>
      <c r="J431" s="6" cm="1">
        <f t="array" ref="J431">_xlfn.STDEV.S(IF($A:$A=A431, $F:$F))</f>
        <v>0.2713484844254706</v>
      </c>
      <c r="P431" s="8">
        <f t="shared" si="39"/>
        <v>-4.4698544698544671</v>
      </c>
      <c r="Q431" s="8">
        <f t="shared" si="40"/>
        <v>-4.4698544698544671</v>
      </c>
      <c r="R431" s="8">
        <f t="shared" si="41"/>
        <v>-4.4698544698544671</v>
      </c>
    </row>
    <row r="432" spans="1:18" x14ac:dyDescent="0.25">
      <c r="A432" s="7">
        <f t="shared" si="36"/>
        <v>87</v>
      </c>
      <c r="B432" s="2">
        <v>43552</v>
      </c>
      <c r="C432" s="3">
        <v>9.14</v>
      </c>
      <c r="D432" s="3">
        <v>9.19</v>
      </c>
      <c r="E432" s="3">
        <v>9.1199999999999992</v>
      </c>
      <c r="F432" s="3">
        <v>9.14</v>
      </c>
      <c r="G432" s="3">
        <v>31840</v>
      </c>
      <c r="H432" s="8">
        <f t="shared" si="37"/>
        <v>-0.87527352297593064</v>
      </c>
      <c r="I432">
        <f t="shared" si="38"/>
        <v>9.0719999999999992</v>
      </c>
      <c r="J432" s="6" cm="1">
        <f t="array" ref="J432">_xlfn.STDEV.S(IF($A:$A=A432, $F:$F))</f>
        <v>4.3243496620879618E-2</v>
      </c>
      <c r="P432" s="8">
        <f t="shared" si="39"/>
        <v>-0.87527352297593064</v>
      </c>
      <c r="Q432" s="8">
        <f t="shared" si="40"/>
        <v>-0.87527352297593064</v>
      </c>
      <c r="R432" s="8">
        <f t="shared" si="41"/>
        <v>-0.87527352297593064</v>
      </c>
    </row>
    <row r="433" spans="1:18" x14ac:dyDescent="0.25">
      <c r="A433" s="7">
        <f t="shared" si="36"/>
        <v>87</v>
      </c>
      <c r="B433" s="2">
        <v>43553</v>
      </c>
      <c r="C433" s="3">
        <v>9.14</v>
      </c>
      <c r="D433" s="3">
        <v>9.14</v>
      </c>
      <c r="E433" s="3">
        <v>9.02</v>
      </c>
      <c r="F433" s="3">
        <v>9.02</v>
      </c>
      <c r="G433" s="3">
        <v>36990</v>
      </c>
      <c r="H433" s="8">
        <f t="shared" si="37"/>
        <v>-0.87527352297593064</v>
      </c>
      <c r="I433">
        <f t="shared" si="38"/>
        <v>9.0719999999999992</v>
      </c>
      <c r="J433" s="6" cm="1">
        <f t="array" ref="J433">_xlfn.STDEV.S(IF($A:$A=A433, $F:$F))</f>
        <v>4.3243496620879618E-2</v>
      </c>
      <c r="P433" s="8">
        <f t="shared" si="39"/>
        <v>-0.87527352297593064</v>
      </c>
      <c r="Q433" s="8">
        <f t="shared" si="40"/>
        <v>-0.87527352297593064</v>
      </c>
      <c r="R433" s="8">
        <f t="shared" si="41"/>
        <v>-0.87527352297593064</v>
      </c>
    </row>
    <row r="434" spans="1:18" x14ac:dyDescent="0.25">
      <c r="A434" s="7">
        <f t="shared" si="36"/>
        <v>87</v>
      </c>
      <c r="B434" s="2">
        <v>43556</v>
      </c>
      <c r="C434" s="3">
        <v>9</v>
      </c>
      <c r="D434" s="3">
        <v>9.07</v>
      </c>
      <c r="E434" s="3">
        <v>8.83</v>
      </c>
      <c r="F434" s="3">
        <v>9.07</v>
      </c>
      <c r="G434" s="3">
        <v>24060</v>
      </c>
      <c r="H434" s="8">
        <f t="shared" si="37"/>
        <v>-0.87527352297593064</v>
      </c>
      <c r="I434">
        <f t="shared" si="38"/>
        <v>9.0719999999999992</v>
      </c>
      <c r="J434" s="6" cm="1">
        <f t="array" ref="J434">_xlfn.STDEV.S(IF($A:$A=A434, $F:$F))</f>
        <v>4.3243496620879618E-2</v>
      </c>
      <c r="P434" s="8">
        <f t="shared" si="39"/>
        <v>-0.87527352297593064</v>
      </c>
      <c r="Q434" s="8">
        <f t="shared" si="40"/>
        <v>-0.87527352297593064</v>
      </c>
      <c r="R434" s="8">
        <f t="shared" si="41"/>
        <v>-0.87527352297593064</v>
      </c>
    </row>
    <row r="435" spans="1:18" x14ac:dyDescent="0.25">
      <c r="A435" s="7">
        <f t="shared" si="36"/>
        <v>87</v>
      </c>
      <c r="B435" s="2">
        <v>43557</v>
      </c>
      <c r="C435" s="3">
        <v>9.36</v>
      </c>
      <c r="D435" s="3">
        <v>9.36</v>
      </c>
      <c r="E435" s="3">
        <v>8.98</v>
      </c>
      <c r="F435" s="3">
        <v>9.07</v>
      </c>
      <c r="G435" s="3">
        <v>32110</v>
      </c>
      <c r="H435" s="8">
        <f t="shared" si="37"/>
        <v>-0.87527352297593064</v>
      </c>
      <c r="I435">
        <f t="shared" si="38"/>
        <v>9.0719999999999992</v>
      </c>
      <c r="J435" s="6" cm="1">
        <f t="array" ref="J435">_xlfn.STDEV.S(IF($A:$A=A435, $F:$F))</f>
        <v>4.3243496620879618E-2</v>
      </c>
      <c r="P435" s="8">
        <f t="shared" si="39"/>
        <v>-0.87527352297593064</v>
      </c>
      <c r="Q435" s="8">
        <f t="shared" si="40"/>
        <v>-0.87527352297593064</v>
      </c>
      <c r="R435" s="8">
        <f t="shared" si="41"/>
        <v>-0.87527352297593064</v>
      </c>
    </row>
    <row r="436" spans="1:18" x14ac:dyDescent="0.25">
      <c r="A436" s="7">
        <f t="shared" si="36"/>
        <v>87</v>
      </c>
      <c r="B436" s="2">
        <v>43558</v>
      </c>
      <c r="C436" s="3">
        <v>9.02</v>
      </c>
      <c r="D436" s="3">
        <v>9.07</v>
      </c>
      <c r="E436" s="3">
        <v>8.9499999999999993</v>
      </c>
      <c r="F436" s="3">
        <v>9.06</v>
      </c>
      <c r="G436" s="3">
        <v>31440</v>
      </c>
      <c r="H436" s="8">
        <f t="shared" si="37"/>
        <v>-0.87527352297593064</v>
      </c>
      <c r="I436">
        <f t="shared" si="38"/>
        <v>9.0719999999999992</v>
      </c>
      <c r="J436" s="6" cm="1">
        <f t="array" ref="J436">_xlfn.STDEV.S(IF($A:$A=A436, $F:$F))</f>
        <v>4.3243496620879618E-2</v>
      </c>
      <c r="P436" s="8">
        <f t="shared" si="39"/>
        <v>-0.87527352297593064</v>
      </c>
      <c r="Q436" s="8">
        <f t="shared" si="40"/>
        <v>-0.87527352297593064</v>
      </c>
      <c r="R436" s="8">
        <f t="shared" si="41"/>
        <v>-0.87527352297593064</v>
      </c>
    </row>
    <row r="437" spans="1:18" x14ac:dyDescent="0.25">
      <c r="A437" s="7">
        <f t="shared" si="36"/>
        <v>88</v>
      </c>
      <c r="B437" s="2">
        <v>43559</v>
      </c>
      <c r="C437" s="3">
        <v>9.06</v>
      </c>
      <c r="D437" s="3">
        <v>9.1199999999999992</v>
      </c>
      <c r="E437" s="3">
        <v>8.93</v>
      </c>
      <c r="F437" s="3">
        <v>9.07</v>
      </c>
      <c r="G437" s="3">
        <v>52920</v>
      </c>
      <c r="H437" s="8">
        <f t="shared" si="37"/>
        <v>-0.99228224917309649</v>
      </c>
      <c r="I437">
        <f t="shared" si="38"/>
        <v>9.1140000000000008</v>
      </c>
      <c r="J437" s="6" cm="1">
        <f t="array" ref="J437">_xlfn.STDEV.S(IF($A:$A=A437, $F:$F))</f>
        <v>0.14328293687665636</v>
      </c>
      <c r="P437" s="8">
        <f t="shared" si="39"/>
        <v>-0.99228224917309649</v>
      </c>
      <c r="Q437" s="8">
        <f t="shared" si="40"/>
        <v>-0.99228224917309649</v>
      </c>
      <c r="R437" s="8">
        <f t="shared" si="41"/>
        <v>-0.99228224917309649</v>
      </c>
    </row>
    <row r="438" spans="1:18" x14ac:dyDescent="0.25">
      <c r="A438" s="7">
        <f t="shared" si="36"/>
        <v>88</v>
      </c>
      <c r="B438" s="2">
        <v>43560</v>
      </c>
      <c r="C438" s="3">
        <v>8.98</v>
      </c>
      <c r="D438" s="3">
        <v>9.07</v>
      </c>
      <c r="E438" s="3">
        <v>8.9499999999999993</v>
      </c>
      <c r="F438" s="3">
        <v>8.99</v>
      </c>
      <c r="G438" s="3">
        <v>52580</v>
      </c>
      <c r="H438" s="8">
        <f t="shared" si="37"/>
        <v>-0.99228224917309649</v>
      </c>
      <c r="I438">
        <f t="shared" si="38"/>
        <v>9.1140000000000008</v>
      </c>
      <c r="J438" s="6" cm="1">
        <f t="array" ref="J438">_xlfn.STDEV.S(IF($A:$A=A438, $F:$F))</f>
        <v>0.14328293687665636</v>
      </c>
      <c r="P438" s="8">
        <f t="shared" si="39"/>
        <v>-0.99228224917309649</v>
      </c>
      <c r="Q438" s="8">
        <f t="shared" si="40"/>
        <v>-0.99228224917309649</v>
      </c>
      <c r="R438" s="8">
        <f t="shared" si="41"/>
        <v>-0.99228224917309649</v>
      </c>
    </row>
    <row r="439" spans="1:18" x14ac:dyDescent="0.25">
      <c r="A439" s="7">
        <f t="shared" si="36"/>
        <v>88</v>
      </c>
      <c r="B439" s="2">
        <v>43563</v>
      </c>
      <c r="C439" s="3">
        <v>9.01</v>
      </c>
      <c r="D439" s="3">
        <v>9.2899999999999991</v>
      </c>
      <c r="E439" s="3">
        <v>8.99</v>
      </c>
      <c r="F439" s="3">
        <v>9.2899999999999991</v>
      </c>
      <c r="G439" s="3">
        <v>150250</v>
      </c>
      <c r="H439" s="8">
        <f t="shared" si="37"/>
        <v>-0.99228224917309649</v>
      </c>
      <c r="I439">
        <f t="shared" si="38"/>
        <v>9.1140000000000008</v>
      </c>
      <c r="J439" s="6" cm="1">
        <f t="array" ref="J439">_xlfn.STDEV.S(IF($A:$A=A439, $F:$F))</f>
        <v>0.14328293687665636</v>
      </c>
      <c r="P439" s="8">
        <f t="shared" si="39"/>
        <v>-0.99228224917309649</v>
      </c>
      <c r="Q439" s="8">
        <f t="shared" si="40"/>
        <v>-0.99228224917309649</v>
      </c>
      <c r="R439" s="8">
        <f t="shared" si="41"/>
        <v>-0.99228224917309649</v>
      </c>
    </row>
    <row r="440" spans="1:18" x14ac:dyDescent="0.25">
      <c r="A440" s="7">
        <f t="shared" si="36"/>
        <v>88</v>
      </c>
      <c r="B440" s="2">
        <v>43564</v>
      </c>
      <c r="C440" s="3">
        <v>9.2899999999999991</v>
      </c>
      <c r="D440" s="3">
        <v>9.33</v>
      </c>
      <c r="E440" s="3">
        <v>9.07</v>
      </c>
      <c r="F440" s="3">
        <v>9.24</v>
      </c>
      <c r="G440" s="3">
        <v>245630</v>
      </c>
      <c r="H440" s="8">
        <f t="shared" si="37"/>
        <v>-0.99228224917309649</v>
      </c>
      <c r="I440">
        <f t="shared" si="38"/>
        <v>9.1140000000000008</v>
      </c>
      <c r="J440" s="6" cm="1">
        <f t="array" ref="J440">_xlfn.STDEV.S(IF($A:$A=A440, $F:$F))</f>
        <v>0.14328293687665636</v>
      </c>
      <c r="P440" s="8">
        <f t="shared" si="39"/>
        <v>-0.99228224917309649</v>
      </c>
      <c r="Q440" s="8">
        <f t="shared" si="40"/>
        <v>-0.99228224917309649</v>
      </c>
      <c r="R440" s="8">
        <f t="shared" si="41"/>
        <v>-0.99228224917309649</v>
      </c>
    </row>
    <row r="441" spans="1:18" x14ac:dyDescent="0.25">
      <c r="A441" s="7">
        <f t="shared" si="36"/>
        <v>88</v>
      </c>
      <c r="B441" s="2">
        <v>43565</v>
      </c>
      <c r="C441" s="3">
        <v>8.99</v>
      </c>
      <c r="D441" s="3">
        <v>9.17</v>
      </c>
      <c r="E441" s="3">
        <v>8.98</v>
      </c>
      <c r="F441" s="3">
        <v>8.98</v>
      </c>
      <c r="G441" s="3">
        <v>94120</v>
      </c>
      <c r="H441" s="8">
        <f t="shared" si="37"/>
        <v>-0.99228224917309649</v>
      </c>
      <c r="I441">
        <f t="shared" si="38"/>
        <v>9.1140000000000008</v>
      </c>
      <c r="J441" s="6" cm="1">
        <f t="array" ref="J441">_xlfn.STDEV.S(IF($A:$A=A441, $F:$F))</f>
        <v>0.14328293687665636</v>
      </c>
      <c r="P441" s="8">
        <f t="shared" si="39"/>
        <v>-0.99228224917309649</v>
      </c>
      <c r="Q441" s="8">
        <f t="shared" si="40"/>
        <v>-0.99228224917309649</v>
      </c>
      <c r="R441" s="8">
        <f t="shared" si="41"/>
        <v>-0.99228224917309649</v>
      </c>
    </row>
    <row r="442" spans="1:18" x14ac:dyDescent="0.25">
      <c r="A442" s="7">
        <f t="shared" si="36"/>
        <v>89</v>
      </c>
      <c r="B442" s="2">
        <v>43566</v>
      </c>
      <c r="C442" s="3">
        <v>8.98</v>
      </c>
      <c r="D442" s="3">
        <v>9.0500000000000007</v>
      </c>
      <c r="E442" s="3">
        <v>8.81</v>
      </c>
      <c r="F442" s="3">
        <v>8.83</v>
      </c>
      <c r="G442" s="3">
        <v>187810</v>
      </c>
      <c r="H442" s="8">
        <f t="shared" si="37"/>
        <v>-3.7372593431483589</v>
      </c>
      <c r="I442">
        <f t="shared" si="38"/>
        <v>8.5920000000000005</v>
      </c>
      <c r="J442" s="6" cm="1">
        <f t="array" ref="J442">_xlfn.STDEV.S(IF($A:$A=A442, $F:$F))</f>
        <v>0.15770225109363548</v>
      </c>
      <c r="P442" s="8">
        <f t="shared" si="39"/>
        <v>-3.7372593431483589</v>
      </c>
      <c r="Q442" s="8">
        <f t="shared" si="40"/>
        <v>-3.7372593431483589</v>
      </c>
      <c r="R442" s="8">
        <f t="shared" si="41"/>
        <v>-3.7372593431483589</v>
      </c>
    </row>
    <row r="443" spans="1:18" x14ac:dyDescent="0.25">
      <c r="A443" s="7">
        <f t="shared" si="36"/>
        <v>89</v>
      </c>
      <c r="B443" s="2">
        <v>43567</v>
      </c>
      <c r="C443" s="3">
        <v>8.8800000000000008</v>
      </c>
      <c r="D443" s="3">
        <v>8.8800000000000008</v>
      </c>
      <c r="E443" s="3">
        <v>8.67</v>
      </c>
      <c r="F443" s="3">
        <v>8.67</v>
      </c>
      <c r="G443" s="3">
        <v>32720</v>
      </c>
      <c r="H443" s="8">
        <f t="shared" si="37"/>
        <v>-3.7372593431483589</v>
      </c>
      <c r="I443">
        <f t="shared" si="38"/>
        <v>8.5920000000000005</v>
      </c>
      <c r="J443" s="6" cm="1">
        <f t="array" ref="J443">_xlfn.STDEV.S(IF($A:$A=A443, $F:$F))</f>
        <v>0.15770225109363548</v>
      </c>
      <c r="P443" s="8">
        <f t="shared" si="39"/>
        <v>-3.7372593431483589</v>
      </c>
      <c r="Q443" s="8">
        <f t="shared" si="40"/>
        <v>-3.7372593431483589</v>
      </c>
      <c r="R443" s="8">
        <f t="shared" si="41"/>
        <v>-3.7372593431483589</v>
      </c>
    </row>
    <row r="444" spans="1:18" x14ac:dyDescent="0.25">
      <c r="A444" s="7">
        <f t="shared" si="36"/>
        <v>89</v>
      </c>
      <c r="B444" s="2">
        <v>43571</v>
      </c>
      <c r="C444" s="3">
        <v>8.59</v>
      </c>
      <c r="D444" s="3">
        <v>8.59</v>
      </c>
      <c r="E444" s="3">
        <v>8.36</v>
      </c>
      <c r="F444" s="3">
        <v>8.52</v>
      </c>
      <c r="G444" s="3">
        <v>117530</v>
      </c>
      <c r="H444" s="8">
        <f t="shared" si="37"/>
        <v>-3.7372593431483589</v>
      </c>
      <c r="I444">
        <f t="shared" si="38"/>
        <v>8.5920000000000005</v>
      </c>
      <c r="J444" s="6" cm="1">
        <f t="array" ref="J444">_xlfn.STDEV.S(IF($A:$A=A444, $F:$F))</f>
        <v>0.15770225109363548</v>
      </c>
      <c r="P444" s="8">
        <f t="shared" si="39"/>
        <v>-3.7372593431483589</v>
      </c>
      <c r="Q444" s="8">
        <f t="shared" si="40"/>
        <v>-3.7372593431483589</v>
      </c>
      <c r="R444" s="8">
        <f t="shared" si="41"/>
        <v>-3.7372593431483589</v>
      </c>
    </row>
    <row r="445" spans="1:18" x14ac:dyDescent="0.25">
      <c r="A445" s="7">
        <f t="shared" si="36"/>
        <v>89</v>
      </c>
      <c r="B445" s="2">
        <v>43572</v>
      </c>
      <c r="C445" s="3">
        <v>8.57</v>
      </c>
      <c r="D445" s="3">
        <v>8.57</v>
      </c>
      <c r="E445" s="3">
        <v>8.39</v>
      </c>
      <c r="F445" s="3">
        <v>8.44</v>
      </c>
      <c r="G445" s="3">
        <v>77720</v>
      </c>
      <c r="H445" s="8">
        <f t="shared" si="37"/>
        <v>-3.7372593431483589</v>
      </c>
      <c r="I445">
        <f t="shared" si="38"/>
        <v>8.5920000000000005</v>
      </c>
      <c r="J445" s="6" cm="1">
        <f t="array" ref="J445">_xlfn.STDEV.S(IF($A:$A=A445, $F:$F))</f>
        <v>0.15770225109363548</v>
      </c>
      <c r="P445" s="8">
        <f t="shared" si="39"/>
        <v>-3.7372593431483589</v>
      </c>
      <c r="Q445" s="8">
        <f t="shared" si="40"/>
        <v>-3.7372593431483589</v>
      </c>
      <c r="R445" s="8">
        <f t="shared" si="41"/>
        <v>-3.7372593431483589</v>
      </c>
    </row>
    <row r="446" spans="1:18" x14ac:dyDescent="0.25">
      <c r="A446" s="7">
        <f t="shared" si="36"/>
        <v>89</v>
      </c>
      <c r="B446" s="2">
        <v>43573</v>
      </c>
      <c r="C446" s="3">
        <v>8.3800000000000008</v>
      </c>
      <c r="D446" s="3">
        <v>8.7799999999999994</v>
      </c>
      <c r="E446" s="3">
        <v>8.3800000000000008</v>
      </c>
      <c r="F446" s="3">
        <v>8.5</v>
      </c>
      <c r="G446" s="3">
        <v>227980</v>
      </c>
      <c r="H446" s="8">
        <f t="shared" si="37"/>
        <v>-3.7372593431483589</v>
      </c>
      <c r="I446">
        <f t="shared" si="38"/>
        <v>8.5920000000000005</v>
      </c>
      <c r="J446" s="6" cm="1">
        <f t="array" ref="J446">_xlfn.STDEV.S(IF($A:$A=A446, $F:$F))</f>
        <v>0.15770225109363548</v>
      </c>
      <c r="P446" s="8">
        <f t="shared" si="39"/>
        <v>-3.7372593431483589</v>
      </c>
      <c r="Q446" s="8">
        <f t="shared" si="40"/>
        <v>-3.7372593431483589</v>
      </c>
      <c r="R446" s="8">
        <f t="shared" si="41"/>
        <v>-3.7372593431483589</v>
      </c>
    </row>
    <row r="447" spans="1:18" x14ac:dyDescent="0.25">
      <c r="A447" s="7">
        <f t="shared" si="36"/>
        <v>90</v>
      </c>
      <c r="B447" s="2">
        <v>43574</v>
      </c>
      <c r="C447" s="3">
        <v>8.5</v>
      </c>
      <c r="D447" s="3">
        <v>8.76</v>
      </c>
      <c r="E447" s="3">
        <v>8.4499999999999993</v>
      </c>
      <c r="F447" s="3">
        <v>8.59</v>
      </c>
      <c r="G447" s="3">
        <v>104610</v>
      </c>
      <c r="H447" s="8">
        <f t="shared" si="37"/>
        <v>-1.8626309662398155</v>
      </c>
      <c r="I447">
        <f t="shared" si="38"/>
        <v>8.4980000000000011</v>
      </c>
      <c r="J447" s="6" cm="1">
        <f t="array" ref="J447">_xlfn.STDEV.S(IF($A:$A=A447, $F:$F))</f>
        <v>6.8337398253079579E-2</v>
      </c>
      <c r="P447" s="8">
        <f t="shared" si="39"/>
        <v>-1.8626309662398155</v>
      </c>
      <c r="Q447" s="8">
        <f t="shared" si="40"/>
        <v>-1.8626309662398155</v>
      </c>
      <c r="R447" s="8">
        <f t="shared" si="41"/>
        <v>-1.8626309662398155</v>
      </c>
    </row>
    <row r="448" spans="1:18" x14ac:dyDescent="0.25">
      <c r="A448" s="7">
        <f t="shared" si="36"/>
        <v>90</v>
      </c>
      <c r="B448" s="2">
        <v>43577</v>
      </c>
      <c r="C448" s="3">
        <v>8.76</v>
      </c>
      <c r="D448" s="3">
        <v>8.76</v>
      </c>
      <c r="E448" s="3">
        <v>8.49</v>
      </c>
      <c r="F448" s="3">
        <v>8.52</v>
      </c>
      <c r="G448" s="3">
        <v>77180</v>
      </c>
      <c r="H448" s="8">
        <f t="shared" si="37"/>
        <v>-1.8626309662398155</v>
      </c>
      <c r="I448">
        <f t="shared" si="38"/>
        <v>8.4980000000000011</v>
      </c>
      <c r="J448" s="6" cm="1">
        <f t="array" ref="J448">_xlfn.STDEV.S(IF($A:$A=A448, $F:$F))</f>
        <v>6.8337398253079579E-2</v>
      </c>
      <c r="P448" s="8">
        <f t="shared" si="39"/>
        <v>-1.8626309662398155</v>
      </c>
      <c r="Q448" s="8">
        <f t="shared" si="40"/>
        <v>-1.8626309662398155</v>
      </c>
      <c r="R448" s="8">
        <f t="shared" si="41"/>
        <v>-1.8626309662398155</v>
      </c>
    </row>
    <row r="449" spans="1:18" x14ac:dyDescent="0.25">
      <c r="A449" s="7">
        <f t="shared" si="36"/>
        <v>90</v>
      </c>
      <c r="B449" s="2">
        <v>43578</v>
      </c>
      <c r="C449" s="3">
        <v>8.73</v>
      </c>
      <c r="D449" s="3">
        <v>8.73</v>
      </c>
      <c r="E449" s="3">
        <v>8.4700000000000006</v>
      </c>
      <c r="F449" s="3">
        <v>8.52</v>
      </c>
      <c r="G449" s="3">
        <v>97510</v>
      </c>
      <c r="H449" s="8">
        <f t="shared" si="37"/>
        <v>-1.8626309662398155</v>
      </c>
      <c r="I449">
        <f t="shared" si="38"/>
        <v>8.4980000000000011</v>
      </c>
      <c r="J449" s="6" cm="1">
        <f t="array" ref="J449">_xlfn.STDEV.S(IF($A:$A=A449, $F:$F))</f>
        <v>6.8337398253079579E-2</v>
      </c>
      <c r="P449" s="8">
        <f t="shared" si="39"/>
        <v>-1.8626309662398155</v>
      </c>
      <c r="Q449" s="8">
        <f t="shared" si="40"/>
        <v>-1.8626309662398155</v>
      </c>
      <c r="R449" s="8">
        <f t="shared" si="41"/>
        <v>-1.8626309662398155</v>
      </c>
    </row>
    <row r="450" spans="1:18" x14ac:dyDescent="0.25">
      <c r="A450" s="7">
        <f t="shared" si="36"/>
        <v>90</v>
      </c>
      <c r="B450" s="2">
        <v>43579</v>
      </c>
      <c r="C450" s="3">
        <v>8.74</v>
      </c>
      <c r="D450" s="3">
        <v>8.74</v>
      </c>
      <c r="E450" s="3">
        <v>8.43</v>
      </c>
      <c r="F450" s="3">
        <v>8.43</v>
      </c>
      <c r="G450" s="3">
        <v>119210</v>
      </c>
      <c r="H450" s="8">
        <f t="shared" si="37"/>
        <v>-1.8626309662398155</v>
      </c>
      <c r="I450">
        <f t="shared" si="38"/>
        <v>8.4980000000000011</v>
      </c>
      <c r="J450" s="6" cm="1">
        <f t="array" ref="J450">_xlfn.STDEV.S(IF($A:$A=A450, $F:$F))</f>
        <v>6.8337398253079579E-2</v>
      </c>
      <c r="P450" s="8">
        <f t="shared" si="39"/>
        <v>-1.8626309662398155</v>
      </c>
      <c r="Q450" s="8">
        <f t="shared" si="40"/>
        <v>-1.8626309662398155</v>
      </c>
      <c r="R450" s="8">
        <f t="shared" si="41"/>
        <v>-1.8626309662398155</v>
      </c>
    </row>
    <row r="451" spans="1:18" x14ac:dyDescent="0.25">
      <c r="A451" s="7">
        <f t="shared" ref="A451:A514" si="42">INT((ROW(A451)-ROW($A$2))/5) + 1</f>
        <v>90</v>
      </c>
      <c r="B451" s="2">
        <v>43580</v>
      </c>
      <c r="C451" s="3">
        <v>8.4499999999999993</v>
      </c>
      <c r="D451" s="3">
        <v>8.4700000000000006</v>
      </c>
      <c r="E451" s="3">
        <v>8.36</v>
      </c>
      <c r="F451" s="3">
        <v>8.43</v>
      </c>
      <c r="G451" s="3">
        <v>48060</v>
      </c>
      <c r="H451" s="8">
        <f t="shared" ref="H451:H514" si="43">IF(A451=A450, H450, (F455-F451)/F451*100)</f>
        <v>-1.8626309662398155</v>
      </c>
      <c r="I451">
        <f t="shared" ref="I451:I514" si="44">AVERAGEIF($A:$A, A451, $F:$F)</f>
        <v>8.4980000000000011</v>
      </c>
      <c r="J451" s="6" cm="1">
        <f t="array" ref="J451">_xlfn.STDEV.S(IF($A:$A=A451, $F:$F))</f>
        <v>6.8337398253079579E-2</v>
      </c>
      <c r="P451" s="8">
        <f t="shared" ref="P451:P514" si="45">IF(A451=A450,P450,(F455-F451)/F451*100)</f>
        <v>-1.8626309662398155</v>
      </c>
      <c r="Q451" s="8">
        <f t="shared" ref="Q451:Q514" si="46">IF(A451=A450,Q450,(F455-F451)/F451*100)</f>
        <v>-1.8626309662398155</v>
      </c>
      <c r="R451" s="8">
        <f t="shared" ref="R451:R514" si="47">IF(A451=A450,R450,(F455-F451)/F451*100)</f>
        <v>-1.8626309662398155</v>
      </c>
    </row>
    <row r="452" spans="1:18" x14ac:dyDescent="0.25">
      <c r="A452" s="7">
        <f t="shared" si="42"/>
        <v>91</v>
      </c>
      <c r="B452" s="2">
        <v>43581</v>
      </c>
      <c r="C452" s="3">
        <v>8.41</v>
      </c>
      <c r="D452" s="3">
        <v>8.52</v>
      </c>
      <c r="E452" s="3">
        <v>8.36</v>
      </c>
      <c r="F452" s="3">
        <v>8.43</v>
      </c>
      <c r="G452" s="3">
        <v>144640</v>
      </c>
      <c r="H452" s="8">
        <f t="shared" si="43"/>
        <v>-10.794780545670228</v>
      </c>
      <c r="I452">
        <f t="shared" si="44"/>
        <v>8.1219999999999999</v>
      </c>
      <c r="J452" s="6" cm="1">
        <f t="array" ref="J452">_xlfn.STDEV.S(IF($A:$A=A452, $F:$F))</f>
        <v>0.38713046896363013</v>
      </c>
      <c r="P452" s="8">
        <f t="shared" si="45"/>
        <v>-10.794780545670228</v>
      </c>
      <c r="Q452" s="8">
        <f t="shared" si="46"/>
        <v>-10.794780545670228</v>
      </c>
      <c r="R452" s="11">
        <f t="shared" si="47"/>
        <v>-10.794780545670228</v>
      </c>
    </row>
    <row r="453" spans="1:18" x14ac:dyDescent="0.25">
      <c r="A453" s="7">
        <f t="shared" si="42"/>
        <v>91</v>
      </c>
      <c r="B453" s="2">
        <v>43587</v>
      </c>
      <c r="C453" s="3">
        <v>8.6199999999999992</v>
      </c>
      <c r="D453" s="3">
        <v>8.6199999999999992</v>
      </c>
      <c r="E453" s="3">
        <v>8.36</v>
      </c>
      <c r="F453" s="3">
        <v>8.4</v>
      </c>
      <c r="G453" s="3">
        <v>44690</v>
      </c>
      <c r="H453" s="8">
        <f t="shared" si="43"/>
        <v>-10.794780545670228</v>
      </c>
      <c r="I453">
        <f t="shared" si="44"/>
        <v>8.1219999999999999</v>
      </c>
      <c r="J453" s="6" cm="1">
        <f t="array" ref="J453">_xlfn.STDEV.S(IF($A:$A=A453, $F:$F))</f>
        <v>0.38713046896363013</v>
      </c>
      <c r="P453" s="8">
        <f t="shared" si="45"/>
        <v>-10.794780545670228</v>
      </c>
      <c r="Q453" s="8">
        <f t="shared" si="46"/>
        <v>-10.794780545670228</v>
      </c>
      <c r="R453" s="11">
        <f t="shared" si="47"/>
        <v>-10.794780545670228</v>
      </c>
    </row>
    <row r="454" spans="1:18" x14ac:dyDescent="0.25">
      <c r="A454" s="7">
        <f t="shared" si="42"/>
        <v>91</v>
      </c>
      <c r="B454" s="2">
        <v>43588</v>
      </c>
      <c r="C454" s="3">
        <v>8.43</v>
      </c>
      <c r="D454" s="3">
        <v>8.43</v>
      </c>
      <c r="E454" s="3">
        <v>8.14</v>
      </c>
      <c r="F454" s="3">
        <v>8.31</v>
      </c>
      <c r="G454" s="3">
        <v>42610</v>
      </c>
      <c r="H454" s="8">
        <f t="shared" si="43"/>
        <v>-10.794780545670228</v>
      </c>
      <c r="I454">
        <f t="shared" si="44"/>
        <v>8.1219999999999999</v>
      </c>
      <c r="J454" s="6" cm="1">
        <f t="array" ref="J454">_xlfn.STDEV.S(IF($A:$A=A454, $F:$F))</f>
        <v>0.38713046896363013</v>
      </c>
      <c r="P454" s="8">
        <f t="shared" si="45"/>
        <v>-10.794780545670228</v>
      </c>
      <c r="Q454" s="8">
        <f t="shared" si="46"/>
        <v>-10.794780545670228</v>
      </c>
      <c r="R454" s="11">
        <f t="shared" si="47"/>
        <v>-10.794780545670228</v>
      </c>
    </row>
    <row r="455" spans="1:18" x14ac:dyDescent="0.25">
      <c r="A455" s="7">
        <f t="shared" si="42"/>
        <v>91</v>
      </c>
      <c r="B455" s="2">
        <v>43591</v>
      </c>
      <c r="C455" s="3">
        <v>8.24</v>
      </c>
      <c r="D455" s="3">
        <v>8.24</v>
      </c>
      <c r="E455" s="3">
        <v>7.95</v>
      </c>
      <c r="F455" s="3">
        <v>7.95</v>
      </c>
      <c r="G455" s="3">
        <v>93590</v>
      </c>
      <c r="H455" s="8">
        <f t="shared" si="43"/>
        <v>-10.794780545670228</v>
      </c>
      <c r="I455">
        <f t="shared" si="44"/>
        <v>8.1219999999999999</v>
      </c>
      <c r="J455" s="6" cm="1">
        <f t="array" ref="J455">_xlfn.STDEV.S(IF($A:$A=A455, $F:$F))</f>
        <v>0.38713046896363013</v>
      </c>
      <c r="P455" s="8">
        <f t="shared" si="45"/>
        <v>-10.794780545670228</v>
      </c>
      <c r="Q455" s="8">
        <f t="shared" si="46"/>
        <v>-10.794780545670228</v>
      </c>
      <c r="R455" s="11">
        <f t="shared" si="47"/>
        <v>-10.794780545670228</v>
      </c>
    </row>
    <row r="456" spans="1:18" x14ac:dyDescent="0.25">
      <c r="A456" s="7">
        <f t="shared" si="42"/>
        <v>91</v>
      </c>
      <c r="B456" s="2">
        <v>43592</v>
      </c>
      <c r="C456" s="3">
        <v>7.96</v>
      </c>
      <c r="D456" s="3">
        <v>8.0399999999999991</v>
      </c>
      <c r="E456" s="3">
        <v>7.5</v>
      </c>
      <c r="F456" s="3">
        <v>7.52</v>
      </c>
      <c r="G456" s="3">
        <v>218590</v>
      </c>
      <c r="H456" s="8">
        <f t="shared" si="43"/>
        <v>-10.794780545670228</v>
      </c>
      <c r="I456">
        <f t="shared" si="44"/>
        <v>8.1219999999999999</v>
      </c>
      <c r="J456" s="6" cm="1">
        <f t="array" ref="J456">_xlfn.STDEV.S(IF($A:$A=A456, $F:$F))</f>
        <v>0.38713046896363013</v>
      </c>
      <c r="P456" s="8">
        <f t="shared" si="45"/>
        <v>-10.794780545670228</v>
      </c>
      <c r="Q456" s="8">
        <f t="shared" si="46"/>
        <v>-10.794780545670228</v>
      </c>
      <c r="R456" s="11">
        <f t="shared" si="47"/>
        <v>-10.794780545670228</v>
      </c>
    </row>
    <row r="457" spans="1:18" x14ac:dyDescent="0.25">
      <c r="A457" s="7">
        <f t="shared" si="42"/>
        <v>92</v>
      </c>
      <c r="B457" s="2">
        <v>43593</v>
      </c>
      <c r="C457" s="3">
        <v>7.52</v>
      </c>
      <c r="D457" s="3">
        <v>7.52</v>
      </c>
      <c r="E457" s="3">
        <v>7.05</v>
      </c>
      <c r="F457" s="3">
        <v>7.09</v>
      </c>
      <c r="G457" s="3">
        <v>444450</v>
      </c>
      <c r="H457" s="8">
        <f t="shared" si="43"/>
        <v>7.6163610719322996</v>
      </c>
      <c r="I457">
        <f t="shared" si="44"/>
        <v>7.4859999999999998</v>
      </c>
      <c r="J457" s="6" cm="1">
        <f t="array" ref="J457">_xlfn.STDEV.S(IF($A:$A=A457, $F:$F))</f>
        <v>0.26024987992312321</v>
      </c>
      <c r="P457" s="8">
        <f t="shared" si="45"/>
        <v>7.6163610719322996</v>
      </c>
      <c r="Q457" s="8">
        <f t="shared" si="46"/>
        <v>7.6163610719322996</v>
      </c>
      <c r="R457" s="8">
        <f t="shared" si="47"/>
        <v>7.6163610719322996</v>
      </c>
    </row>
    <row r="458" spans="1:18" x14ac:dyDescent="0.25">
      <c r="A458" s="7">
        <f t="shared" si="42"/>
        <v>92</v>
      </c>
      <c r="B458" s="2">
        <v>43594</v>
      </c>
      <c r="C458" s="3">
        <v>7.09</v>
      </c>
      <c r="D458" s="3">
        <v>7.4</v>
      </c>
      <c r="E458" s="3">
        <v>7.09</v>
      </c>
      <c r="F458" s="3">
        <v>7.36</v>
      </c>
      <c r="G458" s="3">
        <v>179760</v>
      </c>
      <c r="H458" s="8">
        <f t="shared" si="43"/>
        <v>7.6163610719322996</v>
      </c>
      <c r="I458">
        <f t="shared" si="44"/>
        <v>7.4859999999999998</v>
      </c>
      <c r="J458" s="6" cm="1">
        <f t="array" ref="J458">_xlfn.STDEV.S(IF($A:$A=A458, $F:$F))</f>
        <v>0.26024987992312321</v>
      </c>
      <c r="P458" s="8">
        <f t="shared" si="45"/>
        <v>7.6163610719322996</v>
      </c>
      <c r="Q458" s="8">
        <f t="shared" si="46"/>
        <v>7.6163610719322996</v>
      </c>
      <c r="R458" s="8">
        <f t="shared" si="47"/>
        <v>7.6163610719322996</v>
      </c>
    </row>
    <row r="459" spans="1:18" x14ac:dyDescent="0.25">
      <c r="A459" s="7">
        <f t="shared" si="42"/>
        <v>92</v>
      </c>
      <c r="B459" s="2">
        <v>43595</v>
      </c>
      <c r="C459" s="3">
        <v>7.36</v>
      </c>
      <c r="D459" s="3">
        <v>7.76</v>
      </c>
      <c r="E459" s="3">
        <v>7.36</v>
      </c>
      <c r="F459" s="3">
        <v>7.73</v>
      </c>
      <c r="G459" s="3">
        <v>101770</v>
      </c>
      <c r="H459" s="8">
        <f t="shared" si="43"/>
        <v>7.6163610719322996</v>
      </c>
      <c r="I459">
        <f t="shared" si="44"/>
        <v>7.4859999999999998</v>
      </c>
      <c r="J459" s="6" cm="1">
        <f t="array" ref="J459">_xlfn.STDEV.S(IF($A:$A=A459, $F:$F))</f>
        <v>0.26024987992312321</v>
      </c>
      <c r="P459" s="8">
        <f t="shared" si="45"/>
        <v>7.6163610719322996</v>
      </c>
      <c r="Q459" s="8">
        <f t="shared" si="46"/>
        <v>7.6163610719322996</v>
      </c>
      <c r="R459" s="8">
        <f t="shared" si="47"/>
        <v>7.6163610719322996</v>
      </c>
    </row>
    <row r="460" spans="1:18" x14ac:dyDescent="0.25">
      <c r="A460" s="7">
        <f t="shared" si="42"/>
        <v>92</v>
      </c>
      <c r="B460" s="2">
        <v>43598</v>
      </c>
      <c r="C460" s="3">
        <v>7.65</v>
      </c>
      <c r="D460" s="3">
        <v>7.65</v>
      </c>
      <c r="E460" s="3">
        <v>7.57</v>
      </c>
      <c r="F460" s="3">
        <v>7.62</v>
      </c>
      <c r="G460" s="3">
        <v>283420</v>
      </c>
      <c r="H460" s="8">
        <f t="shared" si="43"/>
        <v>7.6163610719322996</v>
      </c>
      <c r="I460">
        <f t="shared" si="44"/>
        <v>7.4859999999999998</v>
      </c>
      <c r="J460" s="6" cm="1">
        <f t="array" ref="J460">_xlfn.STDEV.S(IF($A:$A=A460, $F:$F))</f>
        <v>0.26024987992312321</v>
      </c>
      <c r="P460" s="8">
        <f t="shared" si="45"/>
        <v>7.6163610719322996</v>
      </c>
      <c r="Q460" s="8">
        <f t="shared" si="46"/>
        <v>7.6163610719322996</v>
      </c>
      <c r="R460" s="8">
        <f t="shared" si="47"/>
        <v>7.6163610719322996</v>
      </c>
    </row>
    <row r="461" spans="1:18" x14ac:dyDescent="0.25">
      <c r="A461" s="7">
        <f t="shared" si="42"/>
        <v>92</v>
      </c>
      <c r="B461" s="2">
        <v>43599</v>
      </c>
      <c r="C461" s="3">
        <v>7.47</v>
      </c>
      <c r="D461" s="3">
        <v>7.64</v>
      </c>
      <c r="E461" s="3">
        <v>7.47</v>
      </c>
      <c r="F461" s="3">
        <v>7.63</v>
      </c>
      <c r="G461" s="3">
        <v>222020</v>
      </c>
      <c r="H461" s="8">
        <f t="shared" si="43"/>
        <v>7.6163610719322996</v>
      </c>
      <c r="I461">
        <f t="shared" si="44"/>
        <v>7.4859999999999998</v>
      </c>
      <c r="J461" s="6" cm="1">
        <f t="array" ref="J461">_xlfn.STDEV.S(IF($A:$A=A461, $F:$F))</f>
        <v>0.26024987992312321</v>
      </c>
      <c r="P461" s="8">
        <f t="shared" si="45"/>
        <v>7.6163610719322996</v>
      </c>
      <c r="Q461" s="8">
        <f t="shared" si="46"/>
        <v>7.6163610719322996</v>
      </c>
      <c r="R461" s="8">
        <f t="shared" si="47"/>
        <v>7.6163610719322996</v>
      </c>
    </row>
    <row r="462" spans="1:18" x14ac:dyDescent="0.25">
      <c r="A462" s="7">
        <f t="shared" si="42"/>
        <v>93</v>
      </c>
      <c r="B462" s="2">
        <v>43600</v>
      </c>
      <c r="C462" s="3">
        <v>7.63</v>
      </c>
      <c r="D462" s="3">
        <v>7.76</v>
      </c>
      <c r="E462" s="3">
        <v>7.59</v>
      </c>
      <c r="F462" s="3">
        <v>7.62</v>
      </c>
      <c r="G462" s="3">
        <v>140280</v>
      </c>
      <c r="H462" s="8">
        <f t="shared" si="43"/>
        <v>1.1811023622047225</v>
      </c>
      <c r="I462">
        <f t="shared" si="44"/>
        <v>7.6219999999999999</v>
      </c>
      <c r="J462" s="6" cm="1">
        <f t="array" ref="J462">_xlfn.STDEV.S(IF($A:$A=A462, $F:$F))</f>
        <v>8.7578536183245168E-2</v>
      </c>
      <c r="P462" s="8">
        <f t="shared" si="45"/>
        <v>1.1811023622047225</v>
      </c>
      <c r="Q462" s="8">
        <f t="shared" si="46"/>
        <v>1.1811023622047225</v>
      </c>
      <c r="R462" s="8">
        <f t="shared" si="47"/>
        <v>1.1811023622047225</v>
      </c>
    </row>
    <row r="463" spans="1:18" x14ac:dyDescent="0.25">
      <c r="A463" s="7">
        <f t="shared" si="42"/>
        <v>93</v>
      </c>
      <c r="B463" s="2">
        <v>43601</v>
      </c>
      <c r="C463" s="3">
        <v>7.79</v>
      </c>
      <c r="D463" s="3">
        <v>7.79</v>
      </c>
      <c r="E463" s="3">
        <v>7.52</v>
      </c>
      <c r="F463" s="3">
        <v>7.53</v>
      </c>
      <c r="G463" s="3">
        <v>70950</v>
      </c>
      <c r="H463" s="8">
        <f t="shared" si="43"/>
        <v>1.1811023622047225</v>
      </c>
      <c r="I463">
        <f t="shared" si="44"/>
        <v>7.6219999999999999</v>
      </c>
      <c r="J463" s="6" cm="1">
        <f t="array" ref="J463">_xlfn.STDEV.S(IF($A:$A=A463, $F:$F))</f>
        <v>8.7578536183245168E-2</v>
      </c>
      <c r="P463" s="8">
        <f t="shared" si="45"/>
        <v>1.1811023622047225</v>
      </c>
      <c r="Q463" s="8">
        <f t="shared" si="46"/>
        <v>1.1811023622047225</v>
      </c>
      <c r="R463" s="8">
        <f t="shared" si="47"/>
        <v>1.1811023622047225</v>
      </c>
    </row>
    <row r="464" spans="1:18" x14ac:dyDescent="0.25">
      <c r="A464" s="7">
        <f t="shared" si="42"/>
        <v>93</v>
      </c>
      <c r="B464" s="2">
        <v>43602</v>
      </c>
      <c r="C464" s="3">
        <v>7.57</v>
      </c>
      <c r="D464" s="3">
        <v>7.63</v>
      </c>
      <c r="E464" s="3">
        <v>7.53</v>
      </c>
      <c r="F464" s="3">
        <v>7.54</v>
      </c>
      <c r="G464" s="3">
        <v>61820</v>
      </c>
      <c r="H464" s="8">
        <f t="shared" si="43"/>
        <v>1.1811023622047225</v>
      </c>
      <c r="I464">
        <f t="shared" si="44"/>
        <v>7.6219999999999999</v>
      </c>
      <c r="J464" s="6" cm="1">
        <f t="array" ref="J464">_xlfn.STDEV.S(IF($A:$A=A464, $F:$F))</f>
        <v>8.7578536183245168E-2</v>
      </c>
      <c r="P464" s="8">
        <f t="shared" si="45"/>
        <v>1.1811023622047225</v>
      </c>
      <c r="Q464" s="8">
        <f t="shared" si="46"/>
        <v>1.1811023622047225</v>
      </c>
      <c r="R464" s="8">
        <f t="shared" si="47"/>
        <v>1.1811023622047225</v>
      </c>
    </row>
    <row r="465" spans="1:18" x14ac:dyDescent="0.25">
      <c r="A465" s="7">
        <f t="shared" si="42"/>
        <v>93</v>
      </c>
      <c r="B465" s="2">
        <v>43605</v>
      </c>
      <c r="C465" s="3">
        <v>7.57</v>
      </c>
      <c r="D465" s="3">
        <v>7.71</v>
      </c>
      <c r="E465" s="3">
        <v>7.49</v>
      </c>
      <c r="F465" s="3">
        <v>7.71</v>
      </c>
      <c r="G465" s="3">
        <v>110090</v>
      </c>
      <c r="H465" s="8">
        <f t="shared" si="43"/>
        <v>1.1811023622047225</v>
      </c>
      <c r="I465">
        <f t="shared" si="44"/>
        <v>7.6219999999999999</v>
      </c>
      <c r="J465" s="6" cm="1">
        <f t="array" ref="J465">_xlfn.STDEV.S(IF($A:$A=A465, $F:$F))</f>
        <v>8.7578536183245168E-2</v>
      </c>
      <c r="P465" s="8">
        <f t="shared" si="45"/>
        <v>1.1811023622047225</v>
      </c>
      <c r="Q465" s="8">
        <f t="shared" si="46"/>
        <v>1.1811023622047225</v>
      </c>
      <c r="R465" s="8">
        <f t="shared" si="47"/>
        <v>1.1811023622047225</v>
      </c>
    </row>
    <row r="466" spans="1:18" x14ac:dyDescent="0.25">
      <c r="A466" s="7">
        <f t="shared" si="42"/>
        <v>93</v>
      </c>
      <c r="B466" s="2">
        <v>43606</v>
      </c>
      <c r="C466" s="3">
        <v>7.71</v>
      </c>
      <c r="D466" s="3">
        <v>7.8</v>
      </c>
      <c r="E466" s="3">
        <v>7.71</v>
      </c>
      <c r="F466" s="3">
        <v>7.71</v>
      </c>
      <c r="G466" s="3">
        <v>150360</v>
      </c>
      <c r="H466" s="8">
        <f t="shared" si="43"/>
        <v>1.1811023622047225</v>
      </c>
      <c r="I466">
        <f t="shared" si="44"/>
        <v>7.6219999999999999</v>
      </c>
      <c r="J466" s="6" cm="1">
        <f t="array" ref="J466">_xlfn.STDEV.S(IF($A:$A=A466, $F:$F))</f>
        <v>8.7578536183245168E-2</v>
      </c>
      <c r="P466" s="8">
        <f t="shared" si="45"/>
        <v>1.1811023622047225</v>
      </c>
      <c r="Q466" s="8">
        <f t="shared" si="46"/>
        <v>1.1811023622047225</v>
      </c>
      <c r="R466" s="8">
        <f t="shared" si="47"/>
        <v>1.1811023622047225</v>
      </c>
    </row>
    <row r="467" spans="1:18" x14ac:dyDescent="0.25">
      <c r="A467" s="7">
        <f t="shared" si="42"/>
        <v>94</v>
      </c>
      <c r="B467" s="2">
        <v>43607</v>
      </c>
      <c r="C467" s="3">
        <v>7.69</v>
      </c>
      <c r="D467" s="3">
        <v>7.71</v>
      </c>
      <c r="E467" s="3">
        <v>7.63</v>
      </c>
      <c r="F467" s="3">
        <v>7.64</v>
      </c>
      <c r="G467" s="3">
        <v>229930</v>
      </c>
      <c r="H467" s="8">
        <f t="shared" si="43"/>
        <v>-2.6178010471204098</v>
      </c>
      <c r="I467">
        <f t="shared" si="44"/>
        <v>7.5640000000000001</v>
      </c>
      <c r="J467" s="6" cm="1">
        <f t="array" ref="J467">_xlfn.STDEV.S(IF($A:$A=A467, $F:$F))</f>
        <v>0.12095453691366825</v>
      </c>
      <c r="P467" s="8">
        <f t="shared" si="45"/>
        <v>-2.6178010471204098</v>
      </c>
      <c r="Q467" s="8">
        <f t="shared" si="46"/>
        <v>-2.6178010471204098</v>
      </c>
      <c r="R467" s="8">
        <f t="shared" si="47"/>
        <v>-2.6178010471204098</v>
      </c>
    </row>
    <row r="468" spans="1:18" x14ac:dyDescent="0.25">
      <c r="A468" s="7">
        <f t="shared" si="42"/>
        <v>94</v>
      </c>
      <c r="B468" s="2">
        <v>43608</v>
      </c>
      <c r="C468" s="3">
        <v>7.58</v>
      </c>
      <c r="D468" s="3">
        <v>7.71</v>
      </c>
      <c r="E468" s="3">
        <v>7.58</v>
      </c>
      <c r="F468" s="3">
        <v>7.71</v>
      </c>
      <c r="G468" s="3">
        <v>92870</v>
      </c>
      <c r="H468" s="8">
        <f t="shared" si="43"/>
        <v>-2.6178010471204098</v>
      </c>
      <c r="I468">
        <f t="shared" si="44"/>
        <v>7.5640000000000001</v>
      </c>
      <c r="J468" s="6" cm="1">
        <f t="array" ref="J468">_xlfn.STDEV.S(IF($A:$A=A468, $F:$F))</f>
        <v>0.12095453691366825</v>
      </c>
      <c r="P468" s="8">
        <f t="shared" si="45"/>
        <v>-2.6178010471204098</v>
      </c>
      <c r="Q468" s="8">
        <f t="shared" si="46"/>
        <v>-2.6178010471204098</v>
      </c>
      <c r="R468" s="8">
        <f t="shared" si="47"/>
        <v>-2.6178010471204098</v>
      </c>
    </row>
    <row r="469" spans="1:18" x14ac:dyDescent="0.25">
      <c r="A469" s="7">
        <f t="shared" si="42"/>
        <v>94</v>
      </c>
      <c r="B469" s="2">
        <v>43609</v>
      </c>
      <c r="C469" s="3">
        <v>7.63</v>
      </c>
      <c r="D469" s="3">
        <v>7.77</v>
      </c>
      <c r="E469" s="3">
        <v>7.57</v>
      </c>
      <c r="F469" s="3">
        <v>7.59</v>
      </c>
      <c r="G469" s="3">
        <v>34930</v>
      </c>
      <c r="H469" s="8">
        <f t="shared" si="43"/>
        <v>-2.6178010471204098</v>
      </c>
      <c r="I469">
        <f t="shared" si="44"/>
        <v>7.5640000000000001</v>
      </c>
      <c r="J469" s="6" cm="1">
        <f t="array" ref="J469">_xlfn.STDEV.S(IF($A:$A=A469, $F:$F))</f>
        <v>0.12095453691366825</v>
      </c>
      <c r="P469" s="8">
        <f t="shared" si="45"/>
        <v>-2.6178010471204098</v>
      </c>
      <c r="Q469" s="8">
        <f t="shared" si="46"/>
        <v>-2.6178010471204098</v>
      </c>
      <c r="R469" s="8">
        <f t="shared" si="47"/>
        <v>-2.6178010471204098</v>
      </c>
    </row>
    <row r="470" spans="1:18" x14ac:dyDescent="0.25">
      <c r="A470" s="7">
        <f t="shared" si="42"/>
        <v>94</v>
      </c>
      <c r="B470" s="2">
        <v>43612</v>
      </c>
      <c r="C470" s="3">
        <v>7.59</v>
      </c>
      <c r="D470" s="3">
        <v>7.74</v>
      </c>
      <c r="E470" s="3">
        <v>7.44</v>
      </c>
      <c r="F470" s="3">
        <v>7.44</v>
      </c>
      <c r="G470" s="3">
        <v>53950</v>
      </c>
      <c r="H470" s="8">
        <f t="shared" si="43"/>
        <v>-2.6178010471204098</v>
      </c>
      <c r="I470">
        <f t="shared" si="44"/>
        <v>7.5640000000000001</v>
      </c>
      <c r="J470" s="6" cm="1">
        <f t="array" ref="J470">_xlfn.STDEV.S(IF($A:$A=A470, $F:$F))</f>
        <v>0.12095453691366825</v>
      </c>
      <c r="P470" s="8">
        <f t="shared" si="45"/>
        <v>-2.6178010471204098</v>
      </c>
      <c r="Q470" s="8">
        <f t="shared" si="46"/>
        <v>-2.6178010471204098</v>
      </c>
      <c r="R470" s="8">
        <f t="shared" si="47"/>
        <v>-2.6178010471204098</v>
      </c>
    </row>
    <row r="471" spans="1:18" x14ac:dyDescent="0.25">
      <c r="A471" s="7">
        <f t="shared" si="42"/>
        <v>94</v>
      </c>
      <c r="B471" s="2">
        <v>43613</v>
      </c>
      <c r="C471" s="3">
        <v>7.44</v>
      </c>
      <c r="D471" s="3">
        <v>7.53</v>
      </c>
      <c r="E471" s="3">
        <v>7.35</v>
      </c>
      <c r="F471" s="3">
        <v>7.44</v>
      </c>
      <c r="G471" s="3">
        <v>325970</v>
      </c>
      <c r="H471" s="8">
        <f t="shared" si="43"/>
        <v>-2.6178010471204098</v>
      </c>
      <c r="I471">
        <f t="shared" si="44"/>
        <v>7.5640000000000001</v>
      </c>
      <c r="J471" s="6" cm="1">
        <f t="array" ref="J471">_xlfn.STDEV.S(IF($A:$A=A471, $F:$F))</f>
        <v>0.12095453691366825</v>
      </c>
      <c r="P471" s="8">
        <f t="shared" si="45"/>
        <v>-2.6178010471204098</v>
      </c>
      <c r="Q471" s="8">
        <f t="shared" si="46"/>
        <v>-2.6178010471204098</v>
      </c>
      <c r="R471" s="8">
        <f t="shared" si="47"/>
        <v>-2.6178010471204098</v>
      </c>
    </row>
    <row r="472" spans="1:18" x14ac:dyDescent="0.25">
      <c r="A472" s="7">
        <f t="shared" si="42"/>
        <v>95</v>
      </c>
      <c r="B472" s="2">
        <v>43614</v>
      </c>
      <c r="C472" s="3">
        <v>7.47</v>
      </c>
      <c r="D472" s="3">
        <v>7.47</v>
      </c>
      <c r="E472" s="3">
        <v>7.42</v>
      </c>
      <c r="F472" s="3">
        <v>7.42</v>
      </c>
      <c r="G472" s="3">
        <v>52920</v>
      </c>
      <c r="H472" s="8">
        <f t="shared" si="43"/>
        <v>0.13477088948786775</v>
      </c>
      <c r="I472">
        <f t="shared" si="44"/>
        <v>7.4219999999999997</v>
      </c>
      <c r="J472" s="6" cm="1">
        <f t="array" ref="J472">_xlfn.STDEV.S(IF($A:$A=A472, $F:$F))</f>
        <v>1.4832396974191279E-2</v>
      </c>
      <c r="P472" s="8">
        <f t="shared" si="45"/>
        <v>0.13477088948786775</v>
      </c>
      <c r="Q472" s="8">
        <f t="shared" si="46"/>
        <v>0.13477088948786775</v>
      </c>
      <c r="R472" s="8">
        <f t="shared" si="47"/>
        <v>0.13477088948786775</v>
      </c>
    </row>
    <row r="473" spans="1:18" x14ac:dyDescent="0.25">
      <c r="A473" s="7">
        <f t="shared" si="42"/>
        <v>95</v>
      </c>
      <c r="B473" s="2">
        <v>43615</v>
      </c>
      <c r="C473" s="3">
        <v>7.42</v>
      </c>
      <c r="D473" s="3">
        <v>7.43</v>
      </c>
      <c r="E473" s="3">
        <v>7.35</v>
      </c>
      <c r="F473" s="3">
        <v>7.42</v>
      </c>
      <c r="G473" s="3">
        <v>139840</v>
      </c>
      <c r="H473" s="8">
        <f t="shared" si="43"/>
        <v>0.13477088948786775</v>
      </c>
      <c r="I473">
        <f t="shared" si="44"/>
        <v>7.4219999999999997</v>
      </c>
      <c r="J473" s="6" cm="1">
        <f t="array" ref="J473">_xlfn.STDEV.S(IF($A:$A=A473, $F:$F))</f>
        <v>1.4832396974191279E-2</v>
      </c>
      <c r="P473" s="8">
        <f t="shared" si="45"/>
        <v>0.13477088948786775</v>
      </c>
      <c r="Q473" s="8">
        <f t="shared" si="46"/>
        <v>0.13477088948786775</v>
      </c>
      <c r="R473" s="8">
        <f t="shared" si="47"/>
        <v>0.13477088948786775</v>
      </c>
    </row>
    <row r="474" spans="1:18" x14ac:dyDescent="0.25">
      <c r="A474" s="7">
        <f t="shared" si="42"/>
        <v>95</v>
      </c>
      <c r="B474" s="2">
        <v>43616</v>
      </c>
      <c r="C474" s="3">
        <v>7.43</v>
      </c>
      <c r="D474" s="3">
        <v>7.44</v>
      </c>
      <c r="E474" s="3">
        <v>7.4</v>
      </c>
      <c r="F474" s="3">
        <v>7.4</v>
      </c>
      <c r="G474" s="3">
        <v>111830</v>
      </c>
      <c r="H474" s="8">
        <f t="shared" si="43"/>
        <v>0.13477088948786775</v>
      </c>
      <c r="I474">
        <f t="shared" si="44"/>
        <v>7.4219999999999997</v>
      </c>
      <c r="J474" s="6" cm="1">
        <f t="array" ref="J474">_xlfn.STDEV.S(IF($A:$A=A474, $F:$F))</f>
        <v>1.4832396974191279E-2</v>
      </c>
      <c r="P474" s="8">
        <f t="shared" si="45"/>
        <v>0.13477088948786775</v>
      </c>
      <c r="Q474" s="8">
        <f t="shared" si="46"/>
        <v>0.13477088948786775</v>
      </c>
      <c r="R474" s="8">
        <f t="shared" si="47"/>
        <v>0.13477088948786775</v>
      </c>
    </row>
    <row r="475" spans="1:18" x14ac:dyDescent="0.25">
      <c r="A475" s="7">
        <f t="shared" si="42"/>
        <v>95</v>
      </c>
      <c r="B475" s="2">
        <v>43619</v>
      </c>
      <c r="C475" s="3">
        <v>7.32</v>
      </c>
      <c r="D475" s="3">
        <v>7.47</v>
      </c>
      <c r="E475" s="3">
        <v>7.32</v>
      </c>
      <c r="F475" s="3">
        <v>7.44</v>
      </c>
      <c r="G475" s="3">
        <v>73980</v>
      </c>
      <c r="H475" s="8">
        <f t="shared" si="43"/>
        <v>0.13477088948786775</v>
      </c>
      <c r="I475">
        <f t="shared" si="44"/>
        <v>7.4219999999999997</v>
      </c>
      <c r="J475" s="6" cm="1">
        <f t="array" ref="J475">_xlfn.STDEV.S(IF($A:$A=A475, $F:$F))</f>
        <v>1.4832396974191279E-2</v>
      </c>
      <c r="P475" s="8">
        <f t="shared" si="45"/>
        <v>0.13477088948786775</v>
      </c>
      <c r="Q475" s="8">
        <f t="shared" si="46"/>
        <v>0.13477088948786775</v>
      </c>
      <c r="R475" s="8">
        <f t="shared" si="47"/>
        <v>0.13477088948786775</v>
      </c>
    </row>
    <row r="476" spans="1:18" x14ac:dyDescent="0.25">
      <c r="A476" s="7">
        <f t="shared" si="42"/>
        <v>95</v>
      </c>
      <c r="B476" s="2">
        <v>43620</v>
      </c>
      <c r="C476" s="3">
        <v>7.44</v>
      </c>
      <c r="D476" s="3">
        <v>7.44</v>
      </c>
      <c r="E476" s="3">
        <v>7.35</v>
      </c>
      <c r="F476" s="3">
        <v>7.43</v>
      </c>
      <c r="G476" s="3">
        <v>18570</v>
      </c>
      <c r="H476" s="8">
        <f t="shared" si="43"/>
        <v>0.13477088948786775</v>
      </c>
      <c r="I476">
        <f t="shared" si="44"/>
        <v>7.4219999999999997</v>
      </c>
      <c r="J476" s="6" cm="1">
        <f t="array" ref="J476">_xlfn.STDEV.S(IF($A:$A=A476, $F:$F))</f>
        <v>1.4832396974191279E-2</v>
      </c>
      <c r="P476" s="8">
        <f t="shared" si="45"/>
        <v>0.13477088948786775</v>
      </c>
      <c r="Q476" s="8">
        <f t="shared" si="46"/>
        <v>0.13477088948786775</v>
      </c>
      <c r="R476" s="8">
        <f t="shared" si="47"/>
        <v>0.13477088948786775</v>
      </c>
    </row>
    <row r="477" spans="1:18" x14ac:dyDescent="0.25">
      <c r="A477" s="7">
        <f t="shared" si="42"/>
        <v>96</v>
      </c>
      <c r="B477" s="2">
        <v>43621</v>
      </c>
      <c r="C477" s="3">
        <v>7.49</v>
      </c>
      <c r="D477" s="3">
        <v>7.64</v>
      </c>
      <c r="E477" s="3">
        <v>7.42</v>
      </c>
      <c r="F477" s="3">
        <v>7.53</v>
      </c>
      <c r="G477" s="3">
        <v>80810</v>
      </c>
      <c r="H477" s="8">
        <f t="shared" si="43"/>
        <v>5.3120849933598864</v>
      </c>
      <c r="I477">
        <f t="shared" si="44"/>
        <v>7.6420000000000003</v>
      </c>
      <c r="J477" s="6" cm="1">
        <f t="array" ref="J477">_xlfn.STDEV.S(IF($A:$A=A477, $F:$F))</f>
        <v>0.22241852440837717</v>
      </c>
      <c r="P477" s="8">
        <f t="shared" si="45"/>
        <v>5.3120849933598864</v>
      </c>
      <c r="Q477" s="8">
        <f t="shared" si="46"/>
        <v>5.3120849933598864</v>
      </c>
      <c r="R477" s="8">
        <f t="shared" si="47"/>
        <v>5.3120849933598864</v>
      </c>
    </row>
    <row r="478" spans="1:18" x14ac:dyDescent="0.25">
      <c r="A478" s="7">
        <f t="shared" si="42"/>
        <v>96</v>
      </c>
      <c r="B478" s="2">
        <v>43622</v>
      </c>
      <c r="C478" s="3">
        <v>7.57</v>
      </c>
      <c r="D478" s="3">
        <v>7.57</v>
      </c>
      <c r="E478" s="3">
        <v>7.4</v>
      </c>
      <c r="F478" s="3">
        <v>7.44</v>
      </c>
      <c r="G478" s="3">
        <v>182120</v>
      </c>
      <c r="H478" s="8">
        <f t="shared" si="43"/>
        <v>5.3120849933598864</v>
      </c>
      <c r="I478">
        <f t="shared" si="44"/>
        <v>7.6420000000000003</v>
      </c>
      <c r="J478" s="6" cm="1">
        <f t="array" ref="J478">_xlfn.STDEV.S(IF($A:$A=A478, $F:$F))</f>
        <v>0.22241852440837717</v>
      </c>
      <c r="P478" s="8">
        <f t="shared" si="45"/>
        <v>5.3120849933598864</v>
      </c>
      <c r="Q478" s="8">
        <f t="shared" si="46"/>
        <v>5.3120849933598864</v>
      </c>
      <c r="R478" s="8">
        <f t="shared" si="47"/>
        <v>5.3120849933598864</v>
      </c>
    </row>
    <row r="479" spans="1:18" x14ac:dyDescent="0.25">
      <c r="A479" s="7">
        <f t="shared" si="42"/>
        <v>96</v>
      </c>
      <c r="B479" s="2">
        <v>43623</v>
      </c>
      <c r="C479" s="3">
        <v>7.48</v>
      </c>
      <c r="D479" s="3">
        <v>7.59</v>
      </c>
      <c r="E479" s="3">
        <v>7.37</v>
      </c>
      <c r="F479" s="3">
        <v>7.48</v>
      </c>
      <c r="G479" s="3">
        <v>147700</v>
      </c>
      <c r="H479" s="8">
        <f t="shared" si="43"/>
        <v>5.3120849933598864</v>
      </c>
      <c r="I479">
        <f t="shared" si="44"/>
        <v>7.6420000000000003</v>
      </c>
      <c r="J479" s="6" cm="1">
        <f t="array" ref="J479">_xlfn.STDEV.S(IF($A:$A=A479, $F:$F))</f>
        <v>0.22241852440837717</v>
      </c>
      <c r="P479" s="8">
        <f t="shared" si="45"/>
        <v>5.3120849933598864</v>
      </c>
      <c r="Q479" s="8">
        <f t="shared" si="46"/>
        <v>5.3120849933598864</v>
      </c>
      <c r="R479" s="8">
        <f t="shared" si="47"/>
        <v>5.3120849933598864</v>
      </c>
    </row>
    <row r="480" spans="1:18" x14ac:dyDescent="0.25">
      <c r="A480" s="7">
        <f t="shared" si="42"/>
        <v>96</v>
      </c>
      <c r="B480" s="2">
        <v>43626</v>
      </c>
      <c r="C480" s="3">
        <v>7.57</v>
      </c>
      <c r="D480" s="3">
        <v>7.83</v>
      </c>
      <c r="E480" s="3">
        <v>7.57</v>
      </c>
      <c r="F480" s="3">
        <v>7.83</v>
      </c>
      <c r="G480" s="3">
        <v>148050</v>
      </c>
      <c r="H480" s="8">
        <f t="shared" si="43"/>
        <v>5.3120849933598864</v>
      </c>
      <c r="I480">
        <f t="shared" si="44"/>
        <v>7.6420000000000003</v>
      </c>
      <c r="J480" s="6" cm="1">
        <f t="array" ref="J480">_xlfn.STDEV.S(IF($A:$A=A480, $F:$F))</f>
        <v>0.22241852440837717</v>
      </c>
      <c r="P480" s="8">
        <f t="shared" si="45"/>
        <v>5.3120849933598864</v>
      </c>
      <c r="Q480" s="8">
        <f t="shared" si="46"/>
        <v>5.3120849933598864</v>
      </c>
      <c r="R480" s="8">
        <f t="shared" si="47"/>
        <v>5.3120849933598864</v>
      </c>
    </row>
    <row r="481" spans="1:18" x14ac:dyDescent="0.25">
      <c r="A481" s="7">
        <f t="shared" si="42"/>
        <v>96</v>
      </c>
      <c r="B481" s="2">
        <v>43627</v>
      </c>
      <c r="C481" s="3">
        <v>7.93</v>
      </c>
      <c r="D481" s="3">
        <v>8.08</v>
      </c>
      <c r="E481" s="3">
        <v>7.91</v>
      </c>
      <c r="F481" s="3">
        <v>7.93</v>
      </c>
      <c r="G481" s="3">
        <v>155450</v>
      </c>
      <c r="H481" s="8">
        <f t="shared" si="43"/>
        <v>5.3120849933598864</v>
      </c>
      <c r="I481">
        <f t="shared" si="44"/>
        <v>7.6420000000000003</v>
      </c>
      <c r="J481" s="6" cm="1">
        <f t="array" ref="J481">_xlfn.STDEV.S(IF($A:$A=A481, $F:$F))</f>
        <v>0.22241852440837717</v>
      </c>
      <c r="P481" s="8">
        <f t="shared" si="45"/>
        <v>5.3120849933598864</v>
      </c>
      <c r="Q481" s="8">
        <f t="shared" si="46"/>
        <v>5.3120849933598864</v>
      </c>
      <c r="R481" s="8">
        <f t="shared" si="47"/>
        <v>5.3120849933598864</v>
      </c>
    </row>
    <row r="482" spans="1:18" x14ac:dyDescent="0.25">
      <c r="A482" s="7">
        <f t="shared" si="42"/>
        <v>97</v>
      </c>
      <c r="B482" s="2">
        <v>43628</v>
      </c>
      <c r="C482" s="3">
        <v>7.81</v>
      </c>
      <c r="D482" s="3">
        <v>7.83</v>
      </c>
      <c r="E482" s="3">
        <v>7.76</v>
      </c>
      <c r="F482" s="3">
        <v>7.76</v>
      </c>
      <c r="G482" s="3">
        <v>40050</v>
      </c>
      <c r="H482" s="8">
        <f t="shared" si="43"/>
        <v>3.4793814432989638</v>
      </c>
      <c r="I482">
        <f t="shared" si="44"/>
        <v>7.944</v>
      </c>
      <c r="J482" s="6" cm="1">
        <f t="array" ref="J482">_xlfn.STDEV.S(IF($A:$A=A482, $F:$F))</f>
        <v>0.10737783756436886</v>
      </c>
      <c r="P482" s="8">
        <f t="shared" si="45"/>
        <v>3.4793814432989638</v>
      </c>
      <c r="Q482" s="8">
        <f t="shared" si="46"/>
        <v>3.4793814432989638</v>
      </c>
      <c r="R482" s="8">
        <f t="shared" si="47"/>
        <v>3.4793814432989638</v>
      </c>
    </row>
    <row r="483" spans="1:18" x14ac:dyDescent="0.25">
      <c r="A483" s="7">
        <f t="shared" si="42"/>
        <v>97</v>
      </c>
      <c r="B483" s="2">
        <v>43629</v>
      </c>
      <c r="C483" s="3">
        <v>7.69</v>
      </c>
      <c r="D483" s="3">
        <v>8.01</v>
      </c>
      <c r="E483" s="3">
        <v>7.69</v>
      </c>
      <c r="F483" s="3">
        <v>7.96</v>
      </c>
      <c r="G483" s="3">
        <v>338070</v>
      </c>
      <c r="H483" s="8">
        <f t="shared" si="43"/>
        <v>3.4793814432989638</v>
      </c>
      <c r="I483">
        <f t="shared" si="44"/>
        <v>7.944</v>
      </c>
      <c r="J483" s="6" cm="1">
        <f t="array" ref="J483">_xlfn.STDEV.S(IF($A:$A=A483, $F:$F))</f>
        <v>0.10737783756436886</v>
      </c>
      <c r="P483" s="8">
        <f t="shared" si="45"/>
        <v>3.4793814432989638</v>
      </c>
      <c r="Q483" s="8">
        <f t="shared" si="46"/>
        <v>3.4793814432989638</v>
      </c>
      <c r="R483" s="8">
        <f t="shared" si="47"/>
        <v>3.4793814432989638</v>
      </c>
    </row>
    <row r="484" spans="1:18" x14ac:dyDescent="0.25">
      <c r="A484" s="7">
        <f t="shared" si="42"/>
        <v>97</v>
      </c>
      <c r="B484" s="2">
        <v>43630</v>
      </c>
      <c r="C484" s="3">
        <v>7.96</v>
      </c>
      <c r="D484" s="3">
        <v>8.0500000000000007</v>
      </c>
      <c r="E484" s="3">
        <v>7.96</v>
      </c>
      <c r="F484" s="3">
        <v>7.96</v>
      </c>
      <c r="G484" s="3">
        <v>93220</v>
      </c>
      <c r="H484" s="8">
        <f t="shared" si="43"/>
        <v>3.4793814432989638</v>
      </c>
      <c r="I484">
        <f t="shared" si="44"/>
        <v>7.944</v>
      </c>
      <c r="J484" s="6" cm="1">
        <f t="array" ref="J484">_xlfn.STDEV.S(IF($A:$A=A484, $F:$F))</f>
        <v>0.10737783756436886</v>
      </c>
      <c r="P484" s="8">
        <f t="shared" si="45"/>
        <v>3.4793814432989638</v>
      </c>
      <c r="Q484" s="8">
        <f t="shared" si="46"/>
        <v>3.4793814432989638</v>
      </c>
      <c r="R484" s="8">
        <f t="shared" si="47"/>
        <v>3.4793814432989638</v>
      </c>
    </row>
    <row r="485" spans="1:18" x14ac:dyDescent="0.25">
      <c r="A485" s="7">
        <f t="shared" si="42"/>
        <v>97</v>
      </c>
      <c r="B485" s="2">
        <v>43633</v>
      </c>
      <c r="C485" s="3">
        <v>7.96</v>
      </c>
      <c r="D485" s="3">
        <v>8.1</v>
      </c>
      <c r="E485" s="3">
        <v>7.86</v>
      </c>
      <c r="F485" s="3">
        <v>8.01</v>
      </c>
      <c r="G485" s="3">
        <v>100930</v>
      </c>
      <c r="H485" s="8">
        <f t="shared" si="43"/>
        <v>3.4793814432989638</v>
      </c>
      <c r="I485">
        <f t="shared" si="44"/>
        <v>7.944</v>
      </c>
      <c r="J485" s="6" cm="1">
        <f t="array" ref="J485">_xlfn.STDEV.S(IF($A:$A=A485, $F:$F))</f>
        <v>0.10737783756436886</v>
      </c>
      <c r="P485" s="8">
        <f t="shared" si="45"/>
        <v>3.4793814432989638</v>
      </c>
      <c r="Q485" s="8">
        <f t="shared" si="46"/>
        <v>3.4793814432989638</v>
      </c>
      <c r="R485" s="8">
        <f t="shared" si="47"/>
        <v>3.4793814432989638</v>
      </c>
    </row>
    <row r="486" spans="1:18" x14ac:dyDescent="0.25">
      <c r="A486" s="7">
        <f t="shared" si="42"/>
        <v>97</v>
      </c>
      <c r="B486" s="2">
        <v>43634</v>
      </c>
      <c r="C486" s="3">
        <v>8.0299999999999994</v>
      </c>
      <c r="D486" s="3">
        <v>8.1</v>
      </c>
      <c r="E486" s="3">
        <v>7.93</v>
      </c>
      <c r="F486" s="3">
        <v>8.0299999999999994</v>
      </c>
      <c r="G486" s="3">
        <v>232420</v>
      </c>
      <c r="H486" s="8">
        <f t="shared" si="43"/>
        <v>3.4793814432989638</v>
      </c>
      <c r="I486">
        <f t="shared" si="44"/>
        <v>7.944</v>
      </c>
      <c r="J486" s="6" cm="1">
        <f t="array" ref="J486">_xlfn.STDEV.S(IF($A:$A=A486, $F:$F))</f>
        <v>0.10737783756436886</v>
      </c>
      <c r="P486" s="8">
        <f t="shared" si="45"/>
        <v>3.4793814432989638</v>
      </c>
      <c r="Q486" s="8">
        <f t="shared" si="46"/>
        <v>3.4793814432989638</v>
      </c>
      <c r="R486" s="8">
        <f t="shared" si="47"/>
        <v>3.4793814432989638</v>
      </c>
    </row>
    <row r="487" spans="1:18" x14ac:dyDescent="0.25">
      <c r="A487" s="7">
        <f t="shared" si="42"/>
        <v>98</v>
      </c>
      <c r="B487" s="2">
        <v>43635</v>
      </c>
      <c r="C487" s="3">
        <v>8.1</v>
      </c>
      <c r="D487" s="3">
        <v>8.1</v>
      </c>
      <c r="E487" s="3">
        <v>7.93</v>
      </c>
      <c r="F487" s="3">
        <v>8.0299999999999994</v>
      </c>
      <c r="G487" s="3">
        <v>79960</v>
      </c>
      <c r="H487" s="8">
        <f t="shared" si="43"/>
        <v>-2.7397260273972575</v>
      </c>
      <c r="I487">
        <f t="shared" si="44"/>
        <v>7.9459999999999997</v>
      </c>
      <c r="J487" s="6" cm="1">
        <f t="array" ref="J487">_xlfn.STDEV.S(IF($A:$A=A487, $F:$F))</f>
        <v>8.3845095265018432E-2</v>
      </c>
      <c r="P487" s="8">
        <f t="shared" si="45"/>
        <v>-2.7397260273972575</v>
      </c>
      <c r="Q487" s="8">
        <f t="shared" si="46"/>
        <v>-2.7397260273972575</v>
      </c>
      <c r="R487" s="8">
        <f t="shared" si="47"/>
        <v>-2.7397260273972575</v>
      </c>
    </row>
    <row r="488" spans="1:18" x14ac:dyDescent="0.25">
      <c r="A488" s="7">
        <f t="shared" si="42"/>
        <v>98</v>
      </c>
      <c r="B488" s="2">
        <v>43636</v>
      </c>
      <c r="C488" s="3">
        <v>7.96</v>
      </c>
      <c r="D488" s="3">
        <v>7.98</v>
      </c>
      <c r="E488" s="3">
        <v>7.93</v>
      </c>
      <c r="F488" s="3">
        <v>7.98</v>
      </c>
      <c r="G488" s="3">
        <v>44490</v>
      </c>
      <c r="H488" s="8">
        <f t="shared" si="43"/>
        <v>-2.7397260273972575</v>
      </c>
      <c r="I488">
        <f t="shared" si="44"/>
        <v>7.9459999999999997</v>
      </c>
      <c r="J488" s="6" cm="1">
        <f t="array" ref="J488">_xlfn.STDEV.S(IF($A:$A=A488, $F:$F))</f>
        <v>8.3845095265018432E-2</v>
      </c>
      <c r="P488" s="8">
        <f t="shared" si="45"/>
        <v>-2.7397260273972575</v>
      </c>
      <c r="Q488" s="8">
        <f t="shared" si="46"/>
        <v>-2.7397260273972575</v>
      </c>
      <c r="R488" s="8">
        <f t="shared" si="47"/>
        <v>-2.7397260273972575</v>
      </c>
    </row>
    <row r="489" spans="1:18" x14ac:dyDescent="0.25">
      <c r="A489" s="7">
        <f t="shared" si="42"/>
        <v>98</v>
      </c>
      <c r="B489" s="2">
        <v>43637</v>
      </c>
      <c r="C489" s="3">
        <v>7.98</v>
      </c>
      <c r="D489" s="3">
        <v>8.0500000000000007</v>
      </c>
      <c r="E489" s="3">
        <v>7.91</v>
      </c>
      <c r="F489" s="3">
        <v>7.98</v>
      </c>
      <c r="G489" s="3">
        <v>28240</v>
      </c>
      <c r="H489" s="8">
        <f t="shared" si="43"/>
        <v>-2.7397260273972575</v>
      </c>
      <c r="I489">
        <f t="shared" si="44"/>
        <v>7.9459999999999997</v>
      </c>
      <c r="J489" s="6" cm="1">
        <f t="array" ref="J489">_xlfn.STDEV.S(IF($A:$A=A489, $F:$F))</f>
        <v>8.3845095265018432E-2</v>
      </c>
      <c r="P489" s="8">
        <f t="shared" si="45"/>
        <v>-2.7397260273972575</v>
      </c>
      <c r="Q489" s="8">
        <f t="shared" si="46"/>
        <v>-2.7397260273972575</v>
      </c>
      <c r="R489" s="8">
        <f t="shared" si="47"/>
        <v>-2.7397260273972575</v>
      </c>
    </row>
    <row r="490" spans="1:18" x14ac:dyDescent="0.25">
      <c r="A490" s="7">
        <f t="shared" si="42"/>
        <v>98</v>
      </c>
      <c r="B490" s="2">
        <v>43640</v>
      </c>
      <c r="C490" s="3">
        <v>7.86</v>
      </c>
      <c r="D490" s="3">
        <v>7.96</v>
      </c>
      <c r="E490" s="3">
        <v>7.83</v>
      </c>
      <c r="F490" s="3">
        <v>7.93</v>
      </c>
      <c r="G490" s="3">
        <v>35910</v>
      </c>
      <c r="H490" s="8">
        <f t="shared" si="43"/>
        <v>-2.7397260273972575</v>
      </c>
      <c r="I490">
        <f t="shared" si="44"/>
        <v>7.9459999999999997</v>
      </c>
      <c r="J490" s="6" cm="1">
        <f t="array" ref="J490">_xlfn.STDEV.S(IF($A:$A=A490, $F:$F))</f>
        <v>8.3845095265018432E-2</v>
      </c>
      <c r="P490" s="8">
        <f t="shared" si="45"/>
        <v>-2.7397260273972575</v>
      </c>
      <c r="Q490" s="8">
        <f t="shared" si="46"/>
        <v>-2.7397260273972575</v>
      </c>
      <c r="R490" s="8">
        <f t="shared" si="47"/>
        <v>-2.7397260273972575</v>
      </c>
    </row>
    <row r="491" spans="1:18" x14ac:dyDescent="0.25">
      <c r="A491" s="7">
        <f t="shared" si="42"/>
        <v>98</v>
      </c>
      <c r="B491" s="2">
        <v>43641</v>
      </c>
      <c r="C491" s="3">
        <v>7.88</v>
      </c>
      <c r="D491" s="3">
        <v>7.93</v>
      </c>
      <c r="E491" s="3">
        <v>7.74</v>
      </c>
      <c r="F491" s="3">
        <v>7.81</v>
      </c>
      <c r="G491" s="3">
        <v>23530</v>
      </c>
      <c r="H491" s="8">
        <f t="shared" si="43"/>
        <v>-2.7397260273972575</v>
      </c>
      <c r="I491">
        <f t="shared" si="44"/>
        <v>7.9459999999999997</v>
      </c>
      <c r="J491" s="6" cm="1">
        <f t="array" ref="J491">_xlfn.STDEV.S(IF($A:$A=A491, $F:$F))</f>
        <v>8.3845095265018432E-2</v>
      </c>
      <c r="P491" s="8">
        <f t="shared" si="45"/>
        <v>-2.7397260273972575</v>
      </c>
      <c r="Q491" s="8">
        <f t="shared" si="46"/>
        <v>-2.7397260273972575</v>
      </c>
      <c r="R491" s="8">
        <f t="shared" si="47"/>
        <v>-2.7397260273972575</v>
      </c>
    </row>
    <row r="492" spans="1:18" x14ac:dyDescent="0.25">
      <c r="A492" s="7">
        <f t="shared" si="42"/>
        <v>99</v>
      </c>
      <c r="B492" s="2">
        <v>43642</v>
      </c>
      <c r="C492" s="3">
        <v>7.88</v>
      </c>
      <c r="D492" s="3">
        <v>7.88</v>
      </c>
      <c r="E492" s="3">
        <v>7.49</v>
      </c>
      <c r="F492" s="3">
        <v>7.49</v>
      </c>
      <c r="G492" s="3">
        <v>63970</v>
      </c>
      <c r="H492" s="8">
        <f t="shared" si="43"/>
        <v>0.4005340453938499</v>
      </c>
      <c r="I492">
        <f t="shared" si="44"/>
        <v>7.4659999999999993</v>
      </c>
      <c r="J492" s="6" cm="1">
        <f t="array" ref="J492">_xlfn.STDEV.S(IF($A:$A=A492, $F:$F))</f>
        <v>6.5038450166036238E-2</v>
      </c>
      <c r="P492" s="8">
        <f t="shared" si="45"/>
        <v>0.4005340453938499</v>
      </c>
      <c r="Q492" s="8">
        <f t="shared" si="46"/>
        <v>0.4005340453938499</v>
      </c>
      <c r="R492" s="8">
        <f t="shared" si="47"/>
        <v>0.4005340453938499</v>
      </c>
    </row>
    <row r="493" spans="1:18" x14ac:dyDescent="0.25">
      <c r="A493" s="7">
        <f t="shared" si="42"/>
        <v>99</v>
      </c>
      <c r="B493" s="2">
        <v>43643</v>
      </c>
      <c r="C493" s="3">
        <v>7.37</v>
      </c>
      <c r="D493" s="3">
        <v>7.66</v>
      </c>
      <c r="E493" s="3">
        <v>7.37</v>
      </c>
      <c r="F493" s="3">
        <v>7.52</v>
      </c>
      <c r="G493" s="3">
        <v>39890</v>
      </c>
      <c r="H493" s="8">
        <f t="shared" si="43"/>
        <v>0.4005340453938499</v>
      </c>
      <c r="I493">
        <f t="shared" si="44"/>
        <v>7.4659999999999993</v>
      </c>
      <c r="J493" s="6" cm="1">
        <f t="array" ref="J493">_xlfn.STDEV.S(IF($A:$A=A493, $F:$F))</f>
        <v>6.5038450166036238E-2</v>
      </c>
      <c r="P493" s="8">
        <f t="shared" si="45"/>
        <v>0.4005340453938499</v>
      </c>
      <c r="Q493" s="8">
        <f t="shared" si="46"/>
        <v>0.4005340453938499</v>
      </c>
      <c r="R493" s="8">
        <f t="shared" si="47"/>
        <v>0.4005340453938499</v>
      </c>
    </row>
    <row r="494" spans="1:18" x14ac:dyDescent="0.25">
      <c r="A494" s="7">
        <f t="shared" si="42"/>
        <v>99</v>
      </c>
      <c r="B494" s="2">
        <v>43644</v>
      </c>
      <c r="C494" s="3">
        <v>7.49</v>
      </c>
      <c r="D494" s="3">
        <v>7.54</v>
      </c>
      <c r="E494" s="3">
        <v>7.37</v>
      </c>
      <c r="F494" s="3">
        <v>7.37</v>
      </c>
      <c r="G494" s="3">
        <v>36510</v>
      </c>
      <c r="H494" s="8">
        <f t="shared" si="43"/>
        <v>0.4005340453938499</v>
      </c>
      <c r="I494">
        <f t="shared" si="44"/>
        <v>7.4659999999999993</v>
      </c>
      <c r="J494" s="6" cm="1">
        <f t="array" ref="J494">_xlfn.STDEV.S(IF($A:$A=A494, $F:$F))</f>
        <v>6.5038450166036238E-2</v>
      </c>
      <c r="P494" s="8">
        <f t="shared" si="45"/>
        <v>0.4005340453938499</v>
      </c>
      <c r="Q494" s="8">
        <f t="shared" si="46"/>
        <v>0.4005340453938499</v>
      </c>
      <c r="R494" s="8">
        <f t="shared" si="47"/>
        <v>0.4005340453938499</v>
      </c>
    </row>
    <row r="495" spans="1:18" x14ac:dyDescent="0.25">
      <c r="A495" s="7">
        <f t="shared" si="42"/>
        <v>99</v>
      </c>
      <c r="B495" s="2">
        <v>43647</v>
      </c>
      <c r="C495" s="3">
        <v>7.37</v>
      </c>
      <c r="D495" s="3">
        <v>7.71</v>
      </c>
      <c r="E495" s="3">
        <v>7.37</v>
      </c>
      <c r="F495" s="3">
        <v>7.43</v>
      </c>
      <c r="G495" s="3">
        <v>32230</v>
      </c>
      <c r="H495" s="8">
        <f t="shared" si="43"/>
        <v>0.4005340453938499</v>
      </c>
      <c r="I495">
        <f t="shared" si="44"/>
        <v>7.4659999999999993</v>
      </c>
      <c r="J495" s="6" cm="1">
        <f t="array" ref="J495">_xlfn.STDEV.S(IF($A:$A=A495, $F:$F))</f>
        <v>6.5038450166036238E-2</v>
      </c>
      <c r="P495" s="8">
        <f t="shared" si="45"/>
        <v>0.4005340453938499</v>
      </c>
      <c r="Q495" s="8">
        <f t="shared" si="46"/>
        <v>0.4005340453938499</v>
      </c>
      <c r="R495" s="8">
        <f t="shared" si="47"/>
        <v>0.4005340453938499</v>
      </c>
    </row>
    <row r="496" spans="1:18" x14ac:dyDescent="0.25">
      <c r="A496" s="7">
        <f t="shared" si="42"/>
        <v>99</v>
      </c>
      <c r="B496" s="2">
        <v>43648</v>
      </c>
      <c r="C496" s="3">
        <v>7.52</v>
      </c>
      <c r="D496" s="3">
        <v>7.61</v>
      </c>
      <c r="E496" s="3">
        <v>7.47</v>
      </c>
      <c r="F496" s="3">
        <v>7.52</v>
      </c>
      <c r="G496" s="3">
        <v>60460</v>
      </c>
      <c r="H496" s="8">
        <f t="shared" si="43"/>
        <v>0.4005340453938499</v>
      </c>
      <c r="I496">
        <f t="shared" si="44"/>
        <v>7.4659999999999993</v>
      </c>
      <c r="J496" s="6" cm="1">
        <f t="array" ref="J496">_xlfn.STDEV.S(IF($A:$A=A496, $F:$F))</f>
        <v>6.5038450166036238E-2</v>
      </c>
      <c r="P496" s="8">
        <f t="shared" si="45"/>
        <v>0.4005340453938499</v>
      </c>
      <c r="Q496" s="8">
        <f t="shared" si="46"/>
        <v>0.4005340453938499</v>
      </c>
      <c r="R496" s="8">
        <f t="shared" si="47"/>
        <v>0.4005340453938499</v>
      </c>
    </row>
    <row r="497" spans="1:18" x14ac:dyDescent="0.25">
      <c r="A497" s="7">
        <f t="shared" si="42"/>
        <v>100</v>
      </c>
      <c r="B497" s="2">
        <v>43649</v>
      </c>
      <c r="C497" s="3">
        <v>7.52</v>
      </c>
      <c r="D497" s="3">
        <v>7.66</v>
      </c>
      <c r="E497" s="3">
        <v>7.49</v>
      </c>
      <c r="F497" s="3">
        <v>7.52</v>
      </c>
      <c r="G497" s="3">
        <v>10170</v>
      </c>
      <c r="H497" s="8">
        <f t="shared" si="43"/>
        <v>3.856382978723405</v>
      </c>
      <c r="I497">
        <f t="shared" si="44"/>
        <v>7.7200000000000006</v>
      </c>
      <c r="J497" s="6" cm="1">
        <f t="array" ref="J497">_xlfn.STDEV.S(IF($A:$A=A497, $F:$F))</f>
        <v>0.14053469322555198</v>
      </c>
      <c r="P497" s="8">
        <f t="shared" si="45"/>
        <v>3.856382978723405</v>
      </c>
      <c r="Q497" s="8">
        <f t="shared" si="46"/>
        <v>3.856382978723405</v>
      </c>
      <c r="R497" s="8">
        <f t="shared" si="47"/>
        <v>3.856382978723405</v>
      </c>
    </row>
    <row r="498" spans="1:18" x14ac:dyDescent="0.25">
      <c r="A498" s="7">
        <f t="shared" si="42"/>
        <v>100</v>
      </c>
      <c r="B498" s="2">
        <v>43650</v>
      </c>
      <c r="C498" s="3">
        <v>7.53</v>
      </c>
      <c r="D498" s="3">
        <v>7.65</v>
      </c>
      <c r="E498" s="3">
        <v>7.52</v>
      </c>
      <c r="F498" s="3">
        <v>7.65</v>
      </c>
      <c r="G498" s="3">
        <v>32030</v>
      </c>
      <c r="H498" s="8">
        <f t="shared" si="43"/>
        <v>3.856382978723405</v>
      </c>
      <c r="I498">
        <f t="shared" si="44"/>
        <v>7.7200000000000006</v>
      </c>
      <c r="J498" s="6" cm="1">
        <f t="array" ref="J498">_xlfn.STDEV.S(IF($A:$A=A498, $F:$F))</f>
        <v>0.14053469322555198</v>
      </c>
      <c r="P498" s="8">
        <f t="shared" si="45"/>
        <v>3.856382978723405</v>
      </c>
      <c r="Q498" s="8">
        <f t="shared" si="46"/>
        <v>3.856382978723405</v>
      </c>
      <c r="R498" s="8">
        <f t="shared" si="47"/>
        <v>3.856382978723405</v>
      </c>
    </row>
    <row r="499" spans="1:18" x14ac:dyDescent="0.25">
      <c r="A499" s="7">
        <f t="shared" si="42"/>
        <v>100</v>
      </c>
      <c r="B499" s="2">
        <v>43651</v>
      </c>
      <c r="C499" s="3">
        <v>7.79</v>
      </c>
      <c r="D499" s="3">
        <v>7.79</v>
      </c>
      <c r="E499" s="3">
        <v>7.65</v>
      </c>
      <c r="F499" s="3">
        <v>7.74</v>
      </c>
      <c r="G499" s="3">
        <v>38680</v>
      </c>
      <c r="H499" s="8">
        <f t="shared" si="43"/>
        <v>3.856382978723405</v>
      </c>
      <c r="I499">
        <f t="shared" si="44"/>
        <v>7.7200000000000006</v>
      </c>
      <c r="J499" s="6" cm="1">
        <f t="array" ref="J499">_xlfn.STDEV.S(IF($A:$A=A499, $F:$F))</f>
        <v>0.14053469322555198</v>
      </c>
      <c r="P499" s="8">
        <f t="shared" si="45"/>
        <v>3.856382978723405</v>
      </c>
      <c r="Q499" s="8">
        <f t="shared" si="46"/>
        <v>3.856382978723405</v>
      </c>
      <c r="R499" s="8">
        <f t="shared" si="47"/>
        <v>3.856382978723405</v>
      </c>
    </row>
    <row r="500" spans="1:18" x14ac:dyDescent="0.25">
      <c r="A500" s="7">
        <f t="shared" si="42"/>
        <v>100</v>
      </c>
      <c r="B500" s="2">
        <v>43654</v>
      </c>
      <c r="C500" s="3">
        <v>7.81</v>
      </c>
      <c r="D500" s="3">
        <v>7.9</v>
      </c>
      <c r="E500" s="3">
        <v>7.74</v>
      </c>
      <c r="F500" s="3">
        <v>7.88</v>
      </c>
      <c r="G500" s="3">
        <v>127550</v>
      </c>
      <c r="H500" s="8">
        <f t="shared" si="43"/>
        <v>3.856382978723405</v>
      </c>
      <c r="I500">
        <f t="shared" si="44"/>
        <v>7.7200000000000006</v>
      </c>
      <c r="J500" s="6" cm="1">
        <f t="array" ref="J500">_xlfn.STDEV.S(IF($A:$A=A500, $F:$F))</f>
        <v>0.14053469322555198</v>
      </c>
      <c r="P500" s="8">
        <f t="shared" si="45"/>
        <v>3.856382978723405</v>
      </c>
      <c r="Q500" s="8">
        <f t="shared" si="46"/>
        <v>3.856382978723405</v>
      </c>
      <c r="R500" s="8">
        <f t="shared" si="47"/>
        <v>3.856382978723405</v>
      </c>
    </row>
    <row r="501" spans="1:18" x14ac:dyDescent="0.25">
      <c r="A501" s="7">
        <f t="shared" si="42"/>
        <v>100</v>
      </c>
      <c r="B501" s="2">
        <v>43655</v>
      </c>
      <c r="C501" s="3">
        <v>7.88</v>
      </c>
      <c r="D501" s="3">
        <v>7.88</v>
      </c>
      <c r="E501" s="3">
        <v>7.69</v>
      </c>
      <c r="F501" s="3">
        <v>7.81</v>
      </c>
      <c r="G501" s="3">
        <v>27700</v>
      </c>
      <c r="H501" s="8">
        <f t="shared" si="43"/>
        <v>3.856382978723405</v>
      </c>
      <c r="I501">
        <f t="shared" si="44"/>
        <v>7.7200000000000006</v>
      </c>
      <c r="J501" s="6" cm="1">
        <f t="array" ref="J501">_xlfn.STDEV.S(IF($A:$A=A501, $F:$F))</f>
        <v>0.14053469322555198</v>
      </c>
      <c r="P501" s="8">
        <f t="shared" si="45"/>
        <v>3.856382978723405</v>
      </c>
      <c r="Q501" s="8">
        <f t="shared" si="46"/>
        <v>3.856382978723405</v>
      </c>
      <c r="R501" s="8">
        <f t="shared" si="47"/>
        <v>3.856382978723405</v>
      </c>
    </row>
    <row r="502" spans="1:18" x14ac:dyDescent="0.25">
      <c r="A502" s="7">
        <f t="shared" si="42"/>
        <v>101</v>
      </c>
      <c r="B502" s="2">
        <v>43656</v>
      </c>
      <c r="C502" s="3">
        <v>7.82</v>
      </c>
      <c r="D502" s="3">
        <v>7.82</v>
      </c>
      <c r="E502" s="3">
        <v>7.59</v>
      </c>
      <c r="F502" s="3">
        <v>7.74</v>
      </c>
      <c r="G502" s="3">
        <v>49520</v>
      </c>
      <c r="H502" s="8">
        <f t="shared" si="43"/>
        <v>5.6847545219638178</v>
      </c>
      <c r="I502">
        <f t="shared" si="44"/>
        <v>8.0060000000000002</v>
      </c>
      <c r="J502" s="6" cm="1">
        <f t="array" ref="J502">_xlfn.STDEV.S(IF($A:$A=A502, $F:$F))</f>
        <v>0.18782971010998228</v>
      </c>
      <c r="P502" s="8">
        <f t="shared" si="45"/>
        <v>5.6847545219638178</v>
      </c>
      <c r="Q502" s="8">
        <f t="shared" si="46"/>
        <v>5.6847545219638178</v>
      </c>
      <c r="R502" s="8">
        <f t="shared" si="47"/>
        <v>5.6847545219638178</v>
      </c>
    </row>
    <row r="503" spans="1:18" x14ac:dyDescent="0.25">
      <c r="A503" s="7">
        <f t="shared" si="42"/>
        <v>101</v>
      </c>
      <c r="B503" s="2">
        <v>43657</v>
      </c>
      <c r="C503" s="3">
        <v>7.86</v>
      </c>
      <c r="D503" s="3">
        <v>7.91</v>
      </c>
      <c r="E503" s="3">
        <v>7.6</v>
      </c>
      <c r="F503" s="3">
        <v>7.88</v>
      </c>
      <c r="G503" s="3">
        <v>130030</v>
      </c>
      <c r="H503" s="8">
        <f t="shared" si="43"/>
        <v>5.6847545219638178</v>
      </c>
      <c r="I503">
        <f t="shared" si="44"/>
        <v>8.0060000000000002</v>
      </c>
      <c r="J503" s="6" cm="1">
        <f t="array" ref="J503">_xlfn.STDEV.S(IF($A:$A=A503, $F:$F))</f>
        <v>0.18782971010998228</v>
      </c>
      <c r="P503" s="8">
        <f t="shared" si="45"/>
        <v>5.6847545219638178</v>
      </c>
      <c r="Q503" s="8">
        <f t="shared" si="46"/>
        <v>5.6847545219638178</v>
      </c>
      <c r="R503" s="8">
        <f t="shared" si="47"/>
        <v>5.6847545219638178</v>
      </c>
    </row>
    <row r="504" spans="1:18" x14ac:dyDescent="0.25">
      <c r="A504" s="7">
        <f t="shared" si="42"/>
        <v>101</v>
      </c>
      <c r="B504" s="2">
        <v>43658</v>
      </c>
      <c r="C504" s="3">
        <v>7.93</v>
      </c>
      <c r="D504" s="3">
        <v>8.2200000000000006</v>
      </c>
      <c r="E504" s="3">
        <v>7.91</v>
      </c>
      <c r="F504" s="3">
        <v>8.1300000000000008</v>
      </c>
      <c r="G504" s="3">
        <v>207920</v>
      </c>
      <c r="H504" s="8">
        <f t="shared" si="43"/>
        <v>5.6847545219638178</v>
      </c>
      <c r="I504">
        <f t="shared" si="44"/>
        <v>8.0060000000000002</v>
      </c>
      <c r="J504" s="6" cm="1">
        <f t="array" ref="J504">_xlfn.STDEV.S(IF($A:$A=A504, $F:$F))</f>
        <v>0.18782971010998228</v>
      </c>
      <c r="P504" s="8">
        <f t="shared" si="45"/>
        <v>5.6847545219638178</v>
      </c>
      <c r="Q504" s="8">
        <f t="shared" si="46"/>
        <v>5.6847545219638178</v>
      </c>
      <c r="R504" s="8">
        <f t="shared" si="47"/>
        <v>5.6847545219638178</v>
      </c>
    </row>
    <row r="505" spans="1:18" x14ac:dyDescent="0.25">
      <c r="A505" s="7">
        <f t="shared" si="42"/>
        <v>101</v>
      </c>
      <c r="B505" s="2">
        <v>43661</v>
      </c>
      <c r="C505" s="3">
        <v>8.15</v>
      </c>
      <c r="D505" s="3">
        <v>8.2200000000000006</v>
      </c>
      <c r="E505" s="3">
        <v>8.0500000000000007</v>
      </c>
      <c r="F505" s="3">
        <v>8.1</v>
      </c>
      <c r="G505" s="3">
        <v>42750</v>
      </c>
      <c r="H505" s="8">
        <f t="shared" si="43"/>
        <v>5.6847545219638178</v>
      </c>
      <c r="I505">
        <f t="shared" si="44"/>
        <v>8.0060000000000002</v>
      </c>
      <c r="J505" s="6" cm="1">
        <f t="array" ref="J505">_xlfn.STDEV.S(IF($A:$A=A505, $F:$F))</f>
        <v>0.18782971010998228</v>
      </c>
      <c r="P505" s="8">
        <f t="shared" si="45"/>
        <v>5.6847545219638178</v>
      </c>
      <c r="Q505" s="8">
        <f t="shared" si="46"/>
        <v>5.6847545219638178</v>
      </c>
      <c r="R505" s="8">
        <f t="shared" si="47"/>
        <v>5.6847545219638178</v>
      </c>
    </row>
    <row r="506" spans="1:18" x14ac:dyDescent="0.25">
      <c r="A506" s="7">
        <f t="shared" si="42"/>
        <v>101</v>
      </c>
      <c r="B506" s="2">
        <v>43662</v>
      </c>
      <c r="C506" s="3">
        <v>8.1</v>
      </c>
      <c r="D506" s="3">
        <v>8.2100000000000009</v>
      </c>
      <c r="E506" s="3">
        <v>8.1</v>
      </c>
      <c r="F506" s="3">
        <v>8.18</v>
      </c>
      <c r="G506" s="3">
        <v>64170</v>
      </c>
      <c r="H506" s="8">
        <f t="shared" si="43"/>
        <v>5.6847545219638178</v>
      </c>
      <c r="I506">
        <f t="shared" si="44"/>
        <v>8.0060000000000002</v>
      </c>
      <c r="J506" s="6" cm="1">
        <f t="array" ref="J506">_xlfn.STDEV.S(IF($A:$A=A506, $F:$F))</f>
        <v>0.18782971010998228</v>
      </c>
      <c r="P506" s="8">
        <f t="shared" si="45"/>
        <v>5.6847545219638178</v>
      </c>
      <c r="Q506" s="8">
        <f t="shared" si="46"/>
        <v>5.6847545219638178</v>
      </c>
      <c r="R506" s="8">
        <f t="shared" si="47"/>
        <v>5.6847545219638178</v>
      </c>
    </row>
    <row r="507" spans="1:18" x14ac:dyDescent="0.25">
      <c r="A507" s="7">
        <f t="shared" si="42"/>
        <v>102</v>
      </c>
      <c r="B507" s="2">
        <v>43663</v>
      </c>
      <c r="C507" s="3">
        <v>8.18</v>
      </c>
      <c r="D507" s="3">
        <v>8.33</v>
      </c>
      <c r="E507" s="3">
        <v>8.15</v>
      </c>
      <c r="F507" s="3">
        <v>8.2200000000000006</v>
      </c>
      <c r="G507" s="3">
        <v>83000</v>
      </c>
      <c r="H507" s="8">
        <f t="shared" si="43"/>
        <v>0.60827250608271211</v>
      </c>
      <c r="I507">
        <f t="shared" si="44"/>
        <v>8.2379999999999995</v>
      </c>
      <c r="J507" s="6" cm="1">
        <f t="array" ref="J507">_xlfn.STDEV.S(IF($A:$A=A507, $F:$F))</f>
        <v>3.8340579025361483E-2</v>
      </c>
      <c r="P507" s="8">
        <f t="shared" si="45"/>
        <v>0.60827250608271211</v>
      </c>
      <c r="Q507" s="8">
        <f t="shared" si="46"/>
        <v>0.60827250608271211</v>
      </c>
      <c r="R507" s="8">
        <f t="shared" si="47"/>
        <v>0.60827250608271211</v>
      </c>
    </row>
    <row r="508" spans="1:18" x14ac:dyDescent="0.25">
      <c r="A508" s="7">
        <f t="shared" si="42"/>
        <v>102</v>
      </c>
      <c r="B508" s="2">
        <v>43664</v>
      </c>
      <c r="C508" s="3">
        <v>8.3699999999999992</v>
      </c>
      <c r="D508" s="3">
        <v>8.3699999999999992</v>
      </c>
      <c r="E508" s="3">
        <v>8.1</v>
      </c>
      <c r="F508" s="3">
        <v>8.18</v>
      </c>
      <c r="G508" s="3">
        <v>19330</v>
      </c>
      <c r="H508" s="8">
        <f t="shared" si="43"/>
        <v>0.60827250608271211</v>
      </c>
      <c r="I508">
        <f t="shared" si="44"/>
        <v>8.2379999999999995</v>
      </c>
      <c r="J508" s="6" cm="1">
        <f t="array" ref="J508">_xlfn.STDEV.S(IF($A:$A=A508, $F:$F))</f>
        <v>3.8340579025361483E-2</v>
      </c>
      <c r="P508" s="8">
        <f t="shared" si="45"/>
        <v>0.60827250608271211</v>
      </c>
      <c r="Q508" s="8">
        <f t="shared" si="46"/>
        <v>0.60827250608271211</v>
      </c>
      <c r="R508" s="8">
        <f t="shared" si="47"/>
        <v>0.60827250608271211</v>
      </c>
    </row>
    <row r="509" spans="1:18" x14ac:dyDescent="0.25">
      <c r="A509" s="7">
        <f t="shared" si="42"/>
        <v>102</v>
      </c>
      <c r="B509" s="2">
        <v>43665</v>
      </c>
      <c r="C509" s="3">
        <v>8.0500000000000007</v>
      </c>
      <c r="D509" s="3">
        <v>8.3699999999999992</v>
      </c>
      <c r="E509" s="3">
        <v>8.0500000000000007</v>
      </c>
      <c r="F509" s="3">
        <v>8.27</v>
      </c>
      <c r="G509" s="3">
        <v>46520</v>
      </c>
      <c r="H509" s="8">
        <f t="shared" si="43"/>
        <v>0.60827250608271211</v>
      </c>
      <c r="I509">
        <f t="shared" si="44"/>
        <v>8.2379999999999995</v>
      </c>
      <c r="J509" s="6" cm="1">
        <f t="array" ref="J509">_xlfn.STDEV.S(IF($A:$A=A509, $F:$F))</f>
        <v>3.8340579025361483E-2</v>
      </c>
      <c r="P509" s="8">
        <f t="shared" si="45"/>
        <v>0.60827250608271211</v>
      </c>
      <c r="Q509" s="8">
        <f t="shared" si="46"/>
        <v>0.60827250608271211</v>
      </c>
      <c r="R509" s="8">
        <f t="shared" si="47"/>
        <v>0.60827250608271211</v>
      </c>
    </row>
    <row r="510" spans="1:18" x14ac:dyDescent="0.25">
      <c r="A510" s="7">
        <f t="shared" si="42"/>
        <v>102</v>
      </c>
      <c r="B510" s="2">
        <v>43668</v>
      </c>
      <c r="C510" s="3">
        <v>8.27</v>
      </c>
      <c r="D510" s="3">
        <v>8.35</v>
      </c>
      <c r="E510" s="3">
        <v>8.18</v>
      </c>
      <c r="F510" s="3">
        <v>8.25</v>
      </c>
      <c r="G510" s="3">
        <v>46910</v>
      </c>
      <c r="H510" s="8">
        <f t="shared" si="43"/>
        <v>0.60827250608271211</v>
      </c>
      <c r="I510">
        <f t="shared" si="44"/>
        <v>8.2379999999999995</v>
      </c>
      <c r="J510" s="6" cm="1">
        <f t="array" ref="J510">_xlfn.STDEV.S(IF($A:$A=A510, $F:$F))</f>
        <v>3.8340579025361483E-2</v>
      </c>
      <c r="P510" s="8">
        <f t="shared" si="45"/>
        <v>0.60827250608271211</v>
      </c>
      <c r="Q510" s="8">
        <f t="shared" si="46"/>
        <v>0.60827250608271211</v>
      </c>
      <c r="R510" s="8">
        <f t="shared" si="47"/>
        <v>0.60827250608271211</v>
      </c>
    </row>
    <row r="511" spans="1:18" x14ac:dyDescent="0.25">
      <c r="A511" s="7">
        <f t="shared" si="42"/>
        <v>102</v>
      </c>
      <c r="B511" s="2">
        <v>43669</v>
      </c>
      <c r="C511" s="3">
        <v>8.1999999999999993</v>
      </c>
      <c r="D511" s="3">
        <v>8.27</v>
      </c>
      <c r="E511" s="3">
        <v>8.0500000000000007</v>
      </c>
      <c r="F511" s="3">
        <v>8.27</v>
      </c>
      <c r="G511" s="3">
        <v>143910</v>
      </c>
      <c r="H511" s="8">
        <f t="shared" si="43"/>
        <v>0.60827250608271211</v>
      </c>
      <c r="I511">
        <f t="shared" si="44"/>
        <v>8.2379999999999995</v>
      </c>
      <c r="J511" s="6" cm="1">
        <f t="array" ref="J511">_xlfn.STDEV.S(IF($A:$A=A511, $F:$F))</f>
        <v>3.8340579025361483E-2</v>
      </c>
      <c r="P511" s="8">
        <f t="shared" si="45"/>
        <v>0.60827250608271211</v>
      </c>
      <c r="Q511" s="8">
        <f t="shared" si="46"/>
        <v>0.60827250608271211</v>
      </c>
      <c r="R511" s="8">
        <f t="shared" si="47"/>
        <v>0.60827250608271211</v>
      </c>
    </row>
    <row r="512" spans="1:18" x14ac:dyDescent="0.25">
      <c r="A512" s="7">
        <f t="shared" si="42"/>
        <v>103</v>
      </c>
      <c r="B512" s="2">
        <v>43670</v>
      </c>
      <c r="C512" s="3">
        <v>8.27</v>
      </c>
      <c r="D512" s="3">
        <v>8.3000000000000007</v>
      </c>
      <c r="E512" s="3">
        <v>8.18</v>
      </c>
      <c r="F512" s="3">
        <v>8.27</v>
      </c>
      <c r="G512" s="3">
        <v>60340</v>
      </c>
      <c r="H512" s="8">
        <f t="shared" si="43"/>
        <v>-1.0882708585247867</v>
      </c>
      <c r="I512">
        <f t="shared" si="44"/>
        <v>8.2059999999999995</v>
      </c>
      <c r="J512" s="6" cm="1">
        <f t="array" ref="J512">_xlfn.STDEV.S(IF($A:$A=A512, $F:$F))</f>
        <v>3.9749213828703611E-2</v>
      </c>
      <c r="P512" s="8">
        <f t="shared" si="45"/>
        <v>-1.0882708585247867</v>
      </c>
      <c r="Q512" s="8">
        <f t="shared" si="46"/>
        <v>-1.0882708585247867</v>
      </c>
      <c r="R512" s="8">
        <f t="shared" si="47"/>
        <v>-1.0882708585247867</v>
      </c>
    </row>
    <row r="513" spans="1:18" x14ac:dyDescent="0.25">
      <c r="A513" s="7">
        <f t="shared" si="42"/>
        <v>103</v>
      </c>
      <c r="B513" s="2">
        <v>43671</v>
      </c>
      <c r="C513" s="3">
        <v>8.18</v>
      </c>
      <c r="D513" s="3">
        <v>8.25</v>
      </c>
      <c r="E513" s="3">
        <v>8.15</v>
      </c>
      <c r="F513" s="3">
        <v>8.2200000000000006</v>
      </c>
      <c r="G513" s="3">
        <v>14510</v>
      </c>
      <c r="H513" s="8">
        <f t="shared" si="43"/>
        <v>-1.0882708585247867</v>
      </c>
      <c r="I513">
        <f t="shared" si="44"/>
        <v>8.2059999999999995</v>
      </c>
      <c r="J513" s="6" cm="1">
        <f t="array" ref="J513">_xlfn.STDEV.S(IF($A:$A=A513, $F:$F))</f>
        <v>3.9749213828703611E-2</v>
      </c>
      <c r="P513" s="8">
        <f t="shared" si="45"/>
        <v>-1.0882708585247867</v>
      </c>
      <c r="Q513" s="8">
        <f t="shared" si="46"/>
        <v>-1.0882708585247867</v>
      </c>
      <c r="R513" s="8">
        <f t="shared" si="47"/>
        <v>-1.0882708585247867</v>
      </c>
    </row>
    <row r="514" spans="1:18" x14ac:dyDescent="0.25">
      <c r="A514" s="7">
        <f t="shared" si="42"/>
        <v>103</v>
      </c>
      <c r="B514" s="2">
        <v>43672</v>
      </c>
      <c r="C514" s="3">
        <v>8.18</v>
      </c>
      <c r="D514" s="3">
        <v>8.2200000000000006</v>
      </c>
      <c r="E514" s="3">
        <v>8.1</v>
      </c>
      <c r="F514" s="3">
        <v>8.18</v>
      </c>
      <c r="G514" s="3">
        <v>18530</v>
      </c>
      <c r="H514" s="8">
        <f t="shared" si="43"/>
        <v>-1.0882708585247867</v>
      </c>
      <c r="I514">
        <f t="shared" si="44"/>
        <v>8.2059999999999995</v>
      </c>
      <c r="J514" s="6" cm="1">
        <f t="array" ref="J514">_xlfn.STDEV.S(IF($A:$A=A514, $F:$F))</f>
        <v>3.9749213828703611E-2</v>
      </c>
      <c r="P514" s="8">
        <f t="shared" si="45"/>
        <v>-1.0882708585247867</v>
      </c>
      <c r="Q514" s="8">
        <f t="shared" si="46"/>
        <v>-1.0882708585247867</v>
      </c>
      <c r="R514" s="8">
        <f t="shared" si="47"/>
        <v>-1.0882708585247867</v>
      </c>
    </row>
    <row r="515" spans="1:18" x14ac:dyDescent="0.25">
      <c r="A515" s="7">
        <f t="shared" ref="A515:A578" si="48">INT((ROW(A515)-ROW($A$2))/5) + 1</f>
        <v>103</v>
      </c>
      <c r="B515" s="2">
        <v>43675</v>
      </c>
      <c r="C515" s="3">
        <v>8.15</v>
      </c>
      <c r="D515" s="3">
        <v>8.18</v>
      </c>
      <c r="E515" s="3">
        <v>8.0299999999999994</v>
      </c>
      <c r="F515" s="3">
        <v>8.18</v>
      </c>
      <c r="G515" s="3">
        <v>52450</v>
      </c>
      <c r="H515" s="8">
        <f t="shared" ref="H515:H578" si="49">IF(A515=A514, H514, (F519-F515)/F515*100)</f>
        <v>-1.0882708585247867</v>
      </c>
      <c r="I515">
        <f t="shared" ref="I515:I578" si="50">AVERAGEIF($A:$A, A515, $F:$F)</f>
        <v>8.2059999999999995</v>
      </c>
      <c r="J515" s="6" cm="1">
        <f t="array" ref="J515">_xlfn.STDEV.S(IF($A:$A=A515, $F:$F))</f>
        <v>3.9749213828703611E-2</v>
      </c>
      <c r="P515" s="8">
        <f t="shared" ref="P515:P578" si="51">IF(A515=A514,P514,(F519-F515)/F515*100)</f>
        <v>-1.0882708585247867</v>
      </c>
      <c r="Q515" s="8">
        <f t="shared" ref="Q515:Q578" si="52">IF(A515=A514,Q514,(F519-F515)/F515*100)</f>
        <v>-1.0882708585247867</v>
      </c>
      <c r="R515" s="8">
        <f t="shared" ref="R515:R578" si="53">IF(A515=A514,R514,(F519-F515)/F515*100)</f>
        <v>-1.0882708585247867</v>
      </c>
    </row>
    <row r="516" spans="1:18" x14ac:dyDescent="0.25">
      <c r="A516" s="7">
        <f t="shared" si="48"/>
        <v>103</v>
      </c>
      <c r="B516" s="2">
        <v>43676</v>
      </c>
      <c r="C516" s="3">
        <v>8.15</v>
      </c>
      <c r="D516" s="3">
        <v>8.18</v>
      </c>
      <c r="E516" s="3">
        <v>7.83</v>
      </c>
      <c r="F516" s="3">
        <v>8.18</v>
      </c>
      <c r="G516" s="3">
        <v>113580</v>
      </c>
      <c r="H516" s="8">
        <f t="shared" si="49"/>
        <v>-1.0882708585247867</v>
      </c>
      <c r="I516">
        <f t="shared" si="50"/>
        <v>8.2059999999999995</v>
      </c>
      <c r="J516" s="6" cm="1">
        <f t="array" ref="J516">_xlfn.STDEV.S(IF($A:$A=A516, $F:$F))</f>
        <v>3.9749213828703611E-2</v>
      </c>
      <c r="P516" s="8">
        <f t="shared" si="51"/>
        <v>-1.0882708585247867</v>
      </c>
      <c r="Q516" s="8">
        <f t="shared" si="52"/>
        <v>-1.0882708585247867</v>
      </c>
      <c r="R516" s="8">
        <f t="shared" si="53"/>
        <v>-1.0882708585247867</v>
      </c>
    </row>
    <row r="517" spans="1:18" x14ac:dyDescent="0.25">
      <c r="A517" s="7">
        <f t="shared" si="48"/>
        <v>104</v>
      </c>
      <c r="B517" s="2">
        <v>43677</v>
      </c>
      <c r="C517" s="3">
        <v>7.88</v>
      </c>
      <c r="D517" s="3">
        <v>8.1999999999999993</v>
      </c>
      <c r="E517" s="3">
        <v>7.88</v>
      </c>
      <c r="F517" s="3">
        <v>8.1999999999999993</v>
      </c>
      <c r="G517" s="3">
        <v>69070</v>
      </c>
      <c r="H517" s="8">
        <f t="shared" si="49"/>
        <v>-2.6829268292682791</v>
      </c>
      <c r="I517">
        <f t="shared" si="50"/>
        <v>8.1020000000000003</v>
      </c>
      <c r="J517" s="6" cm="1">
        <f t="array" ref="J517">_xlfn.STDEV.S(IF($A:$A=A517, $F:$F))</f>
        <v>7.9498427657406848E-2</v>
      </c>
      <c r="P517" s="8">
        <f t="shared" si="51"/>
        <v>-2.6829268292682791</v>
      </c>
      <c r="Q517" s="8">
        <f t="shared" si="52"/>
        <v>-2.6829268292682791</v>
      </c>
      <c r="R517" s="8">
        <f t="shared" si="53"/>
        <v>-2.6829268292682791</v>
      </c>
    </row>
    <row r="518" spans="1:18" x14ac:dyDescent="0.25">
      <c r="A518" s="7">
        <f t="shared" si="48"/>
        <v>104</v>
      </c>
      <c r="B518" s="2">
        <v>43678</v>
      </c>
      <c r="C518" s="3">
        <v>8.1</v>
      </c>
      <c r="D518" s="3">
        <v>8.1999999999999993</v>
      </c>
      <c r="E518" s="3">
        <v>8.1</v>
      </c>
      <c r="F518" s="3">
        <v>8.1300000000000008</v>
      </c>
      <c r="G518" s="3">
        <v>36730</v>
      </c>
      <c r="H518" s="8">
        <f t="shared" si="49"/>
        <v>-2.6829268292682791</v>
      </c>
      <c r="I518">
        <f t="shared" si="50"/>
        <v>8.1020000000000003</v>
      </c>
      <c r="J518" s="6" cm="1">
        <f t="array" ref="J518">_xlfn.STDEV.S(IF($A:$A=A518, $F:$F))</f>
        <v>7.9498427657406848E-2</v>
      </c>
      <c r="P518" s="8">
        <f t="shared" si="51"/>
        <v>-2.6829268292682791</v>
      </c>
      <c r="Q518" s="8">
        <f t="shared" si="52"/>
        <v>-2.6829268292682791</v>
      </c>
      <c r="R518" s="8">
        <f t="shared" si="53"/>
        <v>-2.6829268292682791</v>
      </c>
    </row>
    <row r="519" spans="1:18" x14ac:dyDescent="0.25">
      <c r="A519" s="7">
        <f t="shared" si="48"/>
        <v>104</v>
      </c>
      <c r="B519" s="2">
        <v>43679</v>
      </c>
      <c r="C519" s="3">
        <v>8.1300000000000008</v>
      </c>
      <c r="D519" s="3">
        <v>8.1300000000000008</v>
      </c>
      <c r="E519" s="3">
        <v>7.98</v>
      </c>
      <c r="F519" s="3">
        <v>8.1</v>
      </c>
      <c r="G519" s="3">
        <v>42720</v>
      </c>
      <c r="H519" s="8">
        <f t="shared" si="49"/>
        <v>-2.6829268292682791</v>
      </c>
      <c r="I519">
        <f t="shared" si="50"/>
        <v>8.1020000000000003</v>
      </c>
      <c r="J519" s="6" cm="1">
        <f t="array" ref="J519">_xlfn.STDEV.S(IF($A:$A=A519, $F:$F))</f>
        <v>7.9498427657406848E-2</v>
      </c>
      <c r="P519" s="8">
        <f t="shared" si="51"/>
        <v>-2.6829268292682791</v>
      </c>
      <c r="Q519" s="8">
        <f t="shared" si="52"/>
        <v>-2.6829268292682791</v>
      </c>
      <c r="R519" s="8">
        <f t="shared" si="53"/>
        <v>-2.6829268292682791</v>
      </c>
    </row>
    <row r="520" spans="1:18" x14ac:dyDescent="0.25">
      <c r="A520" s="7">
        <f t="shared" si="48"/>
        <v>104</v>
      </c>
      <c r="B520" s="2">
        <v>43682</v>
      </c>
      <c r="C520" s="3">
        <v>7.96</v>
      </c>
      <c r="D520" s="3">
        <v>8.18</v>
      </c>
      <c r="E520" s="3">
        <v>7.96</v>
      </c>
      <c r="F520" s="3">
        <v>8.1</v>
      </c>
      <c r="G520" s="3">
        <v>53520</v>
      </c>
      <c r="H520" s="8">
        <f t="shared" si="49"/>
        <v>-2.6829268292682791</v>
      </c>
      <c r="I520">
        <f t="shared" si="50"/>
        <v>8.1020000000000003</v>
      </c>
      <c r="J520" s="6" cm="1">
        <f t="array" ref="J520">_xlfn.STDEV.S(IF($A:$A=A520, $F:$F))</f>
        <v>7.9498427657406848E-2</v>
      </c>
      <c r="P520" s="8">
        <f t="shared" si="51"/>
        <v>-2.6829268292682791</v>
      </c>
      <c r="Q520" s="8">
        <f t="shared" si="52"/>
        <v>-2.6829268292682791</v>
      </c>
      <c r="R520" s="8">
        <f t="shared" si="53"/>
        <v>-2.6829268292682791</v>
      </c>
    </row>
    <row r="521" spans="1:18" x14ac:dyDescent="0.25">
      <c r="A521" s="7">
        <f t="shared" si="48"/>
        <v>104</v>
      </c>
      <c r="B521" s="2">
        <v>43683</v>
      </c>
      <c r="C521" s="3">
        <v>7.81</v>
      </c>
      <c r="D521" s="3">
        <v>8.0500000000000007</v>
      </c>
      <c r="E521" s="3">
        <v>7.81</v>
      </c>
      <c r="F521" s="3">
        <v>7.98</v>
      </c>
      <c r="G521" s="3">
        <v>25340</v>
      </c>
      <c r="H521" s="8">
        <f t="shared" si="49"/>
        <v>-2.6829268292682791</v>
      </c>
      <c r="I521">
        <f t="shared" si="50"/>
        <v>8.1020000000000003</v>
      </c>
      <c r="J521" s="6" cm="1">
        <f t="array" ref="J521">_xlfn.STDEV.S(IF($A:$A=A521, $F:$F))</f>
        <v>7.9498427657406848E-2</v>
      </c>
      <c r="P521" s="8">
        <f t="shared" si="51"/>
        <v>-2.6829268292682791</v>
      </c>
      <c r="Q521" s="8">
        <f t="shared" si="52"/>
        <v>-2.6829268292682791</v>
      </c>
      <c r="R521" s="8">
        <f t="shared" si="53"/>
        <v>-2.6829268292682791</v>
      </c>
    </row>
    <row r="522" spans="1:18" x14ac:dyDescent="0.25">
      <c r="A522" s="7">
        <f t="shared" si="48"/>
        <v>105</v>
      </c>
      <c r="B522" s="2">
        <v>43684</v>
      </c>
      <c r="C522" s="3">
        <v>8.18</v>
      </c>
      <c r="D522" s="3">
        <v>8.18</v>
      </c>
      <c r="E522" s="3">
        <v>7.96</v>
      </c>
      <c r="F522" s="3">
        <v>8.1</v>
      </c>
      <c r="G522" s="3">
        <v>29660</v>
      </c>
      <c r="H522" s="8">
        <f t="shared" si="49"/>
        <v>1.2345679012345634</v>
      </c>
      <c r="I522">
        <f t="shared" si="50"/>
        <v>8.1759999999999984</v>
      </c>
      <c r="J522" s="6" cm="1">
        <f t="array" ref="J522">_xlfn.STDEV.S(IF($A:$A=A522, $F:$F))</f>
        <v>4.3358966777357448E-2</v>
      </c>
      <c r="P522" s="8">
        <f t="shared" si="51"/>
        <v>1.2345679012345634</v>
      </c>
      <c r="Q522" s="8">
        <f t="shared" si="52"/>
        <v>1.2345679012345634</v>
      </c>
      <c r="R522" s="8">
        <f t="shared" si="53"/>
        <v>1.2345679012345634</v>
      </c>
    </row>
    <row r="523" spans="1:18" x14ac:dyDescent="0.25">
      <c r="A523" s="7">
        <f t="shared" si="48"/>
        <v>105</v>
      </c>
      <c r="B523" s="2">
        <v>43685</v>
      </c>
      <c r="C523" s="3">
        <v>8.15</v>
      </c>
      <c r="D523" s="3">
        <v>8.1999999999999993</v>
      </c>
      <c r="E523" s="3">
        <v>7.98</v>
      </c>
      <c r="F523" s="3">
        <v>8.1999999999999993</v>
      </c>
      <c r="G523" s="3">
        <v>41260</v>
      </c>
      <c r="H523" s="8">
        <f t="shared" si="49"/>
        <v>1.2345679012345634</v>
      </c>
      <c r="I523">
        <f t="shared" si="50"/>
        <v>8.1759999999999984</v>
      </c>
      <c r="J523" s="6" cm="1">
        <f t="array" ref="J523">_xlfn.STDEV.S(IF($A:$A=A523, $F:$F))</f>
        <v>4.3358966777357448E-2</v>
      </c>
      <c r="P523" s="8">
        <f t="shared" si="51"/>
        <v>1.2345679012345634</v>
      </c>
      <c r="Q523" s="8">
        <f t="shared" si="52"/>
        <v>1.2345679012345634</v>
      </c>
      <c r="R523" s="8">
        <f t="shared" si="53"/>
        <v>1.2345679012345634</v>
      </c>
    </row>
    <row r="524" spans="1:18" x14ac:dyDescent="0.25">
      <c r="A524" s="7">
        <f t="shared" si="48"/>
        <v>105</v>
      </c>
      <c r="B524" s="2">
        <v>43686</v>
      </c>
      <c r="C524" s="3">
        <v>8.1300000000000008</v>
      </c>
      <c r="D524" s="3">
        <v>8.75</v>
      </c>
      <c r="E524" s="3">
        <v>8.1300000000000008</v>
      </c>
      <c r="F524" s="3">
        <v>8.1999999999999993</v>
      </c>
      <c r="G524" s="3">
        <v>18360</v>
      </c>
      <c r="H524" s="8">
        <f t="shared" si="49"/>
        <v>1.2345679012345634</v>
      </c>
      <c r="I524">
        <f t="shared" si="50"/>
        <v>8.1759999999999984</v>
      </c>
      <c r="J524" s="6" cm="1">
        <f t="array" ref="J524">_xlfn.STDEV.S(IF($A:$A=A524, $F:$F))</f>
        <v>4.3358966777357448E-2</v>
      </c>
      <c r="P524" s="8">
        <f t="shared" si="51"/>
        <v>1.2345679012345634</v>
      </c>
      <c r="Q524" s="8">
        <f t="shared" si="52"/>
        <v>1.2345679012345634</v>
      </c>
      <c r="R524" s="8">
        <f t="shared" si="53"/>
        <v>1.2345679012345634</v>
      </c>
    </row>
    <row r="525" spans="1:18" x14ac:dyDescent="0.25">
      <c r="A525" s="7">
        <f t="shared" si="48"/>
        <v>105</v>
      </c>
      <c r="B525" s="2">
        <v>43689</v>
      </c>
      <c r="C525" s="3">
        <v>8.1</v>
      </c>
      <c r="D525" s="3">
        <v>8.18</v>
      </c>
      <c r="E525" s="3">
        <v>8.0500000000000007</v>
      </c>
      <c r="F525" s="3">
        <v>8.18</v>
      </c>
      <c r="G525" s="3">
        <v>23090</v>
      </c>
      <c r="H525" s="8">
        <f t="shared" si="49"/>
        <v>1.2345679012345634</v>
      </c>
      <c r="I525">
        <f t="shared" si="50"/>
        <v>8.1759999999999984</v>
      </c>
      <c r="J525" s="6" cm="1">
        <f t="array" ref="J525">_xlfn.STDEV.S(IF($A:$A=A525, $F:$F))</f>
        <v>4.3358966777357448E-2</v>
      </c>
      <c r="P525" s="8">
        <f t="shared" si="51"/>
        <v>1.2345679012345634</v>
      </c>
      <c r="Q525" s="8">
        <f t="shared" si="52"/>
        <v>1.2345679012345634</v>
      </c>
      <c r="R525" s="8">
        <f t="shared" si="53"/>
        <v>1.2345679012345634</v>
      </c>
    </row>
    <row r="526" spans="1:18" x14ac:dyDescent="0.25">
      <c r="A526" s="7">
        <f t="shared" si="48"/>
        <v>105</v>
      </c>
      <c r="B526" s="2">
        <v>43690</v>
      </c>
      <c r="C526" s="3">
        <v>8.1999999999999993</v>
      </c>
      <c r="D526" s="3">
        <v>8.25</v>
      </c>
      <c r="E526" s="3">
        <v>8.18</v>
      </c>
      <c r="F526" s="3">
        <v>8.1999999999999993</v>
      </c>
      <c r="G526" s="3">
        <v>104560</v>
      </c>
      <c r="H526" s="8">
        <f t="shared" si="49"/>
        <v>1.2345679012345634</v>
      </c>
      <c r="I526">
        <f t="shared" si="50"/>
        <v>8.1759999999999984</v>
      </c>
      <c r="J526" s="6" cm="1">
        <f t="array" ref="J526">_xlfn.STDEV.S(IF($A:$A=A526, $F:$F))</f>
        <v>4.3358966777357448E-2</v>
      </c>
      <c r="P526" s="8">
        <f t="shared" si="51"/>
        <v>1.2345679012345634</v>
      </c>
      <c r="Q526" s="8">
        <f t="shared" si="52"/>
        <v>1.2345679012345634</v>
      </c>
      <c r="R526" s="8">
        <f t="shared" si="53"/>
        <v>1.2345679012345634</v>
      </c>
    </row>
    <row r="527" spans="1:18" x14ac:dyDescent="0.25">
      <c r="A527" s="7">
        <f t="shared" si="48"/>
        <v>106</v>
      </c>
      <c r="B527" s="2">
        <v>43691</v>
      </c>
      <c r="C527" s="3">
        <v>8.18</v>
      </c>
      <c r="D527" s="3">
        <v>8.2200000000000006</v>
      </c>
      <c r="E527" s="3">
        <v>7.93</v>
      </c>
      <c r="F527" s="3">
        <v>8.18</v>
      </c>
      <c r="G527" s="3">
        <v>93250</v>
      </c>
      <c r="H527" s="8">
        <f t="shared" si="49"/>
        <v>5.6234718826405974</v>
      </c>
      <c r="I527">
        <f t="shared" si="50"/>
        <v>8.5640000000000001</v>
      </c>
      <c r="J527" s="6" cm="1">
        <f t="array" ref="J527">_xlfn.STDEV.S(IF($A:$A=A527, $F:$F))</f>
        <v>0.27005554984113916</v>
      </c>
      <c r="P527" s="8">
        <f t="shared" si="51"/>
        <v>5.6234718826405974</v>
      </c>
      <c r="Q527" s="8">
        <f t="shared" si="52"/>
        <v>5.6234718826405974</v>
      </c>
      <c r="R527" s="8">
        <f t="shared" si="53"/>
        <v>5.6234718826405974</v>
      </c>
    </row>
    <row r="528" spans="1:18" x14ac:dyDescent="0.25">
      <c r="A528" s="7">
        <f t="shared" si="48"/>
        <v>106</v>
      </c>
      <c r="B528" s="2">
        <v>43692</v>
      </c>
      <c r="C528" s="3">
        <v>8.18</v>
      </c>
      <c r="D528" s="3">
        <v>8.4</v>
      </c>
      <c r="E528" s="3">
        <v>8.0500000000000007</v>
      </c>
      <c r="F528" s="3">
        <v>8.4</v>
      </c>
      <c r="G528" s="3">
        <v>46520</v>
      </c>
      <c r="H528" s="8">
        <f t="shared" si="49"/>
        <v>5.6234718826405974</v>
      </c>
      <c r="I528">
        <f t="shared" si="50"/>
        <v>8.5640000000000001</v>
      </c>
      <c r="J528" s="6" cm="1">
        <f t="array" ref="J528">_xlfn.STDEV.S(IF($A:$A=A528, $F:$F))</f>
        <v>0.27005554984113916</v>
      </c>
      <c r="P528" s="8">
        <f t="shared" si="51"/>
        <v>5.6234718826405974</v>
      </c>
      <c r="Q528" s="8">
        <f t="shared" si="52"/>
        <v>5.6234718826405974</v>
      </c>
      <c r="R528" s="8">
        <f t="shared" si="53"/>
        <v>5.6234718826405974</v>
      </c>
    </row>
    <row r="529" spans="1:18" x14ac:dyDescent="0.25">
      <c r="A529" s="7">
        <f t="shared" si="48"/>
        <v>106</v>
      </c>
      <c r="B529" s="2">
        <v>43693</v>
      </c>
      <c r="C529" s="3">
        <v>8.52</v>
      </c>
      <c r="D529" s="3">
        <v>8.8699999999999992</v>
      </c>
      <c r="E529" s="3">
        <v>8.4</v>
      </c>
      <c r="F529" s="3">
        <v>8.7899999999999991</v>
      </c>
      <c r="G529" s="3">
        <v>177730</v>
      </c>
      <c r="H529" s="8">
        <f t="shared" si="49"/>
        <v>5.6234718826405974</v>
      </c>
      <c r="I529">
        <f t="shared" si="50"/>
        <v>8.5640000000000001</v>
      </c>
      <c r="J529" s="6" cm="1">
        <f t="array" ref="J529">_xlfn.STDEV.S(IF($A:$A=A529, $F:$F))</f>
        <v>0.27005554984113916</v>
      </c>
      <c r="P529" s="8">
        <f t="shared" si="51"/>
        <v>5.6234718826405974</v>
      </c>
      <c r="Q529" s="8">
        <f t="shared" si="52"/>
        <v>5.6234718826405974</v>
      </c>
      <c r="R529" s="8">
        <f t="shared" si="53"/>
        <v>5.6234718826405974</v>
      </c>
    </row>
    <row r="530" spans="1:18" x14ac:dyDescent="0.25">
      <c r="A530" s="7">
        <f t="shared" si="48"/>
        <v>106</v>
      </c>
      <c r="B530" s="2">
        <v>43696</v>
      </c>
      <c r="C530" s="3">
        <v>9.08</v>
      </c>
      <c r="D530" s="3">
        <v>9.08</v>
      </c>
      <c r="E530" s="3">
        <v>8.76</v>
      </c>
      <c r="F530" s="3">
        <v>8.81</v>
      </c>
      <c r="G530" s="3">
        <v>16130</v>
      </c>
      <c r="H530" s="8">
        <f t="shared" si="49"/>
        <v>5.6234718826405974</v>
      </c>
      <c r="I530">
        <f t="shared" si="50"/>
        <v>8.5640000000000001</v>
      </c>
      <c r="J530" s="6" cm="1">
        <f t="array" ref="J530">_xlfn.STDEV.S(IF($A:$A=A530, $F:$F))</f>
        <v>0.27005554984113916</v>
      </c>
      <c r="P530" s="8">
        <f t="shared" si="51"/>
        <v>5.6234718826405974</v>
      </c>
      <c r="Q530" s="8">
        <f t="shared" si="52"/>
        <v>5.6234718826405974</v>
      </c>
      <c r="R530" s="8">
        <f t="shared" si="53"/>
        <v>5.6234718826405974</v>
      </c>
    </row>
    <row r="531" spans="1:18" x14ac:dyDescent="0.25">
      <c r="A531" s="7">
        <f t="shared" si="48"/>
        <v>106</v>
      </c>
      <c r="B531" s="2">
        <v>43697</v>
      </c>
      <c r="C531" s="3">
        <v>8.52</v>
      </c>
      <c r="D531" s="3">
        <v>8.74</v>
      </c>
      <c r="E531" s="3">
        <v>8.49</v>
      </c>
      <c r="F531" s="3">
        <v>8.64</v>
      </c>
      <c r="G531" s="3">
        <v>100800</v>
      </c>
      <c r="H531" s="8">
        <f t="shared" si="49"/>
        <v>5.6234718826405974</v>
      </c>
      <c r="I531">
        <f t="shared" si="50"/>
        <v>8.5640000000000001</v>
      </c>
      <c r="J531" s="6" cm="1">
        <f t="array" ref="J531">_xlfn.STDEV.S(IF($A:$A=A531, $F:$F))</f>
        <v>0.27005554984113916</v>
      </c>
      <c r="P531" s="8">
        <f t="shared" si="51"/>
        <v>5.6234718826405974</v>
      </c>
      <c r="Q531" s="8">
        <f t="shared" si="52"/>
        <v>5.6234718826405974</v>
      </c>
      <c r="R531" s="8">
        <f t="shared" si="53"/>
        <v>5.6234718826405974</v>
      </c>
    </row>
    <row r="532" spans="1:18" x14ac:dyDescent="0.25">
      <c r="A532" s="7">
        <f t="shared" si="48"/>
        <v>107</v>
      </c>
      <c r="B532" s="2">
        <v>43698</v>
      </c>
      <c r="C532" s="3">
        <v>8.64</v>
      </c>
      <c r="D532" s="3">
        <v>8.76</v>
      </c>
      <c r="E532" s="3">
        <v>8.43</v>
      </c>
      <c r="F532" s="3">
        <v>8.5399999999999991</v>
      </c>
      <c r="G532" s="3">
        <v>30450</v>
      </c>
      <c r="H532" s="8">
        <f t="shared" si="49"/>
        <v>-6.5573770491803129</v>
      </c>
      <c r="I532">
        <f t="shared" si="50"/>
        <v>8.3439999999999994</v>
      </c>
      <c r="J532" s="6" cm="1">
        <f t="array" ref="J532">_xlfn.STDEV.S(IF($A:$A=A532, $F:$F))</f>
        <v>0.27134848442547066</v>
      </c>
      <c r="P532" s="8">
        <f t="shared" si="51"/>
        <v>-6.5573770491803129</v>
      </c>
      <c r="Q532" s="8">
        <f t="shared" si="52"/>
        <v>-6.5573770491803129</v>
      </c>
      <c r="R532" s="8">
        <f t="shared" si="53"/>
        <v>-6.5573770491803129</v>
      </c>
    </row>
    <row r="533" spans="1:18" x14ac:dyDescent="0.25">
      <c r="A533" s="7">
        <f t="shared" si="48"/>
        <v>107</v>
      </c>
      <c r="B533" s="2">
        <v>43699</v>
      </c>
      <c r="C533" s="3">
        <v>8.44</v>
      </c>
      <c r="D533" s="3">
        <v>8.74</v>
      </c>
      <c r="E533" s="3">
        <v>8.44</v>
      </c>
      <c r="F533" s="3">
        <v>8.66</v>
      </c>
      <c r="G533" s="3">
        <v>35980</v>
      </c>
      <c r="H533" s="8">
        <f t="shared" si="49"/>
        <v>-6.5573770491803129</v>
      </c>
      <c r="I533">
        <f t="shared" si="50"/>
        <v>8.3439999999999994</v>
      </c>
      <c r="J533" s="6" cm="1">
        <f t="array" ref="J533">_xlfn.STDEV.S(IF($A:$A=A533, $F:$F))</f>
        <v>0.27134848442547066</v>
      </c>
      <c r="P533" s="8">
        <f t="shared" si="51"/>
        <v>-6.5573770491803129</v>
      </c>
      <c r="Q533" s="8">
        <f t="shared" si="52"/>
        <v>-6.5573770491803129</v>
      </c>
      <c r="R533" s="8">
        <f t="shared" si="53"/>
        <v>-6.5573770491803129</v>
      </c>
    </row>
    <row r="534" spans="1:18" x14ac:dyDescent="0.25">
      <c r="A534" s="7">
        <f t="shared" si="48"/>
        <v>107</v>
      </c>
      <c r="B534" s="2">
        <v>43700</v>
      </c>
      <c r="C534" s="3">
        <v>8.4700000000000006</v>
      </c>
      <c r="D534" s="3">
        <v>8.5399999999999991</v>
      </c>
      <c r="E534" s="3">
        <v>8.35</v>
      </c>
      <c r="F534" s="3">
        <v>8.35</v>
      </c>
      <c r="G534" s="3">
        <v>50180</v>
      </c>
      <c r="H534" s="8">
        <f t="shared" si="49"/>
        <v>-6.5573770491803129</v>
      </c>
      <c r="I534">
        <f t="shared" si="50"/>
        <v>8.3439999999999994</v>
      </c>
      <c r="J534" s="6" cm="1">
        <f t="array" ref="J534">_xlfn.STDEV.S(IF($A:$A=A534, $F:$F))</f>
        <v>0.27134848442547066</v>
      </c>
      <c r="P534" s="8">
        <f t="shared" si="51"/>
        <v>-6.5573770491803129</v>
      </c>
      <c r="Q534" s="8">
        <f t="shared" si="52"/>
        <v>-6.5573770491803129</v>
      </c>
      <c r="R534" s="8">
        <f t="shared" si="53"/>
        <v>-6.5573770491803129</v>
      </c>
    </row>
    <row r="535" spans="1:18" x14ac:dyDescent="0.25">
      <c r="A535" s="7">
        <f t="shared" si="48"/>
        <v>107</v>
      </c>
      <c r="B535" s="2">
        <v>43703</v>
      </c>
      <c r="C535" s="3">
        <v>8.18</v>
      </c>
      <c r="D535" s="3">
        <v>8.3000000000000007</v>
      </c>
      <c r="E535" s="3">
        <v>8.0500000000000007</v>
      </c>
      <c r="F535" s="3">
        <v>8.19</v>
      </c>
      <c r="G535" s="3">
        <v>71840</v>
      </c>
      <c r="H535" s="8">
        <f t="shared" si="49"/>
        <v>-6.5573770491803129</v>
      </c>
      <c r="I535">
        <f t="shared" si="50"/>
        <v>8.3439999999999994</v>
      </c>
      <c r="J535" s="6" cm="1">
        <f t="array" ref="J535">_xlfn.STDEV.S(IF($A:$A=A535, $F:$F))</f>
        <v>0.27134848442547066</v>
      </c>
      <c r="P535" s="8">
        <f t="shared" si="51"/>
        <v>-6.5573770491803129</v>
      </c>
      <c r="Q535" s="8">
        <f t="shared" si="52"/>
        <v>-6.5573770491803129</v>
      </c>
      <c r="R535" s="8">
        <f t="shared" si="53"/>
        <v>-6.5573770491803129</v>
      </c>
    </row>
    <row r="536" spans="1:18" x14ac:dyDescent="0.25">
      <c r="A536" s="7">
        <f t="shared" si="48"/>
        <v>107</v>
      </c>
      <c r="B536" s="2">
        <v>43704</v>
      </c>
      <c r="C536" s="3">
        <v>8.15</v>
      </c>
      <c r="D536" s="3">
        <v>8.2200000000000006</v>
      </c>
      <c r="E536" s="3">
        <v>7.68</v>
      </c>
      <c r="F536" s="3">
        <v>7.98</v>
      </c>
      <c r="G536" s="3">
        <v>92180</v>
      </c>
      <c r="H536" s="8">
        <f t="shared" si="49"/>
        <v>-6.5573770491803129</v>
      </c>
      <c r="I536">
        <f t="shared" si="50"/>
        <v>8.3439999999999994</v>
      </c>
      <c r="J536" s="6" cm="1">
        <f t="array" ref="J536">_xlfn.STDEV.S(IF($A:$A=A536, $F:$F))</f>
        <v>0.27134848442547066</v>
      </c>
      <c r="P536" s="8">
        <f t="shared" si="51"/>
        <v>-6.5573770491803129</v>
      </c>
      <c r="Q536" s="8">
        <f t="shared" si="52"/>
        <v>-6.5573770491803129</v>
      </c>
      <c r="R536" s="8">
        <f t="shared" si="53"/>
        <v>-6.5573770491803129</v>
      </c>
    </row>
    <row r="537" spans="1:18" x14ac:dyDescent="0.25">
      <c r="A537" s="7">
        <f t="shared" si="48"/>
        <v>108</v>
      </c>
      <c r="B537" s="2">
        <v>43705</v>
      </c>
      <c r="C537" s="3">
        <v>7.96</v>
      </c>
      <c r="D537" s="3">
        <v>8.0500000000000007</v>
      </c>
      <c r="E537" s="3">
        <v>7.88</v>
      </c>
      <c r="F537" s="3">
        <v>7.91</v>
      </c>
      <c r="G537" s="3">
        <v>82350</v>
      </c>
      <c r="H537" s="8">
        <f t="shared" si="49"/>
        <v>-1.2642225031605629</v>
      </c>
      <c r="I537">
        <f t="shared" si="50"/>
        <v>7.8739999999999997</v>
      </c>
      <c r="J537" s="6" cm="1">
        <f t="array" ref="J537">_xlfn.STDEV.S(IF($A:$A=A537, $F:$F))</f>
        <v>0.15962455951387933</v>
      </c>
      <c r="P537" s="8">
        <f t="shared" si="51"/>
        <v>-1.2642225031605629</v>
      </c>
      <c r="Q537" s="8">
        <f t="shared" si="52"/>
        <v>-1.2642225031605629</v>
      </c>
      <c r="R537" s="8">
        <f t="shared" si="53"/>
        <v>-1.2642225031605629</v>
      </c>
    </row>
    <row r="538" spans="1:18" x14ac:dyDescent="0.25">
      <c r="A538" s="7">
        <f t="shared" si="48"/>
        <v>108</v>
      </c>
      <c r="B538" s="2">
        <v>43706</v>
      </c>
      <c r="C538" s="3">
        <v>7.91</v>
      </c>
      <c r="D538" s="3">
        <v>8.0299999999999994</v>
      </c>
      <c r="E538" s="3">
        <v>7.83</v>
      </c>
      <c r="F538" s="3">
        <v>8.01</v>
      </c>
      <c r="G538" s="3">
        <v>20690</v>
      </c>
      <c r="H538" s="8">
        <f t="shared" si="49"/>
        <v>-1.2642225031605629</v>
      </c>
      <c r="I538">
        <f t="shared" si="50"/>
        <v>7.8739999999999997</v>
      </c>
      <c r="J538" s="6" cm="1">
        <f t="array" ref="J538">_xlfn.STDEV.S(IF($A:$A=A538, $F:$F))</f>
        <v>0.15962455951387933</v>
      </c>
      <c r="P538" s="8">
        <f t="shared" si="51"/>
        <v>-1.2642225031605629</v>
      </c>
      <c r="Q538" s="8">
        <f t="shared" si="52"/>
        <v>-1.2642225031605629</v>
      </c>
      <c r="R538" s="8">
        <f t="shared" si="53"/>
        <v>-1.2642225031605629</v>
      </c>
    </row>
    <row r="539" spans="1:18" x14ac:dyDescent="0.25">
      <c r="A539" s="7">
        <f t="shared" si="48"/>
        <v>108</v>
      </c>
      <c r="B539" s="2">
        <v>43707</v>
      </c>
      <c r="C539" s="3">
        <v>7.69</v>
      </c>
      <c r="D539" s="3">
        <v>8.0299999999999994</v>
      </c>
      <c r="E539" s="3">
        <v>7.69</v>
      </c>
      <c r="F539" s="3">
        <v>8.01</v>
      </c>
      <c r="G539" s="3">
        <v>1390</v>
      </c>
      <c r="H539" s="8">
        <f t="shared" si="49"/>
        <v>-1.2642225031605629</v>
      </c>
      <c r="I539">
        <f t="shared" si="50"/>
        <v>7.8739999999999997</v>
      </c>
      <c r="J539" s="6" cm="1">
        <f t="array" ref="J539">_xlfn.STDEV.S(IF($A:$A=A539, $F:$F))</f>
        <v>0.15962455951387933</v>
      </c>
      <c r="P539" s="8">
        <f t="shared" si="51"/>
        <v>-1.2642225031605629</v>
      </c>
      <c r="Q539" s="8">
        <f t="shared" si="52"/>
        <v>-1.2642225031605629</v>
      </c>
      <c r="R539" s="8">
        <f t="shared" si="53"/>
        <v>-1.2642225031605629</v>
      </c>
    </row>
    <row r="540" spans="1:18" x14ac:dyDescent="0.25">
      <c r="A540" s="7">
        <f t="shared" si="48"/>
        <v>108</v>
      </c>
      <c r="B540" s="2">
        <v>43711</v>
      </c>
      <c r="C540" s="3">
        <v>7.98</v>
      </c>
      <c r="D540" s="3">
        <v>8.01</v>
      </c>
      <c r="E540" s="3">
        <v>7.63</v>
      </c>
      <c r="F540" s="3">
        <v>7.63</v>
      </c>
      <c r="G540" s="3">
        <v>510</v>
      </c>
      <c r="H540" s="8">
        <f t="shared" si="49"/>
        <v>-1.2642225031605629</v>
      </c>
      <c r="I540">
        <f t="shared" si="50"/>
        <v>7.8739999999999997</v>
      </c>
      <c r="J540" s="6" cm="1">
        <f t="array" ref="J540">_xlfn.STDEV.S(IF($A:$A=A540, $F:$F))</f>
        <v>0.15962455951387933</v>
      </c>
      <c r="P540" s="8">
        <f t="shared" si="51"/>
        <v>-1.2642225031605629</v>
      </c>
      <c r="Q540" s="8">
        <f t="shared" si="52"/>
        <v>-1.2642225031605629</v>
      </c>
      <c r="R540" s="8">
        <f t="shared" si="53"/>
        <v>-1.2642225031605629</v>
      </c>
    </row>
    <row r="541" spans="1:18" x14ac:dyDescent="0.25">
      <c r="A541" s="7">
        <f t="shared" si="48"/>
        <v>108</v>
      </c>
      <c r="B541" s="2">
        <v>43712</v>
      </c>
      <c r="C541" s="3">
        <v>7.71</v>
      </c>
      <c r="D541" s="3">
        <v>7.96</v>
      </c>
      <c r="E541" s="3">
        <v>7.65</v>
      </c>
      <c r="F541" s="3">
        <v>7.81</v>
      </c>
      <c r="G541" s="3">
        <v>90020</v>
      </c>
      <c r="H541" s="8">
        <f t="shared" si="49"/>
        <v>-1.2642225031605629</v>
      </c>
      <c r="I541">
        <f t="shared" si="50"/>
        <v>7.8739999999999997</v>
      </c>
      <c r="J541" s="6" cm="1">
        <f t="array" ref="J541">_xlfn.STDEV.S(IF($A:$A=A541, $F:$F))</f>
        <v>0.15962455951387933</v>
      </c>
      <c r="P541" s="8">
        <f t="shared" si="51"/>
        <v>-1.2642225031605629</v>
      </c>
      <c r="Q541" s="8">
        <f t="shared" si="52"/>
        <v>-1.2642225031605629</v>
      </c>
      <c r="R541" s="8">
        <f t="shared" si="53"/>
        <v>-1.2642225031605629</v>
      </c>
    </row>
    <row r="542" spans="1:18" x14ac:dyDescent="0.25">
      <c r="A542" s="7">
        <f t="shared" si="48"/>
        <v>109</v>
      </c>
      <c r="B542" s="2">
        <v>43713</v>
      </c>
      <c r="C542" s="3">
        <v>7.86</v>
      </c>
      <c r="D542" s="3">
        <v>7.86</v>
      </c>
      <c r="E542" s="3">
        <v>7.76</v>
      </c>
      <c r="F542" s="3">
        <v>7.79</v>
      </c>
      <c r="G542" s="3">
        <v>105060</v>
      </c>
      <c r="H542" s="8">
        <f t="shared" si="49"/>
        <v>1.5404364569961502</v>
      </c>
      <c r="I542">
        <f t="shared" si="50"/>
        <v>7.8259999999999987</v>
      </c>
      <c r="J542" s="6" cm="1">
        <f t="array" ref="J542">_xlfn.STDEV.S(IF($A:$A=A542, $F:$F))</f>
        <v>6.503845016603646E-2</v>
      </c>
      <c r="P542" s="8">
        <f t="shared" si="51"/>
        <v>1.5404364569961502</v>
      </c>
      <c r="Q542" s="8">
        <f t="shared" si="52"/>
        <v>1.5404364569961502</v>
      </c>
      <c r="R542" s="8">
        <f t="shared" si="53"/>
        <v>1.5404364569961502</v>
      </c>
    </row>
    <row r="543" spans="1:18" x14ac:dyDescent="0.25">
      <c r="A543" s="7">
        <f t="shared" si="48"/>
        <v>109</v>
      </c>
      <c r="B543" s="2">
        <v>43714</v>
      </c>
      <c r="C543" s="3">
        <v>7.93</v>
      </c>
      <c r="D543" s="3">
        <v>7.98</v>
      </c>
      <c r="E543" s="3">
        <v>7.76</v>
      </c>
      <c r="F543" s="3">
        <v>7.88</v>
      </c>
      <c r="G543" s="3">
        <v>99680</v>
      </c>
      <c r="H543" s="8">
        <f t="shared" si="49"/>
        <v>1.5404364569961502</v>
      </c>
      <c r="I543">
        <f t="shared" si="50"/>
        <v>7.8259999999999987</v>
      </c>
      <c r="J543" s="6" cm="1">
        <f t="array" ref="J543">_xlfn.STDEV.S(IF($A:$A=A543, $F:$F))</f>
        <v>6.503845016603646E-2</v>
      </c>
      <c r="P543" s="8">
        <f t="shared" si="51"/>
        <v>1.5404364569961502</v>
      </c>
      <c r="Q543" s="8">
        <f t="shared" si="52"/>
        <v>1.5404364569961502</v>
      </c>
      <c r="R543" s="8">
        <f t="shared" si="53"/>
        <v>1.5404364569961502</v>
      </c>
    </row>
    <row r="544" spans="1:18" x14ac:dyDescent="0.25">
      <c r="A544" s="7">
        <f t="shared" si="48"/>
        <v>109</v>
      </c>
      <c r="B544" s="2">
        <v>43717</v>
      </c>
      <c r="C544" s="3">
        <v>7.81</v>
      </c>
      <c r="D544" s="3">
        <v>7.93</v>
      </c>
      <c r="E544" s="3">
        <v>7.76</v>
      </c>
      <c r="F544" s="3">
        <v>7.76</v>
      </c>
      <c r="G544" s="3">
        <v>3930</v>
      </c>
      <c r="H544" s="8">
        <f t="shared" si="49"/>
        <v>1.5404364569961502</v>
      </c>
      <c r="I544">
        <f t="shared" si="50"/>
        <v>7.8259999999999987</v>
      </c>
      <c r="J544" s="6" cm="1">
        <f t="array" ref="J544">_xlfn.STDEV.S(IF($A:$A=A544, $F:$F))</f>
        <v>6.503845016603646E-2</v>
      </c>
      <c r="P544" s="8">
        <f t="shared" si="51"/>
        <v>1.5404364569961502</v>
      </c>
      <c r="Q544" s="8">
        <f t="shared" si="52"/>
        <v>1.5404364569961502</v>
      </c>
      <c r="R544" s="8">
        <f t="shared" si="53"/>
        <v>1.5404364569961502</v>
      </c>
    </row>
    <row r="545" spans="1:18" x14ac:dyDescent="0.25">
      <c r="A545" s="7">
        <f t="shared" si="48"/>
        <v>109</v>
      </c>
      <c r="B545" s="2">
        <v>43718</v>
      </c>
      <c r="C545" s="3">
        <v>7.92</v>
      </c>
      <c r="D545" s="3">
        <v>7.93</v>
      </c>
      <c r="E545" s="3">
        <v>7.75</v>
      </c>
      <c r="F545" s="3">
        <v>7.79</v>
      </c>
      <c r="G545" s="3">
        <v>27110</v>
      </c>
      <c r="H545" s="8">
        <f t="shared" si="49"/>
        <v>1.5404364569961502</v>
      </c>
      <c r="I545">
        <f t="shared" si="50"/>
        <v>7.8259999999999987</v>
      </c>
      <c r="J545" s="6" cm="1">
        <f t="array" ref="J545">_xlfn.STDEV.S(IF($A:$A=A545, $F:$F))</f>
        <v>6.503845016603646E-2</v>
      </c>
      <c r="P545" s="8">
        <f t="shared" si="51"/>
        <v>1.5404364569961502</v>
      </c>
      <c r="Q545" s="8">
        <f t="shared" si="52"/>
        <v>1.5404364569961502</v>
      </c>
      <c r="R545" s="8">
        <f t="shared" si="53"/>
        <v>1.5404364569961502</v>
      </c>
    </row>
    <row r="546" spans="1:18" x14ac:dyDescent="0.25">
      <c r="A546" s="7">
        <f t="shared" si="48"/>
        <v>109</v>
      </c>
      <c r="B546" s="2">
        <v>43719</v>
      </c>
      <c r="C546" s="3">
        <v>7.79</v>
      </c>
      <c r="D546" s="3">
        <v>7.91</v>
      </c>
      <c r="E546" s="3">
        <v>7.76</v>
      </c>
      <c r="F546" s="3">
        <v>7.91</v>
      </c>
      <c r="G546" s="3">
        <v>59170</v>
      </c>
      <c r="H546" s="8">
        <f t="shared" si="49"/>
        <v>1.5404364569961502</v>
      </c>
      <c r="I546">
        <f t="shared" si="50"/>
        <v>7.8259999999999987</v>
      </c>
      <c r="J546" s="6" cm="1">
        <f t="array" ref="J546">_xlfn.STDEV.S(IF($A:$A=A546, $F:$F))</f>
        <v>6.503845016603646E-2</v>
      </c>
      <c r="P546" s="8">
        <f t="shared" si="51"/>
        <v>1.5404364569961502</v>
      </c>
      <c r="Q546" s="8">
        <f t="shared" si="52"/>
        <v>1.5404364569961502</v>
      </c>
      <c r="R546" s="8">
        <f t="shared" si="53"/>
        <v>1.5404364569961502</v>
      </c>
    </row>
    <row r="547" spans="1:18" x14ac:dyDescent="0.25">
      <c r="A547" s="7">
        <f t="shared" si="48"/>
        <v>110</v>
      </c>
      <c r="B547" s="2">
        <v>43720</v>
      </c>
      <c r="C547" s="3">
        <v>7.76</v>
      </c>
      <c r="D547" s="3">
        <v>7.93</v>
      </c>
      <c r="E547" s="3">
        <v>7.76</v>
      </c>
      <c r="F547" s="3">
        <v>7.88</v>
      </c>
      <c r="G547" s="3">
        <v>11260</v>
      </c>
      <c r="H547" s="8">
        <f t="shared" si="49"/>
        <v>2.53807106598985</v>
      </c>
      <c r="I547">
        <f t="shared" si="50"/>
        <v>8.0520000000000014</v>
      </c>
      <c r="J547" s="6" cm="1">
        <f t="array" ref="J547">_xlfn.STDEV.S(IF($A:$A=A547, $F:$F))</f>
        <v>0.11166915420114927</v>
      </c>
      <c r="P547" s="8">
        <f t="shared" si="51"/>
        <v>2.53807106598985</v>
      </c>
      <c r="Q547" s="8">
        <f t="shared" si="52"/>
        <v>2.53807106598985</v>
      </c>
      <c r="R547" s="8">
        <f t="shared" si="53"/>
        <v>2.53807106598985</v>
      </c>
    </row>
    <row r="548" spans="1:18" x14ac:dyDescent="0.25">
      <c r="A548" s="7">
        <f t="shared" si="48"/>
        <v>110</v>
      </c>
      <c r="B548" s="2">
        <v>43721</v>
      </c>
      <c r="C548" s="3">
        <v>8.02</v>
      </c>
      <c r="D548" s="3">
        <v>8.02</v>
      </c>
      <c r="E548" s="3">
        <v>7.81</v>
      </c>
      <c r="F548" s="3">
        <v>8.01</v>
      </c>
      <c r="G548" s="3">
        <v>34760</v>
      </c>
      <c r="H548" s="8">
        <f t="shared" si="49"/>
        <v>2.53807106598985</v>
      </c>
      <c r="I548">
        <f t="shared" si="50"/>
        <v>8.0520000000000014</v>
      </c>
      <c r="J548" s="6" cm="1">
        <f t="array" ref="J548">_xlfn.STDEV.S(IF($A:$A=A548, $F:$F))</f>
        <v>0.11166915420114927</v>
      </c>
      <c r="P548" s="8">
        <f t="shared" si="51"/>
        <v>2.53807106598985</v>
      </c>
      <c r="Q548" s="8">
        <f t="shared" si="52"/>
        <v>2.53807106598985</v>
      </c>
      <c r="R548" s="8">
        <f t="shared" si="53"/>
        <v>2.53807106598985</v>
      </c>
    </row>
    <row r="549" spans="1:18" x14ac:dyDescent="0.25">
      <c r="A549" s="7">
        <f t="shared" si="48"/>
        <v>110</v>
      </c>
      <c r="B549" s="2">
        <v>43724</v>
      </c>
      <c r="C549" s="3">
        <v>8.1</v>
      </c>
      <c r="D549" s="3">
        <v>8.15</v>
      </c>
      <c r="E549" s="3">
        <v>7.86</v>
      </c>
      <c r="F549" s="3">
        <v>8.1300000000000008</v>
      </c>
      <c r="G549" s="3">
        <v>57490</v>
      </c>
      <c r="H549" s="8">
        <f t="shared" si="49"/>
        <v>2.53807106598985</v>
      </c>
      <c r="I549">
        <f t="shared" si="50"/>
        <v>8.0520000000000014</v>
      </c>
      <c r="J549" s="6" cm="1">
        <f t="array" ref="J549">_xlfn.STDEV.S(IF($A:$A=A549, $F:$F))</f>
        <v>0.11166915420114927</v>
      </c>
      <c r="P549" s="8">
        <f t="shared" si="51"/>
        <v>2.53807106598985</v>
      </c>
      <c r="Q549" s="8">
        <f t="shared" si="52"/>
        <v>2.53807106598985</v>
      </c>
      <c r="R549" s="8">
        <f t="shared" si="53"/>
        <v>2.53807106598985</v>
      </c>
    </row>
    <row r="550" spans="1:18" x14ac:dyDescent="0.25">
      <c r="A550" s="7">
        <f t="shared" si="48"/>
        <v>110</v>
      </c>
      <c r="B550" s="2">
        <v>43725</v>
      </c>
      <c r="C550" s="3">
        <v>8.1300000000000008</v>
      </c>
      <c r="D550" s="3">
        <v>8.18</v>
      </c>
      <c r="E550" s="3">
        <v>8.08</v>
      </c>
      <c r="F550" s="3">
        <v>8.16</v>
      </c>
      <c r="G550" s="3">
        <v>25030</v>
      </c>
      <c r="H550" s="8">
        <f t="shared" si="49"/>
        <v>2.53807106598985</v>
      </c>
      <c r="I550">
        <f t="shared" si="50"/>
        <v>8.0520000000000014</v>
      </c>
      <c r="J550" s="6" cm="1">
        <f t="array" ref="J550">_xlfn.STDEV.S(IF($A:$A=A550, $F:$F))</f>
        <v>0.11166915420114927</v>
      </c>
      <c r="P550" s="8">
        <f t="shared" si="51"/>
        <v>2.53807106598985</v>
      </c>
      <c r="Q550" s="8">
        <f t="shared" si="52"/>
        <v>2.53807106598985</v>
      </c>
      <c r="R550" s="8">
        <f t="shared" si="53"/>
        <v>2.53807106598985</v>
      </c>
    </row>
    <row r="551" spans="1:18" x14ac:dyDescent="0.25">
      <c r="A551" s="7">
        <f t="shared" si="48"/>
        <v>110</v>
      </c>
      <c r="B551" s="2">
        <v>43726</v>
      </c>
      <c r="C551" s="3">
        <v>8.16</v>
      </c>
      <c r="D551" s="3">
        <v>8.1999999999999993</v>
      </c>
      <c r="E551" s="3">
        <v>8.08</v>
      </c>
      <c r="F551" s="3">
        <v>8.08</v>
      </c>
      <c r="G551" s="3">
        <v>18210</v>
      </c>
      <c r="H551" s="8">
        <f t="shared" si="49"/>
        <v>2.53807106598985</v>
      </c>
      <c r="I551">
        <f t="shared" si="50"/>
        <v>8.0520000000000014</v>
      </c>
      <c r="J551" s="6" cm="1">
        <f t="array" ref="J551">_xlfn.STDEV.S(IF($A:$A=A551, $F:$F))</f>
        <v>0.11166915420114927</v>
      </c>
      <c r="P551" s="8">
        <f t="shared" si="51"/>
        <v>2.53807106598985</v>
      </c>
      <c r="Q551" s="8">
        <f t="shared" si="52"/>
        <v>2.53807106598985</v>
      </c>
      <c r="R551" s="8">
        <f t="shared" si="53"/>
        <v>2.53807106598985</v>
      </c>
    </row>
    <row r="552" spans="1:18" x14ac:dyDescent="0.25">
      <c r="A552" s="7">
        <f t="shared" si="48"/>
        <v>111</v>
      </c>
      <c r="B552" s="2">
        <v>43727</v>
      </c>
      <c r="C552" s="3">
        <v>8.08</v>
      </c>
      <c r="D552" s="3">
        <v>8.42</v>
      </c>
      <c r="E552" s="3">
        <v>7.98</v>
      </c>
      <c r="F552" s="3">
        <v>8.42</v>
      </c>
      <c r="G552" s="3">
        <v>52460</v>
      </c>
      <c r="H552" s="8">
        <f t="shared" si="49"/>
        <v>3.8004750593824266</v>
      </c>
      <c r="I552">
        <f t="shared" si="50"/>
        <v>8.5940000000000012</v>
      </c>
      <c r="J552" s="6" cm="1">
        <f t="array" ref="J552">_xlfn.STDEV.S(IF($A:$A=A552, $F:$F))</f>
        <v>0.12033287165193089</v>
      </c>
      <c r="P552" s="8">
        <f t="shared" si="51"/>
        <v>3.8004750593824266</v>
      </c>
      <c r="Q552" s="8">
        <f t="shared" si="52"/>
        <v>3.8004750593824266</v>
      </c>
      <c r="R552" s="8">
        <f t="shared" si="53"/>
        <v>3.8004750593824266</v>
      </c>
    </row>
    <row r="553" spans="1:18" x14ac:dyDescent="0.25">
      <c r="A553" s="7">
        <f t="shared" si="48"/>
        <v>111</v>
      </c>
      <c r="B553" s="2">
        <v>43728</v>
      </c>
      <c r="C553" s="3">
        <v>8.49</v>
      </c>
      <c r="D553" s="3">
        <v>8.6199999999999992</v>
      </c>
      <c r="E553" s="3">
        <v>8.18</v>
      </c>
      <c r="F553" s="3">
        <v>8.5399999999999991</v>
      </c>
      <c r="G553" s="3">
        <v>62500</v>
      </c>
      <c r="H553" s="8">
        <f t="shared" si="49"/>
        <v>3.8004750593824266</v>
      </c>
      <c r="I553">
        <f t="shared" si="50"/>
        <v>8.5940000000000012</v>
      </c>
      <c r="J553" s="6" cm="1">
        <f t="array" ref="J553">_xlfn.STDEV.S(IF($A:$A=A553, $F:$F))</f>
        <v>0.12033287165193089</v>
      </c>
      <c r="P553" s="8">
        <f t="shared" si="51"/>
        <v>3.8004750593824266</v>
      </c>
      <c r="Q553" s="8">
        <f t="shared" si="52"/>
        <v>3.8004750593824266</v>
      </c>
      <c r="R553" s="8">
        <f t="shared" si="53"/>
        <v>3.8004750593824266</v>
      </c>
    </row>
    <row r="554" spans="1:18" x14ac:dyDescent="0.25">
      <c r="A554" s="7">
        <f t="shared" si="48"/>
        <v>111</v>
      </c>
      <c r="B554" s="2">
        <v>43731</v>
      </c>
      <c r="C554" s="3">
        <v>8.69</v>
      </c>
      <c r="D554" s="3">
        <v>8.69</v>
      </c>
      <c r="E554" s="3">
        <v>8.4700000000000006</v>
      </c>
      <c r="F554" s="3">
        <v>8.64</v>
      </c>
      <c r="G554" s="3">
        <v>71690</v>
      </c>
      <c r="H554" s="8">
        <f t="shared" si="49"/>
        <v>3.8004750593824266</v>
      </c>
      <c r="I554">
        <f t="shared" si="50"/>
        <v>8.5940000000000012</v>
      </c>
      <c r="J554" s="6" cm="1">
        <f t="array" ref="J554">_xlfn.STDEV.S(IF($A:$A=A554, $F:$F))</f>
        <v>0.12033287165193089</v>
      </c>
      <c r="P554" s="8">
        <f t="shared" si="51"/>
        <v>3.8004750593824266</v>
      </c>
      <c r="Q554" s="8">
        <f t="shared" si="52"/>
        <v>3.8004750593824266</v>
      </c>
      <c r="R554" s="8">
        <f t="shared" si="53"/>
        <v>3.8004750593824266</v>
      </c>
    </row>
    <row r="555" spans="1:18" x14ac:dyDescent="0.25">
      <c r="A555" s="7">
        <f t="shared" si="48"/>
        <v>111</v>
      </c>
      <c r="B555" s="2">
        <v>43732</v>
      </c>
      <c r="C555" s="3">
        <v>8.44</v>
      </c>
      <c r="D555" s="3">
        <v>8.6300000000000008</v>
      </c>
      <c r="E555" s="3">
        <v>8.44</v>
      </c>
      <c r="F555" s="3">
        <v>8.6300000000000008</v>
      </c>
      <c r="G555" s="3">
        <v>18040</v>
      </c>
      <c r="H555" s="8">
        <f t="shared" si="49"/>
        <v>3.8004750593824266</v>
      </c>
      <c r="I555">
        <f t="shared" si="50"/>
        <v>8.5940000000000012</v>
      </c>
      <c r="J555" s="6" cm="1">
        <f t="array" ref="J555">_xlfn.STDEV.S(IF($A:$A=A555, $F:$F))</f>
        <v>0.12033287165193089</v>
      </c>
      <c r="P555" s="8">
        <f t="shared" si="51"/>
        <v>3.8004750593824266</v>
      </c>
      <c r="Q555" s="8">
        <f t="shared" si="52"/>
        <v>3.8004750593824266</v>
      </c>
      <c r="R555" s="8">
        <f t="shared" si="53"/>
        <v>3.8004750593824266</v>
      </c>
    </row>
    <row r="556" spans="1:18" x14ac:dyDescent="0.25">
      <c r="A556" s="7">
        <f t="shared" si="48"/>
        <v>111</v>
      </c>
      <c r="B556" s="2">
        <v>43733</v>
      </c>
      <c r="C556" s="3">
        <v>8.4700000000000006</v>
      </c>
      <c r="D556" s="3">
        <v>8.74</v>
      </c>
      <c r="E556" s="3">
        <v>8.4700000000000006</v>
      </c>
      <c r="F556" s="3">
        <v>8.74</v>
      </c>
      <c r="G556" s="3">
        <v>15240</v>
      </c>
      <c r="H556" s="8">
        <f t="shared" si="49"/>
        <v>3.8004750593824266</v>
      </c>
      <c r="I556">
        <f t="shared" si="50"/>
        <v>8.5940000000000012</v>
      </c>
      <c r="J556" s="6" cm="1">
        <f t="array" ref="J556">_xlfn.STDEV.S(IF($A:$A=A556, $F:$F))</f>
        <v>0.12033287165193089</v>
      </c>
      <c r="P556" s="8">
        <f t="shared" si="51"/>
        <v>3.8004750593824266</v>
      </c>
      <c r="Q556" s="8">
        <f t="shared" si="52"/>
        <v>3.8004750593824266</v>
      </c>
      <c r="R556" s="8">
        <f t="shared" si="53"/>
        <v>3.8004750593824266</v>
      </c>
    </row>
    <row r="557" spans="1:18" x14ac:dyDescent="0.25">
      <c r="A557" s="7">
        <f t="shared" si="48"/>
        <v>112</v>
      </c>
      <c r="B557" s="2">
        <v>43734</v>
      </c>
      <c r="C557" s="3">
        <v>8.74</v>
      </c>
      <c r="D557" s="3">
        <v>8.8800000000000008</v>
      </c>
      <c r="E557" s="3">
        <v>8.64</v>
      </c>
      <c r="F557" s="3">
        <v>8.74</v>
      </c>
      <c r="G557" s="3">
        <v>12920</v>
      </c>
      <c r="H557" s="8">
        <f t="shared" si="49"/>
        <v>0.57208237986268795</v>
      </c>
      <c r="I557">
        <f t="shared" si="50"/>
        <v>8.5939999999999994</v>
      </c>
      <c r="J557" s="6" cm="1">
        <f t="array" ref="J557">_xlfn.STDEV.S(IF($A:$A=A557, $F:$F))</f>
        <v>0.17343586710943051</v>
      </c>
      <c r="P557" s="8">
        <f t="shared" si="51"/>
        <v>0.57208237986268795</v>
      </c>
      <c r="Q557" s="8">
        <f t="shared" si="52"/>
        <v>0.57208237986268795</v>
      </c>
      <c r="R557" s="8">
        <f t="shared" si="53"/>
        <v>0.57208237986268795</v>
      </c>
    </row>
    <row r="558" spans="1:18" x14ac:dyDescent="0.25">
      <c r="A558" s="7">
        <f t="shared" si="48"/>
        <v>112</v>
      </c>
      <c r="B558" s="2">
        <v>43735</v>
      </c>
      <c r="C558" s="3">
        <v>8.74</v>
      </c>
      <c r="D558" s="3">
        <v>8.74</v>
      </c>
      <c r="E558" s="3">
        <v>8.5399999999999991</v>
      </c>
      <c r="F558" s="3">
        <v>8.5399999999999991</v>
      </c>
      <c r="G558" s="3">
        <v>4600</v>
      </c>
      <c r="H558" s="8">
        <f t="shared" si="49"/>
        <v>0.57208237986268795</v>
      </c>
      <c r="I558">
        <f t="shared" si="50"/>
        <v>8.5939999999999994</v>
      </c>
      <c r="J558" s="6" cm="1">
        <f t="array" ref="J558">_xlfn.STDEV.S(IF($A:$A=A558, $F:$F))</f>
        <v>0.17343586710943051</v>
      </c>
      <c r="P558" s="8">
        <f t="shared" si="51"/>
        <v>0.57208237986268795</v>
      </c>
      <c r="Q558" s="8">
        <f t="shared" si="52"/>
        <v>0.57208237986268795</v>
      </c>
      <c r="R558" s="8">
        <f t="shared" si="53"/>
        <v>0.57208237986268795</v>
      </c>
    </row>
    <row r="559" spans="1:18" x14ac:dyDescent="0.25">
      <c r="A559" s="7">
        <f t="shared" si="48"/>
        <v>112</v>
      </c>
      <c r="B559" s="2">
        <v>43738</v>
      </c>
      <c r="C559" s="3">
        <v>8.66</v>
      </c>
      <c r="D559" s="3">
        <v>8.68</v>
      </c>
      <c r="E559" s="3">
        <v>8.36</v>
      </c>
      <c r="F559" s="3">
        <v>8.36</v>
      </c>
      <c r="G559" s="3">
        <v>25380</v>
      </c>
      <c r="H559" s="8">
        <f t="shared" si="49"/>
        <v>0.57208237986268795</v>
      </c>
      <c r="I559">
        <f t="shared" si="50"/>
        <v>8.5939999999999994</v>
      </c>
      <c r="J559" s="6" cm="1">
        <f t="array" ref="J559">_xlfn.STDEV.S(IF($A:$A=A559, $F:$F))</f>
        <v>0.17343586710943051</v>
      </c>
      <c r="P559" s="8">
        <f t="shared" si="51"/>
        <v>0.57208237986268795</v>
      </c>
      <c r="Q559" s="8">
        <f t="shared" si="52"/>
        <v>0.57208237986268795</v>
      </c>
      <c r="R559" s="8">
        <f t="shared" si="53"/>
        <v>0.57208237986268795</v>
      </c>
    </row>
    <row r="560" spans="1:18" x14ac:dyDescent="0.25">
      <c r="A560" s="7">
        <f t="shared" si="48"/>
        <v>112</v>
      </c>
      <c r="B560" s="2">
        <v>43739</v>
      </c>
      <c r="C560" s="3">
        <v>8.36</v>
      </c>
      <c r="D560" s="3">
        <v>8.5399999999999991</v>
      </c>
      <c r="E560" s="3">
        <v>8.36</v>
      </c>
      <c r="F560" s="3">
        <v>8.5399999999999991</v>
      </c>
      <c r="G560" s="3">
        <v>17820</v>
      </c>
      <c r="H560" s="8">
        <f t="shared" si="49"/>
        <v>0.57208237986268795</v>
      </c>
      <c r="I560">
        <f t="shared" si="50"/>
        <v>8.5939999999999994</v>
      </c>
      <c r="J560" s="6" cm="1">
        <f t="array" ref="J560">_xlfn.STDEV.S(IF($A:$A=A560, $F:$F))</f>
        <v>0.17343586710943051</v>
      </c>
      <c r="P560" s="8">
        <f t="shared" si="51"/>
        <v>0.57208237986268795</v>
      </c>
      <c r="Q560" s="8">
        <f t="shared" si="52"/>
        <v>0.57208237986268795</v>
      </c>
      <c r="R560" s="8">
        <f t="shared" si="53"/>
        <v>0.57208237986268795</v>
      </c>
    </row>
    <row r="561" spans="1:18" x14ac:dyDescent="0.25">
      <c r="A561" s="7">
        <f t="shared" si="48"/>
        <v>112</v>
      </c>
      <c r="B561" s="2">
        <v>43740</v>
      </c>
      <c r="C561" s="3">
        <v>8.5399999999999991</v>
      </c>
      <c r="D561" s="3">
        <v>8.84</v>
      </c>
      <c r="E561" s="3">
        <v>8.52</v>
      </c>
      <c r="F561" s="3">
        <v>8.7899999999999991</v>
      </c>
      <c r="G561" s="3">
        <v>116700</v>
      </c>
      <c r="H561" s="8">
        <f t="shared" si="49"/>
        <v>0.57208237986268795</v>
      </c>
      <c r="I561">
        <f t="shared" si="50"/>
        <v>8.5939999999999994</v>
      </c>
      <c r="J561" s="6" cm="1">
        <f t="array" ref="J561">_xlfn.STDEV.S(IF($A:$A=A561, $F:$F))</f>
        <v>0.17343586710943051</v>
      </c>
      <c r="P561" s="8">
        <f t="shared" si="51"/>
        <v>0.57208237986268795</v>
      </c>
      <c r="Q561" s="8">
        <f t="shared" si="52"/>
        <v>0.57208237986268795</v>
      </c>
      <c r="R561" s="8">
        <f t="shared" si="53"/>
        <v>0.57208237986268795</v>
      </c>
    </row>
    <row r="562" spans="1:18" x14ac:dyDescent="0.25">
      <c r="A562" s="7">
        <f t="shared" si="48"/>
        <v>113</v>
      </c>
      <c r="B562" s="2">
        <v>43741</v>
      </c>
      <c r="C562" s="3">
        <v>8.69</v>
      </c>
      <c r="D562" s="3">
        <v>8.7899999999999991</v>
      </c>
      <c r="E562" s="3">
        <v>8.66</v>
      </c>
      <c r="F562" s="3">
        <v>8.66</v>
      </c>
      <c r="G562" s="3">
        <v>50440</v>
      </c>
      <c r="H562" s="8">
        <f t="shared" si="49"/>
        <v>-3.3487297921478163</v>
      </c>
      <c r="I562">
        <f t="shared" si="50"/>
        <v>8.4280000000000008</v>
      </c>
      <c r="J562" s="6" cm="1">
        <f t="array" ref="J562">_xlfn.STDEV.S(IF($A:$A=A562, $F:$F))</f>
        <v>0.16664333169977169</v>
      </c>
      <c r="P562" s="8">
        <f t="shared" si="51"/>
        <v>-3.3487297921478163</v>
      </c>
      <c r="Q562" s="8">
        <f t="shared" si="52"/>
        <v>-3.3487297921478163</v>
      </c>
      <c r="R562" s="8">
        <f t="shared" si="53"/>
        <v>-3.3487297921478163</v>
      </c>
    </row>
    <row r="563" spans="1:18" x14ac:dyDescent="0.25">
      <c r="A563" s="7">
        <f t="shared" si="48"/>
        <v>113</v>
      </c>
      <c r="B563" s="2">
        <v>43742</v>
      </c>
      <c r="C563" s="3">
        <v>8.66</v>
      </c>
      <c r="D563" s="3">
        <v>8.66</v>
      </c>
      <c r="E563" s="3">
        <v>8.44</v>
      </c>
      <c r="F563" s="3">
        <v>8.44</v>
      </c>
      <c r="G563" s="3">
        <v>21360</v>
      </c>
      <c r="H563" s="8">
        <f t="shared" si="49"/>
        <v>-3.3487297921478163</v>
      </c>
      <c r="I563">
        <f t="shared" si="50"/>
        <v>8.4280000000000008</v>
      </c>
      <c r="J563" s="6" cm="1">
        <f t="array" ref="J563">_xlfn.STDEV.S(IF($A:$A=A563, $F:$F))</f>
        <v>0.16664333169977169</v>
      </c>
      <c r="P563" s="8">
        <f t="shared" si="51"/>
        <v>-3.3487297921478163</v>
      </c>
      <c r="Q563" s="8">
        <f t="shared" si="52"/>
        <v>-3.3487297921478163</v>
      </c>
      <c r="R563" s="8">
        <f t="shared" si="53"/>
        <v>-3.3487297921478163</v>
      </c>
    </row>
    <row r="564" spans="1:18" x14ac:dyDescent="0.25">
      <c r="A564" s="7">
        <f t="shared" si="48"/>
        <v>113</v>
      </c>
      <c r="B564" s="2">
        <v>43745</v>
      </c>
      <c r="C564" s="3">
        <v>8.49</v>
      </c>
      <c r="D564" s="3">
        <v>8.49</v>
      </c>
      <c r="E564" s="3">
        <v>8.1999999999999993</v>
      </c>
      <c r="F564" s="3">
        <v>8.1999999999999993</v>
      </c>
      <c r="G564" s="3">
        <v>26220</v>
      </c>
      <c r="H564" s="8">
        <f t="shared" si="49"/>
        <v>-3.3487297921478163</v>
      </c>
      <c r="I564">
        <f t="shared" si="50"/>
        <v>8.4280000000000008</v>
      </c>
      <c r="J564" s="6" cm="1">
        <f t="array" ref="J564">_xlfn.STDEV.S(IF($A:$A=A564, $F:$F))</f>
        <v>0.16664333169977169</v>
      </c>
      <c r="P564" s="8">
        <f t="shared" si="51"/>
        <v>-3.3487297921478163</v>
      </c>
      <c r="Q564" s="8">
        <f t="shared" si="52"/>
        <v>-3.3487297921478163</v>
      </c>
      <c r="R564" s="8">
        <f t="shared" si="53"/>
        <v>-3.3487297921478163</v>
      </c>
    </row>
    <row r="565" spans="1:18" x14ac:dyDescent="0.25">
      <c r="A565" s="7">
        <f t="shared" si="48"/>
        <v>113</v>
      </c>
      <c r="B565" s="2">
        <v>43746</v>
      </c>
      <c r="C565" s="3">
        <v>8.1999999999999993</v>
      </c>
      <c r="D565" s="3">
        <v>8.4700000000000006</v>
      </c>
      <c r="E565" s="3">
        <v>8.1999999999999993</v>
      </c>
      <c r="F565" s="3">
        <v>8.4700000000000006</v>
      </c>
      <c r="G565" s="3">
        <v>20790</v>
      </c>
      <c r="H565" s="8">
        <f t="shared" si="49"/>
        <v>-3.3487297921478163</v>
      </c>
      <c r="I565">
        <f t="shared" si="50"/>
        <v>8.4280000000000008</v>
      </c>
      <c r="J565" s="6" cm="1">
        <f t="array" ref="J565">_xlfn.STDEV.S(IF($A:$A=A565, $F:$F))</f>
        <v>0.16664333169977169</v>
      </c>
      <c r="P565" s="8">
        <f t="shared" si="51"/>
        <v>-3.3487297921478163</v>
      </c>
      <c r="Q565" s="8">
        <f t="shared" si="52"/>
        <v>-3.3487297921478163</v>
      </c>
      <c r="R565" s="8">
        <f t="shared" si="53"/>
        <v>-3.3487297921478163</v>
      </c>
    </row>
    <row r="566" spans="1:18" x14ac:dyDescent="0.25">
      <c r="A566" s="7">
        <f t="shared" si="48"/>
        <v>113</v>
      </c>
      <c r="B566" s="2">
        <v>43747</v>
      </c>
      <c r="C566" s="3">
        <v>8.2200000000000006</v>
      </c>
      <c r="D566" s="3">
        <v>8.52</v>
      </c>
      <c r="E566" s="3">
        <v>8.2200000000000006</v>
      </c>
      <c r="F566" s="3">
        <v>8.3699999999999992</v>
      </c>
      <c r="G566" s="3">
        <v>23080</v>
      </c>
      <c r="H566" s="8">
        <f t="shared" si="49"/>
        <v>-3.3487297921478163</v>
      </c>
      <c r="I566">
        <f t="shared" si="50"/>
        <v>8.4280000000000008</v>
      </c>
      <c r="J566" s="6" cm="1">
        <f t="array" ref="J566">_xlfn.STDEV.S(IF($A:$A=A566, $F:$F))</f>
        <v>0.16664333169977169</v>
      </c>
      <c r="P566" s="8">
        <f t="shared" si="51"/>
        <v>-3.3487297921478163</v>
      </c>
      <c r="Q566" s="8">
        <f t="shared" si="52"/>
        <v>-3.3487297921478163</v>
      </c>
      <c r="R566" s="8">
        <f t="shared" si="53"/>
        <v>-3.3487297921478163</v>
      </c>
    </row>
    <row r="567" spans="1:18" x14ac:dyDescent="0.25">
      <c r="A567" s="7">
        <f t="shared" si="48"/>
        <v>114</v>
      </c>
      <c r="B567" s="2">
        <v>43748</v>
      </c>
      <c r="C567" s="3">
        <v>8.42</v>
      </c>
      <c r="D567" s="3">
        <v>8.44</v>
      </c>
      <c r="E567" s="3">
        <v>8.3699999999999992</v>
      </c>
      <c r="F567" s="3">
        <v>8.3699999999999992</v>
      </c>
      <c r="G567" s="3">
        <v>19030</v>
      </c>
      <c r="H567" s="8">
        <f t="shared" si="49"/>
        <v>2.0310633213859015</v>
      </c>
      <c r="I567">
        <f t="shared" si="50"/>
        <v>8.4820000000000011</v>
      </c>
      <c r="J567" s="6" cm="1">
        <f t="array" ref="J567">_xlfn.STDEV.S(IF($A:$A=A567, $F:$F))</f>
        <v>6.6105975524153732E-2</v>
      </c>
      <c r="P567" s="8">
        <f t="shared" si="51"/>
        <v>2.0310633213859015</v>
      </c>
      <c r="Q567" s="8">
        <f t="shared" si="52"/>
        <v>2.0310633213859015</v>
      </c>
      <c r="R567" s="8">
        <f t="shared" si="53"/>
        <v>2.0310633213859015</v>
      </c>
    </row>
    <row r="568" spans="1:18" x14ac:dyDescent="0.25">
      <c r="A568" s="7">
        <f t="shared" si="48"/>
        <v>114</v>
      </c>
      <c r="B568" s="2">
        <v>43749</v>
      </c>
      <c r="C568" s="3">
        <v>8.5399999999999991</v>
      </c>
      <c r="D568" s="3">
        <v>8.5399999999999991</v>
      </c>
      <c r="E568" s="3">
        <v>8.3000000000000007</v>
      </c>
      <c r="F568" s="3">
        <v>8.49</v>
      </c>
      <c r="G568" s="3">
        <v>19970</v>
      </c>
      <c r="H568" s="8">
        <f t="shared" si="49"/>
        <v>2.0310633213859015</v>
      </c>
      <c r="I568">
        <f t="shared" si="50"/>
        <v>8.4820000000000011</v>
      </c>
      <c r="J568" s="6" cm="1">
        <f t="array" ref="J568">_xlfn.STDEV.S(IF($A:$A=A568, $F:$F))</f>
        <v>6.6105975524153732E-2</v>
      </c>
      <c r="P568" s="8">
        <f t="shared" si="51"/>
        <v>2.0310633213859015</v>
      </c>
      <c r="Q568" s="8">
        <f t="shared" si="52"/>
        <v>2.0310633213859015</v>
      </c>
      <c r="R568" s="8">
        <f t="shared" si="53"/>
        <v>2.0310633213859015</v>
      </c>
    </row>
    <row r="569" spans="1:18" x14ac:dyDescent="0.25">
      <c r="A569" s="7">
        <f t="shared" si="48"/>
        <v>114</v>
      </c>
      <c r="B569" s="2">
        <v>43752</v>
      </c>
      <c r="C569" s="3">
        <v>8.49</v>
      </c>
      <c r="D569" s="3">
        <v>8.5399999999999991</v>
      </c>
      <c r="E569" s="3">
        <v>8.1300000000000008</v>
      </c>
      <c r="F569" s="3">
        <v>8.49</v>
      </c>
      <c r="G569" s="3">
        <v>55860</v>
      </c>
      <c r="H569" s="8">
        <f t="shared" si="49"/>
        <v>2.0310633213859015</v>
      </c>
      <c r="I569">
        <f t="shared" si="50"/>
        <v>8.4820000000000011</v>
      </c>
      <c r="J569" s="6" cm="1">
        <f t="array" ref="J569">_xlfn.STDEV.S(IF($A:$A=A569, $F:$F))</f>
        <v>6.6105975524153732E-2</v>
      </c>
      <c r="P569" s="8">
        <f t="shared" si="51"/>
        <v>2.0310633213859015</v>
      </c>
      <c r="Q569" s="8">
        <f t="shared" si="52"/>
        <v>2.0310633213859015</v>
      </c>
      <c r="R569" s="8">
        <f t="shared" si="53"/>
        <v>2.0310633213859015</v>
      </c>
    </row>
    <row r="570" spans="1:18" x14ac:dyDescent="0.25">
      <c r="A570" s="7">
        <f t="shared" si="48"/>
        <v>114</v>
      </c>
      <c r="B570" s="2">
        <v>43753</v>
      </c>
      <c r="C570" s="3">
        <v>8.49</v>
      </c>
      <c r="D570" s="3">
        <v>8.59</v>
      </c>
      <c r="E570" s="3">
        <v>8.3699999999999992</v>
      </c>
      <c r="F570" s="3">
        <v>8.52</v>
      </c>
      <c r="G570" s="3">
        <v>32350</v>
      </c>
      <c r="H570" s="8">
        <f t="shared" si="49"/>
        <v>2.0310633213859015</v>
      </c>
      <c r="I570">
        <f t="shared" si="50"/>
        <v>8.4820000000000011</v>
      </c>
      <c r="J570" s="6" cm="1">
        <f t="array" ref="J570">_xlfn.STDEV.S(IF($A:$A=A570, $F:$F))</f>
        <v>6.6105975524153732E-2</v>
      </c>
      <c r="P570" s="8">
        <f t="shared" si="51"/>
        <v>2.0310633213859015</v>
      </c>
      <c r="Q570" s="8">
        <f t="shared" si="52"/>
        <v>2.0310633213859015</v>
      </c>
      <c r="R570" s="8">
        <f t="shared" si="53"/>
        <v>2.0310633213859015</v>
      </c>
    </row>
    <row r="571" spans="1:18" x14ac:dyDescent="0.25">
      <c r="A571" s="7">
        <f t="shared" si="48"/>
        <v>114</v>
      </c>
      <c r="B571" s="2">
        <v>43754</v>
      </c>
      <c r="C571" s="3">
        <v>8.52</v>
      </c>
      <c r="D571" s="3">
        <v>8.6199999999999992</v>
      </c>
      <c r="E571" s="3">
        <v>8.4700000000000006</v>
      </c>
      <c r="F571" s="3">
        <v>8.5399999999999991</v>
      </c>
      <c r="G571" s="3">
        <v>31750</v>
      </c>
      <c r="H571" s="8">
        <f t="shared" si="49"/>
        <v>2.0310633213859015</v>
      </c>
      <c r="I571">
        <f t="shared" si="50"/>
        <v>8.4820000000000011</v>
      </c>
      <c r="J571" s="6" cm="1">
        <f t="array" ref="J571">_xlfn.STDEV.S(IF($A:$A=A571, $F:$F))</f>
        <v>6.6105975524153732E-2</v>
      </c>
      <c r="P571" s="8">
        <f t="shared" si="51"/>
        <v>2.0310633213859015</v>
      </c>
      <c r="Q571" s="8">
        <f t="shared" si="52"/>
        <v>2.0310633213859015</v>
      </c>
      <c r="R571" s="8">
        <f t="shared" si="53"/>
        <v>2.0310633213859015</v>
      </c>
    </row>
    <row r="572" spans="1:18" x14ac:dyDescent="0.25">
      <c r="A572" s="7">
        <f t="shared" si="48"/>
        <v>115</v>
      </c>
      <c r="B572" s="2">
        <v>43755</v>
      </c>
      <c r="C572" s="3">
        <v>8.44</v>
      </c>
      <c r="D572" s="3">
        <v>8.57</v>
      </c>
      <c r="E572" s="3">
        <v>8.42</v>
      </c>
      <c r="F572" s="3">
        <v>8.57</v>
      </c>
      <c r="G572" s="3">
        <v>12210</v>
      </c>
      <c r="H572" s="8">
        <f t="shared" si="49"/>
        <v>-0.93348891481913732</v>
      </c>
      <c r="I572">
        <f t="shared" si="50"/>
        <v>8.4499999999999993</v>
      </c>
      <c r="J572" s="6" cm="1">
        <f t="array" ref="J572">_xlfn.STDEV.S(IF($A:$A=A572, $F:$F))</f>
        <v>8.0311892021045328E-2</v>
      </c>
      <c r="P572" s="8">
        <f t="shared" si="51"/>
        <v>-0.93348891481913732</v>
      </c>
      <c r="Q572" s="8">
        <f t="shared" si="52"/>
        <v>-0.93348891481913732</v>
      </c>
      <c r="R572" s="8">
        <f t="shared" si="53"/>
        <v>-0.93348891481913732</v>
      </c>
    </row>
    <row r="573" spans="1:18" x14ac:dyDescent="0.25">
      <c r="A573" s="7">
        <f t="shared" si="48"/>
        <v>115</v>
      </c>
      <c r="B573" s="2">
        <v>43756</v>
      </c>
      <c r="C573" s="3">
        <v>8.5399999999999991</v>
      </c>
      <c r="D573" s="3">
        <v>8.5399999999999991</v>
      </c>
      <c r="E573" s="3">
        <v>8.42</v>
      </c>
      <c r="F573" s="3">
        <v>8.42</v>
      </c>
      <c r="G573" s="3">
        <v>2300</v>
      </c>
      <c r="H573" s="8">
        <f t="shared" si="49"/>
        <v>-0.93348891481913732</v>
      </c>
      <c r="I573">
        <f t="shared" si="50"/>
        <v>8.4499999999999993</v>
      </c>
      <c r="J573" s="6" cm="1">
        <f t="array" ref="J573">_xlfn.STDEV.S(IF($A:$A=A573, $F:$F))</f>
        <v>8.0311892021045328E-2</v>
      </c>
      <c r="P573" s="8">
        <f t="shared" si="51"/>
        <v>-0.93348891481913732</v>
      </c>
      <c r="Q573" s="8">
        <f t="shared" si="52"/>
        <v>-0.93348891481913732</v>
      </c>
      <c r="R573" s="8">
        <f t="shared" si="53"/>
        <v>-0.93348891481913732</v>
      </c>
    </row>
    <row r="574" spans="1:18" x14ac:dyDescent="0.25">
      <c r="A574" s="7">
        <f t="shared" si="48"/>
        <v>115</v>
      </c>
      <c r="B574" s="2">
        <v>43759</v>
      </c>
      <c r="C574" s="3">
        <v>8.42</v>
      </c>
      <c r="D574" s="3">
        <v>8.42</v>
      </c>
      <c r="E574" s="3">
        <v>8.32</v>
      </c>
      <c r="F574" s="3">
        <v>8.3699999999999992</v>
      </c>
      <c r="G574" s="3">
        <v>26950</v>
      </c>
      <c r="H574" s="8">
        <f t="shared" si="49"/>
        <v>-0.93348891481913732</v>
      </c>
      <c r="I574">
        <f t="shared" si="50"/>
        <v>8.4499999999999993</v>
      </c>
      <c r="J574" s="6" cm="1">
        <f t="array" ref="J574">_xlfn.STDEV.S(IF($A:$A=A574, $F:$F))</f>
        <v>8.0311892021045328E-2</v>
      </c>
      <c r="P574" s="8">
        <f t="shared" si="51"/>
        <v>-0.93348891481913732</v>
      </c>
      <c r="Q574" s="8">
        <f t="shared" si="52"/>
        <v>-0.93348891481913732</v>
      </c>
      <c r="R574" s="8">
        <f t="shared" si="53"/>
        <v>-0.93348891481913732</v>
      </c>
    </row>
    <row r="575" spans="1:18" x14ac:dyDescent="0.25">
      <c r="A575" s="7">
        <f t="shared" si="48"/>
        <v>115</v>
      </c>
      <c r="B575" s="2">
        <v>43760</v>
      </c>
      <c r="C575" s="3">
        <v>8.3000000000000007</v>
      </c>
      <c r="D575" s="3">
        <v>8.4</v>
      </c>
      <c r="E575" s="3">
        <v>8.3000000000000007</v>
      </c>
      <c r="F575" s="3">
        <v>8.4</v>
      </c>
      <c r="G575" s="3">
        <v>14320</v>
      </c>
      <c r="H575" s="8">
        <f t="shared" si="49"/>
        <v>-0.93348891481913732</v>
      </c>
      <c r="I575">
        <f t="shared" si="50"/>
        <v>8.4499999999999993</v>
      </c>
      <c r="J575" s="6" cm="1">
        <f t="array" ref="J575">_xlfn.STDEV.S(IF($A:$A=A575, $F:$F))</f>
        <v>8.0311892021045328E-2</v>
      </c>
      <c r="P575" s="8">
        <f t="shared" si="51"/>
        <v>-0.93348891481913732</v>
      </c>
      <c r="Q575" s="8">
        <f t="shared" si="52"/>
        <v>-0.93348891481913732</v>
      </c>
      <c r="R575" s="8">
        <f t="shared" si="53"/>
        <v>-0.93348891481913732</v>
      </c>
    </row>
    <row r="576" spans="1:18" x14ac:dyDescent="0.25">
      <c r="A576" s="7">
        <f t="shared" si="48"/>
        <v>115</v>
      </c>
      <c r="B576" s="2">
        <v>43761</v>
      </c>
      <c r="C576" s="3">
        <v>8.31</v>
      </c>
      <c r="D576" s="3">
        <v>8.52</v>
      </c>
      <c r="E576" s="3">
        <v>8.31</v>
      </c>
      <c r="F576" s="3">
        <v>8.49</v>
      </c>
      <c r="G576" s="3">
        <v>67100</v>
      </c>
      <c r="H576" s="8">
        <f t="shared" si="49"/>
        <v>-0.93348891481913732</v>
      </c>
      <c r="I576">
        <f t="shared" si="50"/>
        <v>8.4499999999999993</v>
      </c>
      <c r="J576" s="6" cm="1">
        <f t="array" ref="J576">_xlfn.STDEV.S(IF($A:$A=A576, $F:$F))</f>
        <v>8.0311892021045328E-2</v>
      </c>
      <c r="P576" s="8">
        <f t="shared" si="51"/>
        <v>-0.93348891481913732</v>
      </c>
      <c r="Q576" s="8">
        <f t="shared" si="52"/>
        <v>-0.93348891481913732</v>
      </c>
      <c r="R576" s="8">
        <f t="shared" si="53"/>
        <v>-0.93348891481913732</v>
      </c>
    </row>
    <row r="577" spans="1:18" x14ac:dyDescent="0.25">
      <c r="A577" s="7">
        <f t="shared" si="48"/>
        <v>116</v>
      </c>
      <c r="B577" s="2">
        <v>43762</v>
      </c>
      <c r="C577" s="3">
        <v>8.4700000000000006</v>
      </c>
      <c r="D577" s="3">
        <v>8.5399999999999991</v>
      </c>
      <c r="E577" s="3">
        <v>8.4700000000000006</v>
      </c>
      <c r="F577" s="3">
        <v>8.5399999999999991</v>
      </c>
      <c r="G577" s="3">
        <v>8040</v>
      </c>
      <c r="H577" s="8">
        <f t="shared" si="49"/>
        <v>0</v>
      </c>
      <c r="I577">
        <f t="shared" si="50"/>
        <v>8.4879999999999995</v>
      </c>
      <c r="J577" s="6" cm="1">
        <f t="array" ref="J577">_xlfn.STDEV.S(IF($A:$A=A577, $F:$F))</f>
        <v>7.9812279756939497E-2</v>
      </c>
      <c r="P577" s="8">
        <f t="shared" si="51"/>
        <v>0</v>
      </c>
      <c r="Q577" s="8">
        <f t="shared" si="52"/>
        <v>0</v>
      </c>
      <c r="R577" s="8">
        <f t="shared" si="53"/>
        <v>0</v>
      </c>
    </row>
    <row r="578" spans="1:18" x14ac:dyDescent="0.25">
      <c r="A578" s="7">
        <f t="shared" si="48"/>
        <v>116</v>
      </c>
      <c r="B578" s="2">
        <v>43763</v>
      </c>
      <c r="C578" s="3">
        <v>8.57</v>
      </c>
      <c r="D578" s="3">
        <v>8.57</v>
      </c>
      <c r="E578" s="3">
        <v>8.3699999999999992</v>
      </c>
      <c r="F578" s="3">
        <v>8.52</v>
      </c>
      <c r="G578" s="3">
        <v>45490</v>
      </c>
      <c r="H578" s="8">
        <f t="shared" si="49"/>
        <v>0</v>
      </c>
      <c r="I578">
        <f t="shared" si="50"/>
        <v>8.4879999999999995</v>
      </c>
      <c r="J578" s="6" cm="1">
        <f t="array" ref="J578">_xlfn.STDEV.S(IF($A:$A=A578, $F:$F))</f>
        <v>7.9812279756939497E-2</v>
      </c>
      <c r="P578" s="8">
        <f t="shared" si="51"/>
        <v>0</v>
      </c>
      <c r="Q578" s="8">
        <f t="shared" si="52"/>
        <v>0</v>
      </c>
      <c r="R578" s="8">
        <f t="shared" si="53"/>
        <v>0</v>
      </c>
    </row>
    <row r="579" spans="1:18" x14ac:dyDescent="0.25">
      <c r="A579" s="7">
        <f t="shared" ref="A579:A642" si="54">INT((ROW(A579)-ROW($A$2))/5) + 1</f>
        <v>116</v>
      </c>
      <c r="B579" s="2">
        <v>43766</v>
      </c>
      <c r="C579" s="3">
        <v>8.35</v>
      </c>
      <c r="D579" s="3">
        <v>8.7100000000000009</v>
      </c>
      <c r="E579" s="3">
        <v>8.35</v>
      </c>
      <c r="F579" s="3">
        <v>8.49</v>
      </c>
      <c r="G579" s="3">
        <v>9160</v>
      </c>
      <c r="H579" s="8">
        <f t="shared" ref="H579:H642" si="55">IF(A579=A578, H578, (F583-F579)/F579*100)</f>
        <v>0</v>
      </c>
      <c r="I579">
        <f t="shared" ref="I579:I642" si="56">AVERAGEIF($A:$A, A579, $F:$F)</f>
        <v>8.4879999999999995</v>
      </c>
      <c r="J579" s="6" cm="1">
        <f t="array" ref="J579">_xlfn.STDEV.S(IF($A:$A=A579, $F:$F))</f>
        <v>7.9812279756939497E-2</v>
      </c>
      <c r="P579" s="8">
        <f t="shared" ref="P579:P642" si="57">IF(A579=A578,P578,(F583-F579)/F579*100)</f>
        <v>0</v>
      </c>
      <c r="Q579" s="8">
        <f t="shared" ref="Q579:Q642" si="58">IF(A579=A578,Q578,(F583-F579)/F579*100)</f>
        <v>0</v>
      </c>
      <c r="R579" s="8">
        <f t="shared" ref="R579:R642" si="59">IF(A579=A578,R578,(F583-F579)/F579*100)</f>
        <v>0</v>
      </c>
    </row>
    <row r="580" spans="1:18" x14ac:dyDescent="0.25">
      <c r="A580" s="7">
        <f t="shared" si="54"/>
        <v>116</v>
      </c>
      <c r="B580" s="2">
        <v>43767</v>
      </c>
      <c r="C580" s="3">
        <v>8.59</v>
      </c>
      <c r="D580" s="3">
        <v>8.59</v>
      </c>
      <c r="E580" s="3">
        <v>8.32</v>
      </c>
      <c r="F580" s="3">
        <v>8.35</v>
      </c>
      <c r="G580" s="3">
        <v>13230</v>
      </c>
      <c r="H580" s="8">
        <f t="shared" si="55"/>
        <v>0</v>
      </c>
      <c r="I580">
        <f t="shared" si="56"/>
        <v>8.4879999999999995</v>
      </c>
      <c r="J580" s="6" cm="1">
        <f t="array" ref="J580">_xlfn.STDEV.S(IF($A:$A=A580, $F:$F))</f>
        <v>7.9812279756939497E-2</v>
      </c>
      <c r="P580" s="8">
        <f t="shared" si="57"/>
        <v>0</v>
      </c>
      <c r="Q580" s="8">
        <f t="shared" si="58"/>
        <v>0</v>
      </c>
      <c r="R580" s="8">
        <f t="shared" si="59"/>
        <v>0</v>
      </c>
    </row>
    <row r="581" spans="1:18" x14ac:dyDescent="0.25">
      <c r="A581" s="7">
        <f t="shared" si="54"/>
        <v>116</v>
      </c>
      <c r="B581" s="2">
        <v>43768</v>
      </c>
      <c r="C581" s="3">
        <v>8.42</v>
      </c>
      <c r="D581" s="3">
        <v>8.5399999999999991</v>
      </c>
      <c r="E581" s="3">
        <v>8.3000000000000007</v>
      </c>
      <c r="F581" s="3">
        <v>8.5399999999999991</v>
      </c>
      <c r="G581" s="3">
        <v>21820</v>
      </c>
      <c r="H581" s="8">
        <f t="shared" si="55"/>
        <v>0</v>
      </c>
      <c r="I581">
        <f t="shared" si="56"/>
        <v>8.4879999999999995</v>
      </c>
      <c r="J581" s="6" cm="1">
        <f t="array" ref="J581">_xlfn.STDEV.S(IF($A:$A=A581, $F:$F))</f>
        <v>7.9812279756939497E-2</v>
      </c>
      <c r="P581" s="8">
        <f t="shared" si="57"/>
        <v>0</v>
      </c>
      <c r="Q581" s="8">
        <f t="shared" si="58"/>
        <v>0</v>
      </c>
      <c r="R581" s="8">
        <f t="shared" si="59"/>
        <v>0</v>
      </c>
    </row>
    <row r="582" spans="1:18" x14ac:dyDescent="0.25">
      <c r="A582" s="7">
        <f t="shared" si="54"/>
        <v>117</v>
      </c>
      <c r="B582" s="2">
        <v>43769</v>
      </c>
      <c r="C582" s="3">
        <v>8.5399999999999991</v>
      </c>
      <c r="D582" s="3">
        <v>8.5399999999999991</v>
      </c>
      <c r="E582" s="3">
        <v>8.49</v>
      </c>
      <c r="F582" s="3">
        <v>8.5399999999999991</v>
      </c>
      <c r="G582" s="3">
        <v>65500</v>
      </c>
      <c r="H582" s="8">
        <f t="shared" si="55"/>
        <v>-1.4051522248243469</v>
      </c>
      <c r="I582">
        <f t="shared" si="56"/>
        <v>8.4879999999999995</v>
      </c>
      <c r="J582" s="6" cm="1">
        <f t="array" ref="J582">_xlfn.STDEV.S(IF($A:$A=A582, $F:$F))</f>
        <v>6.2609903369993739E-2</v>
      </c>
      <c r="P582" s="8">
        <f t="shared" si="57"/>
        <v>-1.4051522248243469</v>
      </c>
      <c r="Q582" s="8">
        <f t="shared" si="58"/>
        <v>-1.4051522248243469</v>
      </c>
      <c r="R582" s="8">
        <f t="shared" si="59"/>
        <v>-1.4051522248243469</v>
      </c>
    </row>
    <row r="583" spans="1:18" x14ac:dyDescent="0.25">
      <c r="A583" s="7">
        <f t="shared" si="54"/>
        <v>117</v>
      </c>
      <c r="B583" s="2">
        <v>43770</v>
      </c>
      <c r="C583" s="3">
        <v>8.5399999999999991</v>
      </c>
      <c r="D583" s="3">
        <v>8.5399999999999991</v>
      </c>
      <c r="E583" s="3">
        <v>8.3699999999999992</v>
      </c>
      <c r="F583" s="3">
        <v>8.5399999999999991</v>
      </c>
      <c r="G583" s="3">
        <v>26470</v>
      </c>
      <c r="H583" s="8">
        <f t="shared" si="55"/>
        <v>-1.4051522248243469</v>
      </c>
      <c r="I583">
        <f t="shared" si="56"/>
        <v>8.4879999999999995</v>
      </c>
      <c r="J583" s="6" cm="1">
        <f t="array" ref="J583">_xlfn.STDEV.S(IF($A:$A=A583, $F:$F))</f>
        <v>6.2609903369993739E-2</v>
      </c>
      <c r="P583" s="8">
        <f t="shared" si="57"/>
        <v>-1.4051522248243469</v>
      </c>
      <c r="Q583" s="8">
        <f t="shared" si="58"/>
        <v>-1.4051522248243469</v>
      </c>
      <c r="R583" s="8">
        <f t="shared" si="59"/>
        <v>-1.4051522248243469</v>
      </c>
    </row>
    <row r="584" spans="1:18" x14ac:dyDescent="0.25">
      <c r="A584" s="7">
        <f t="shared" si="54"/>
        <v>117</v>
      </c>
      <c r="B584" s="2">
        <v>43773</v>
      </c>
      <c r="C584" s="3">
        <v>8.5399999999999991</v>
      </c>
      <c r="D584" s="3">
        <v>8.5399999999999991</v>
      </c>
      <c r="E584" s="3">
        <v>8.42</v>
      </c>
      <c r="F584" s="3">
        <v>8.42</v>
      </c>
      <c r="G584" s="3">
        <v>258310</v>
      </c>
      <c r="H584" s="8">
        <f t="shared" si="55"/>
        <v>-1.4051522248243469</v>
      </c>
      <c r="I584">
        <f t="shared" si="56"/>
        <v>8.4879999999999995</v>
      </c>
      <c r="J584" s="6" cm="1">
        <f t="array" ref="J584">_xlfn.STDEV.S(IF($A:$A=A584, $F:$F))</f>
        <v>6.2609903369993739E-2</v>
      </c>
      <c r="P584" s="8">
        <f t="shared" si="57"/>
        <v>-1.4051522248243469</v>
      </c>
      <c r="Q584" s="8">
        <f t="shared" si="58"/>
        <v>-1.4051522248243469</v>
      </c>
      <c r="R584" s="8">
        <f t="shared" si="59"/>
        <v>-1.4051522248243469</v>
      </c>
    </row>
    <row r="585" spans="1:18" x14ac:dyDescent="0.25">
      <c r="A585" s="7">
        <f t="shared" si="54"/>
        <v>117</v>
      </c>
      <c r="B585" s="2">
        <v>43774</v>
      </c>
      <c r="C585" s="3">
        <v>8.59</v>
      </c>
      <c r="D585" s="3">
        <v>8.59</v>
      </c>
      <c r="E585" s="3">
        <v>8.4</v>
      </c>
      <c r="F585" s="3">
        <v>8.52</v>
      </c>
      <c r="G585" s="3">
        <v>122170</v>
      </c>
      <c r="H585" s="8">
        <f t="shared" si="55"/>
        <v>-1.4051522248243469</v>
      </c>
      <c r="I585">
        <f t="shared" si="56"/>
        <v>8.4879999999999995</v>
      </c>
      <c r="J585" s="6" cm="1">
        <f t="array" ref="J585">_xlfn.STDEV.S(IF($A:$A=A585, $F:$F))</f>
        <v>6.2609903369993739E-2</v>
      </c>
      <c r="P585" s="8">
        <f t="shared" si="57"/>
        <v>-1.4051522248243469</v>
      </c>
      <c r="Q585" s="8">
        <f t="shared" si="58"/>
        <v>-1.4051522248243469</v>
      </c>
      <c r="R585" s="8">
        <f t="shared" si="59"/>
        <v>-1.4051522248243469</v>
      </c>
    </row>
    <row r="586" spans="1:18" x14ac:dyDescent="0.25">
      <c r="A586" s="7">
        <f t="shared" si="54"/>
        <v>117</v>
      </c>
      <c r="B586" s="2">
        <v>43775</v>
      </c>
      <c r="C586" s="3">
        <v>8.44</v>
      </c>
      <c r="D586" s="3">
        <v>8.44</v>
      </c>
      <c r="E586" s="3">
        <v>8.3000000000000007</v>
      </c>
      <c r="F586" s="3">
        <v>8.42</v>
      </c>
      <c r="G586" s="3">
        <v>74360</v>
      </c>
      <c r="H586" s="8">
        <f t="shared" si="55"/>
        <v>-1.4051522248243469</v>
      </c>
      <c r="I586">
        <f t="shared" si="56"/>
        <v>8.4879999999999995</v>
      </c>
      <c r="J586" s="6" cm="1">
        <f t="array" ref="J586">_xlfn.STDEV.S(IF($A:$A=A586, $F:$F))</f>
        <v>6.2609903369993739E-2</v>
      </c>
      <c r="P586" s="8">
        <f t="shared" si="57"/>
        <v>-1.4051522248243469</v>
      </c>
      <c r="Q586" s="8">
        <f t="shared" si="58"/>
        <v>-1.4051522248243469</v>
      </c>
      <c r="R586" s="8">
        <f t="shared" si="59"/>
        <v>-1.4051522248243469</v>
      </c>
    </row>
    <row r="587" spans="1:18" x14ac:dyDescent="0.25">
      <c r="A587" s="7">
        <f t="shared" si="54"/>
        <v>118</v>
      </c>
      <c r="B587" s="2">
        <v>43776</v>
      </c>
      <c r="C587" s="3">
        <v>8.3000000000000007</v>
      </c>
      <c r="D587" s="3">
        <v>8.42</v>
      </c>
      <c r="E587" s="3">
        <v>8.3000000000000007</v>
      </c>
      <c r="F587" s="3">
        <v>8.31</v>
      </c>
      <c r="G587" s="3">
        <v>202450</v>
      </c>
      <c r="H587" s="8">
        <f t="shared" si="55"/>
        <v>-0.24067388688328939</v>
      </c>
      <c r="I587">
        <f t="shared" si="56"/>
        <v>8.3140000000000001</v>
      </c>
      <c r="J587" s="6" cm="1">
        <f t="array" ref="J587">_xlfn.STDEV.S(IF($A:$A=A587, $F:$F))</f>
        <v>2.7018512172212412E-2</v>
      </c>
      <c r="P587" s="8">
        <f t="shared" si="57"/>
        <v>-0.24067388688328939</v>
      </c>
      <c r="Q587" s="8">
        <f t="shared" si="58"/>
        <v>-0.24067388688328939</v>
      </c>
      <c r="R587" s="8">
        <f t="shared" si="59"/>
        <v>-0.24067388688328939</v>
      </c>
    </row>
    <row r="588" spans="1:18" x14ac:dyDescent="0.25">
      <c r="A588" s="7">
        <f t="shared" si="54"/>
        <v>118</v>
      </c>
      <c r="B588" s="2">
        <v>43777</v>
      </c>
      <c r="C588" s="3">
        <v>8.4600000000000009</v>
      </c>
      <c r="D588" s="3">
        <v>8.49</v>
      </c>
      <c r="E588" s="3">
        <v>8.35</v>
      </c>
      <c r="F588" s="3">
        <v>8.36</v>
      </c>
      <c r="G588" s="3">
        <v>144030</v>
      </c>
      <c r="H588" s="8">
        <f t="shared" si="55"/>
        <v>-0.24067388688328939</v>
      </c>
      <c r="I588">
        <f t="shared" si="56"/>
        <v>8.3140000000000001</v>
      </c>
      <c r="J588" s="6" cm="1">
        <f t="array" ref="J588">_xlfn.STDEV.S(IF($A:$A=A588, $F:$F))</f>
        <v>2.7018512172212412E-2</v>
      </c>
      <c r="P588" s="8">
        <f t="shared" si="57"/>
        <v>-0.24067388688328939</v>
      </c>
      <c r="Q588" s="8">
        <f t="shared" si="58"/>
        <v>-0.24067388688328939</v>
      </c>
      <c r="R588" s="8">
        <f t="shared" si="59"/>
        <v>-0.24067388688328939</v>
      </c>
    </row>
    <row r="589" spans="1:18" x14ac:dyDescent="0.25">
      <c r="A589" s="7">
        <f t="shared" si="54"/>
        <v>118</v>
      </c>
      <c r="B589" s="2">
        <v>43780</v>
      </c>
      <c r="C589" s="3">
        <v>8.35</v>
      </c>
      <c r="D589" s="3">
        <v>8.36</v>
      </c>
      <c r="E589" s="3">
        <v>8.3000000000000007</v>
      </c>
      <c r="F589" s="3">
        <v>8.3000000000000007</v>
      </c>
      <c r="G589" s="3">
        <v>155360</v>
      </c>
      <c r="H589" s="8">
        <f t="shared" si="55"/>
        <v>-0.24067388688328939</v>
      </c>
      <c r="I589">
        <f t="shared" si="56"/>
        <v>8.3140000000000001</v>
      </c>
      <c r="J589" s="6" cm="1">
        <f t="array" ref="J589">_xlfn.STDEV.S(IF($A:$A=A589, $F:$F))</f>
        <v>2.7018512172212412E-2</v>
      </c>
      <c r="P589" s="8">
        <f t="shared" si="57"/>
        <v>-0.24067388688328939</v>
      </c>
      <c r="Q589" s="8">
        <f t="shared" si="58"/>
        <v>-0.24067388688328939</v>
      </c>
      <c r="R589" s="8">
        <f t="shared" si="59"/>
        <v>-0.24067388688328939</v>
      </c>
    </row>
    <row r="590" spans="1:18" x14ac:dyDescent="0.25">
      <c r="A590" s="7">
        <f t="shared" si="54"/>
        <v>118</v>
      </c>
      <c r="B590" s="2">
        <v>43781</v>
      </c>
      <c r="C590" s="3">
        <v>8.3000000000000007</v>
      </c>
      <c r="D590" s="3">
        <v>8.35</v>
      </c>
      <c r="E590" s="3">
        <v>8.3000000000000007</v>
      </c>
      <c r="F590" s="3">
        <v>8.31</v>
      </c>
      <c r="G590" s="3">
        <v>127500</v>
      </c>
      <c r="H590" s="8">
        <f t="shared" si="55"/>
        <v>-0.24067388688328939</v>
      </c>
      <c r="I590">
        <f t="shared" si="56"/>
        <v>8.3140000000000001</v>
      </c>
      <c r="J590" s="6" cm="1">
        <f t="array" ref="J590">_xlfn.STDEV.S(IF($A:$A=A590, $F:$F))</f>
        <v>2.7018512172212412E-2</v>
      </c>
      <c r="P590" s="8">
        <f t="shared" si="57"/>
        <v>-0.24067388688328939</v>
      </c>
      <c r="Q590" s="8">
        <f t="shared" si="58"/>
        <v>-0.24067388688328939</v>
      </c>
      <c r="R590" s="8">
        <f t="shared" si="59"/>
        <v>-0.24067388688328939</v>
      </c>
    </row>
    <row r="591" spans="1:18" x14ac:dyDescent="0.25">
      <c r="A591" s="7">
        <f t="shared" si="54"/>
        <v>118</v>
      </c>
      <c r="B591" s="2">
        <v>43782</v>
      </c>
      <c r="C591" s="3">
        <v>8.27</v>
      </c>
      <c r="D591" s="3">
        <v>8.3800000000000008</v>
      </c>
      <c r="E591" s="3">
        <v>8.14</v>
      </c>
      <c r="F591" s="3">
        <v>8.2899999999999991</v>
      </c>
      <c r="G591" s="3">
        <v>104600</v>
      </c>
      <c r="H591" s="8">
        <f t="shared" si="55"/>
        <v>-0.24067388688328939</v>
      </c>
      <c r="I591">
        <f t="shared" si="56"/>
        <v>8.3140000000000001</v>
      </c>
      <c r="J591" s="6" cm="1">
        <f t="array" ref="J591">_xlfn.STDEV.S(IF($A:$A=A591, $F:$F))</f>
        <v>2.7018512172212412E-2</v>
      </c>
      <c r="P591" s="8">
        <f t="shared" si="57"/>
        <v>-0.24067388688328939</v>
      </c>
      <c r="Q591" s="8">
        <f t="shared" si="58"/>
        <v>-0.24067388688328939</v>
      </c>
      <c r="R591" s="8">
        <f t="shared" si="59"/>
        <v>-0.24067388688328939</v>
      </c>
    </row>
    <row r="592" spans="1:18" x14ac:dyDescent="0.25">
      <c r="A592" s="7">
        <f t="shared" si="54"/>
        <v>119</v>
      </c>
      <c r="B592" s="2">
        <v>43783</v>
      </c>
      <c r="C592" s="3">
        <v>8.27</v>
      </c>
      <c r="D592" s="3">
        <v>8.52</v>
      </c>
      <c r="E592" s="3">
        <v>8.27</v>
      </c>
      <c r="F592" s="3">
        <v>8.3000000000000007</v>
      </c>
      <c r="G592" s="3">
        <v>130030</v>
      </c>
      <c r="H592" s="8">
        <f t="shared" si="55"/>
        <v>0</v>
      </c>
      <c r="I592">
        <f t="shared" si="56"/>
        <v>8.2759999999999998</v>
      </c>
      <c r="J592" s="6" cm="1">
        <f t="array" ref="J592">_xlfn.STDEV.S(IF($A:$A=A592, $F:$F))</f>
        <v>4.82700735445891E-2</v>
      </c>
      <c r="P592" s="8">
        <f t="shared" si="57"/>
        <v>0</v>
      </c>
      <c r="Q592" s="8">
        <f t="shared" si="58"/>
        <v>0</v>
      </c>
      <c r="R592" s="8">
        <f t="shared" si="59"/>
        <v>0</v>
      </c>
    </row>
    <row r="593" spans="1:18" x14ac:dyDescent="0.25">
      <c r="A593" s="7">
        <f t="shared" si="54"/>
        <v>119</v>
      </c>
      <c r="B593" s="2">
        <v>43784</v>
      </c>
      <c r="C593" s="3">
        <v>8.3000000000000007</v>
      </c>
      <c r="D593" s="3">
        <v>8.3000000000000007</v>
      </c>
      <c r="E593" s="3">
        <v>8.16</v>
      </c>
      <c r="F593" s="3">
        <v>8.19</v>
      </c>
      <c r="G593" s="3">
        <v>124190</v>
      </c>
      <c r="H593" s="8">
        <f t="shared" si="55"/>
        <v>0</v>
      </c>
      <c r="I593">
        <f t="shared" si="56"/>
        <v>8.2759999999999998</v>
      </c>
      <c r="J593" s="6" cm="1">
        <f t="array" ref="J593">_xlfn.STDEV.S(IF($A:$A=A593, $F:$F))</f>
        <v>4.82700735445891E-2</v>
      </c>
      <c r="P593" s="8">
        <f t="shared" si="57"/>
        <v>0</v>
      </c>
      <c r="Q593" s="8">
        <f t="shared" si="58"/>
        <v>0</v>
      </c>
      <c r="R593" s="8">
        <f t="shared" si="59"/>
        <v>0</v>
      </c>
    </row>
    <row r="594" spans="1:18" x14ac:dyDescent="0.25">
      <c r="A594" s="7">
        <f t="shared" si="54"/>
        <v>119</v>
      </c>
      <c r="B594" s="2">
        <v>43787</v>
      </c>
      <c r="C594" s="3">
        <v>8.1999999999999993</v>
      </c>
      <c r="D594" s="3">
        <v>8.2899999999999991</v>
      </c>
      <c r="E594" s="3">
        <v>8.1999999999999993</v>
      </c>
      <c r="F594" s="3">
        <v>8.2899999999999991</v>
      </c>
      <c r="G594" s="3">
        <v>44310</v>
      </c>
      <c r="H594" s="8">
        <f t="shared" si="55"/>
        <v>0</v>
      </c>
      <c r="I594">
        <f t="shared" si="56"/>
        <v>8.2759999999999998</v>
      </c>
      <c r="J594" s="6" cm="1">
        <f t="array" ref="J594">_xlfn.STDEV.S(IF($A:$A=A594, $F:$F))</f>
        <v>4.82700735445891E-2</v>
      </c>
      <c r="P594" s="8">
        <f t="shared" si="57"/>
        <v>0</v>
      </c>
      <c r="Q594" s="8">
        <f t="shared" si="58"/>
        <v>0</v>
      </c>
      <c r="R594" s="8">
        <f t="shared" si="59"/>
        <v>0</v>
      </c>
    </row>
    <row r="595" spans="1:18" x14ac:dyDescent="0.25">
      <c r="A595" s="7">
        <f t="shared" si="54"/>
        <v>119</v>
      </c>
      <c r="B595" s="2">
        <v>43788</v>
      </c>
      <c r="C595" s="3">
        <v>8.3000000000000007</v>
      </c>
      <c r="D595" s="3">
        <v>8.3000000000000007</v>
      </c>
      <c r="E595" s="3">
        <v>8.1999999999999993</v>
      </c>
      <c r="F595" s="3">
        <v>8.3000000000000007</v>
      </c>
      <c r="G595" s="3">
        <v>36800</v>
      </c>
      <c r="H595" s="8">
        <f t="shared" si="55"/>
        <v>0</v>
      </c>
      <c r="I595">
        <f t="shared" si="56"/>
        <v>8.2759999999999998</v>
      </c>
      <c r="J595" s="6" cm="1">
        <f t="array" ref="J595">_xlfn.STDEV.S(IF($A:$A=A595, $F:$F))</f>
        <v>4.82700735445891E-2</v>
      </c>
      <c r="P595" s="8">
        <f t="shared" si="57"/>
        <v>0</v>
      </c>
      <c r="Q595" s="8">
        <f t="shared" si="58"/>
        <v>0</v>
      </c>
      <c r="R595" s="8">
        <f t="shared" si="59"/>
        <v>0</v>
      </c>
    </row>
    <row r="596" spans="1:18" x14ac:dyDescent="0.25">
      <c r="A596" s="7">
        <f t="shared" si="54"/>
        <v>119</v>
      </c>
      <c r="B596" s="2">
        <v>43789</v>
      </c>
      <c r="C596" s="3">
        <v>8.0500000000000007</v>
      </c>
      <c r="D596" s="3">
        <v>8.3000000000000007</v>
      </c>
      <c r="E596" s="3">
        <v>8.0500000000000007</v>
      </c>
      <c r="F596" s="3">
        <v>8.3000000000000007</v>
      </c>
      <c r="G596" s="3">
        <v>35640</v>
      </c>
      <c r="H596" s="8">
        <f t="shared" si="55"/>
        <v>0</v>
      </c>
      <c r="I596">
        <f t="shared" si="56"/>
        <v>8.2759999999999998</v>
      </c>
      <c r="J596" s="6" cm="1">
        <f t="array" ref="J596">_xlfn.STDEV.S(IF($A:$A=A596, $F:$F))</f>
        <v>4.82700735445891E-2</v>
      </c>
      <c r="P596" s="8">
        <f t="shared" si="57"/>
        <v>0</v>
      </c>
      <c r="Q596" s="8">
        <f t="shared" si="58"/>
        <v>0</v>
      </c>
      <c r="R596" s="8">
        <f t="shared" si="59"/>
        <v>0</v>
      </c>
    </row>
    <row r="597" spans="1:18" x14ac:dyDescent="0.25">
      <c r="A597" s="7">
        <f t="shared" si="54"/>
        <v>120</v>
      </c>
      <c r="B597" s="2">
        <v>43790</v>
      </c>
      <c r="C597" s="3">
        <v>8.0500000000000007</v>
      </c>
      <c r="D597" s="3">
        <v>8.3000000000000007</v>
      </c>
      <c r="E597" s="3">
        <v>8.0500000000000007</v>
      </c>
      <c r="F597" s="3">
        <v>8.18</v>
      </c>
      <c r="G597" s="3">
        <v>102380</v>
      </c>
      <c r="H597" s="8">
        <f t="shared" si="55"/>
        <v>-1.5892420537897189</v>
      </c>
      <c r="I597">
        <f t="shared" si="56"/>
        <v>8.1079999999999988</v>
      </c>
      <c r="J597" s="6" cm="1">
        <f t="array" ref="J597">_xlfn.STDEV.S(IF($A:$A=A597, $F:$F))</f>
        <v>5.4497706373754617E-2</v>
      </c>
      <c r="P597" s="8">
        <f t="shared" si="57"/>
        <v>-1.5892420537897189</v>
      </c>
      <c r="Q597" s="8">
        <f t="shared" si="58"/>
        <v>-1.5892420537897189</v>
      </c>
      <c r="R597" s="8">
        <f t="shared" si="59"/>
        <v>-1.5892420537897189</v>
      </c>
    </row>
    <row r="598" spans="1:18" x14ac:dyDescent="0.25">
      <c r="A598" s="7">
        <f t="shared" si="54"/>
        <v>120</v>
      </c>
      <c r="B598" s="2">
        <v>43791</v>
      </c>
      <c r="C598" s="3">
        <v>8.19</v>
      </c>
      <c r="D598" s="3">
        <v>8.27</v>
      </c>
      <c r="E598" s="3">
        <v>8.15</v>
      </c>
      <c r="F598" s="3">
        <v>8.15</v>
      </c>
      <c r="G598" s="3">
        <v>408480</v>
      </c>
      <c r="H598" s="8">
        <f t="shared" si="55"/>
        <v>-1.5892420537897189</v>
      </c>
      <c r="I598">
        <f t="shared" si="56"/>
        <v>8.1079999999999988</v>
      </c>
      <c r="J598" s="6" cm="1">
        <f t="array" ref="J598">_xlfn.STDEV.S(IF($A:$A=A598, $F:$F))</f>
        <v>5.4497706373754617E-2</v>
      </c>
      <c r="P598" s="8">
        <f t="shared" si="57"/>
        <v>-1.5892420537897189</v>
      </c>
      <c r="Q598" s="8">
        <f t="shared" si="58"/>
        <v>-1.5892420537897189</v>
      </c>
      <c r="R598" s="8">
        <f t="shared" si="59"/>
        <v>-1.5892420537897189</v>
      </c>
    </row>
    <row r="599" spans="1:18" x14ac:dyDescent="0.25">
      <c r="A599" s="7">
        <f t="shared" si="54"/>
        <v>120</v>
      </c>
      <c r="B599" s="2">
        <v>43794</v>
      </c>
      <c r="C599" s="3">
        <v>8.1999999999999993</v>
      </c>
      <c r="D599" s="3">
        <v>8.69</v>
      </c>
      <c r="E599" s="3">
        <v>8.08</v>
      </c>
      <c r="F599" s="3">
        <v>8.08</v>
      </c>
      <c r="G599" s="3">
        <v>439070</v>
      </c>
      <c r="H599" s="8">
        <f t="shared" si="55"/>
        <v>-1.5892420537897189</v>
      </c>
      <c r="I599">
        <f t="shared" si="56"/>
        <v>8.1079999999999988</v>
      </c>
      <c r="J599" s="6" cm="1">
        <f t="array" ref="J599">_xlfn.STDEV.S(IF($A:$A=A599, $F:$F))</f>
        <v>5.4497706373754617E-2</v>
      </c>
      <c r="P599" s="8">
        <f t="shared" si="57"/>
        <v>-1.5892420537897189</v>
      </c>
      <c r="Q599" s="8">
        <f t="shared" si="58"/>
        <v>-1.5892420537897189</v>
      </c>
      <c r="R599" s="8">
        <f t="shared" si="59"/>
        <v>-1.5892420537897189</v>
      </c>
    </row>
    <row r="600" spans="1:18" x14ac:dyDescent="0.25">
      <c r="A600" s="7">
        <f t="shared" si="54"/>
        <v>120</v>
      </c>
      <c r="B600" s="2">
        <v>43795</v>
      </c>
      <c r="C600" s="3">
        <v>8.0500000000000007</v>
      </c>
      <c r="D600" s="3">
        <v>8.3000000000000007</v>
      </c>
      <c r="E600" s="3">
        <v>8.0500000000000007</v>
      </c>
      <c r="F600" s="3">
        <v>8.08</v>
      </c>
      <c r="G600" s="3">
        <v>104330</v>
      </c>
      <c r="H600" s="8">
        <f t="shared" si="55"/>
        <v>-1.5892420537897189</v>
      </c>
      <c r="I600">
        <f t="shared" si="56"/>
        <v>8.1079999999999988</v>
      </c>
      <c r="J600" s="6" cm="1">
        <f t="array" ref="J600">_xlfn.STDEV.S(IF($A:$A=A600, $F:$F))</f>
        <v>5.4497706373754617E-2</v>
      </c>
      <c r="P600" s="8">
        <f t="shared" si="57"/>
        <v>-1.5892420537897189</v>
      </c>
      <c r="Q600" s="8">
        <f t="shared" si="58"/>
        <v>-1.5892420537897189</v>
      </c>
      <c r="R600" s="8">
        <f t="shared" si="59"/>
        <v>-1.5892420537897189</v>
      </c>
    </row>
    <row r="601" spans="1:18" x14ac:dyDescent="0.25">
      <c r="A601" s="7">
        <f t="shared" si="54"/>
        <v>120</v>
      </c>
      <c r="B601" s="2">
        <v>43796</v>
      </c>
      <c r="C601" s="3">
        <v>8.0500000000000007</v>
      </c>
      <c r="D601" s="3">
        <v>8.18</v>
      </c>
      <c r="E601" s="3">
        <v>8.0500000000000007</v>
      </c>
      <c r="F601" s="3">
        <v>8.0500000000000007</v>
      </c>
      <c r="G601" s="3">
        <v>146900</v>
      </c>
      <c r="H601" s="8">
        <f t="shared" si="55"/>
        <v>-1.5892420537897189</v>
      </c>
      <c r="I601">
        <f t="shared" si="56"/>
        <v>8.1079999999999988</v>
      </c>
      <c r="J601" s="6" cm="1">
        <f t="array" ref="J601">_xlfn.STDEV.S(IF($A:$A=A601, $F:$F))</f>
        <v>5.4497706373754617E-2</v>
      </c>
      <c r="P601" s="8">
        <f t="shared" si="57"/>
        <v>-1.5892420537897189</v>
      </c>
      <c r="Q601" s="8">
        <f t="shared" si="58"/>
        <v>-1.5892420537897189</v>
      </c>
      <c r="R601" s="8">
        <f t="shared" si="59"/>
        <v>-1.5892420537897189</v>
      </c>
    </row>
    <row r="602" spans="1:18" x14ac:dyDescent="0.25">
      <c r="A602" s="7">
        <f t="shared" si="54"/>
        <v>121</v>
      </c>
      <c r="B602" s="2">
        <v>43797</v>
      </c>
      <c r="C602" s="3">
        <v>8.08</v>
      </c>
      <c r="D602" s="3">
        <v>8.3000000000000007</v>
      </c>
      <c r="E602" s="3">
        <v>8.08</v>
      </c>
      <c r="F602" s="3">
        <v>8.15</v>
      </c>
      <c r="G602" s="3">
        <v>15960</v>
      </c>
      <c r="H602" s="8">
        <f t="shared" si="55"/>
        <v>-0.12269938650306486</v>
      </c>
      <c r="I602">
        <f t="shared" si="56"/>
        <v>8.152000000000001</v>
      </c>
      <c r="J602" s="6" cm="1">
        <f t="array" ref="J602">_xlfn.STDEV.S(IF($A:$A=A602, $F:$F))</f>
        <v>4.3243496620879618E-2</v>
      </c>
      <c r="P602" s="8">
        <f t="shared" si="57"/>
        <v>-0.12269938650306486</v>
      </c>
      <c r="Q602" s="8">
        <f t="shared" si="58"/>
        <v>-0.12269938650306486</v>
      </c>
      <c r="R602" s="8">
        <f t="shared" si="59"/>
        <v>-0.12269938650306486</v>
      </c>
    </row>
    <row r="603" spans="1:18" x14ac:dyDescent="0.25">
      <c r="A603" s="7">
        <f t="shared" si="54"/>
        <v>121</v>
      </c>
      <c r="B603" s="2">
        <v>43798</v>
      </c>
      <c r="C603" s="3">
        <v>8.16</v>
      </c>
      <c r="D603" s="3">
        <v>8.3000000000000007</v>
      </c>
      <c r="E603" s="3">
        <v>8.08</v>
      </c>
      <c r="F603" s="3">
        <v>8.2200000000000006</v>
      </c>
      <c r="G603" s="3">
        <v>392020</v>
      </c>
      <c r="H603" s="8">
        <f t="shared" si="55"/>
        <v>-0.12269938650306486</v>
      </c>
      <c r="I603">
        <f t="shared" si="56"/>
        <v>8.152000000000001</v>
      </c>
      <c r="J603" s="6" cm="1">
        <f t="array" ref="J603">_xlfn.STDEV.S(IF($A:$A=A603, $F:$F))</f>
        <v>4.3243496620879618E-2</v>
      </c>
      <c r="P603" s="8">
        <f t="shared" si="57"/>
        <v>-0.12269938650306486</v>
      </c>
      <c r="Q603" s="8">
        <f t="shared" si="58"/>
        <v>-0.12269938650306486</v>
      </c>
      <c r="R603" s="8">
        <f t="shared" si="59"/>
        <v>-0.12269938650306486</v>
      </c>
    </row>
    <row r="604" spans="1:18" x14ac:dyDescent="0.25">
      <c r="A604" s="7">
        <f t="shared" si="54"/>
        <v>121</v>
      </c>
      <c r="B604" s="2">
        <v>43801</v>
      </c>
      <c r="C604" s="3">
        <v>8.2200000000000006</v>
      </c>
      <c r="D604" s="3">
        <v>8.2200000000000006</v>
      </c>
      <c r="E604" s="3">
        <v>8.1</v>
      </c>
      <c r="F604" s="3">
        <v>8.15</v>
      </c>
      <c r="G604" s="3">
        <v>53710</v>
      </c>
      <c r="H604" s="8">
        <f t="shared" si="55"/>
        <v>-0.12269938650306486</v>
      </c>
      <c r="I604">
        <f t="shared" si="56"/>
        <v>8.152000000000001</v>
      </c>
      <c r="J604" s="6" cm="1">
        <f t="array" ref="J604">_xlfn.STDEV.S(IF($A:$A=A604, $F:$F))</f>
        <v>4.3243496620879618E-2</v>
      </c>
      <c r="P604" s="8">
        <f t="shared" si="57"/>
        <v>-0.12269938650306486</v>
      </c>
      <c r="Q604" s="8">
        <f t="shared" si="58"/>
        <v>-0.12269938650306486</v>
      </c>
      <c r="R604" s="8">
        <f t="shared" si="59"/>
        <v>-0.12269938650306486</v>
      </c>
    </row>
    <row r="605" spans="1:18" x14ac:dyDescent="0.25">
      <c r="A605" s="7">
        <f t="shared" si="54"/>
        <v>121</v>
      </c>
      <c r="B605" s="2">
        <v>43802</v>
      </c>
      <c r="C605" s="3">
        <v>8.0500000000000007</v>
      </c>
      <c r="D605" s="3">
        <v>8.15</v>
      </c>
      <c r="E605" s="3">
        <v>7.98</v>
      </c>
      <c r="F605" s="3">
        <v>8.1</v>
      </c>
      <c r="G605" s="3">
        <v>8580</v>
      </c>
      <c r="H605" s="8">
        <f t="shared" si="55"/>
        <v>-0.12269938650306486</v>
      </c>
      <c r="I605">
        <f t="shared" si="56"/>
        <v>8.152000000000001</v>
      </c>
      <c r="J605" s="6" cm="1">
        <f t="array" ref="J605">_xlfn.STDEV.S(IF($A:$A=A605, $F:$F))</f>
        <v>4.3243496620879618E-2</v>
      </c>
      <c r="P605" s="8">
        <f t="shared" si="57"/>
        <v>-0.12269938650306486</v>
      </c>
      <c r="Q605" s="8">
        <f t="shared" si="58"/>
        <v>-0.12269938650306486</v>
      </c>
      <c r="R605" s="8">
        <f t="shared" si="59"/>
        <v>-0.12269938650306486</v>
      </c>
    </row>
    <row r="606" spans="1:18" x14ac:dyDescent="0.25">
      <c r="A606" s="7">
        <f t="shared" si="54"/>
        <v>121</v>
      </c>
      <c r="B606" s="2">
        <v>43803</v>
      </c>
      <c r="C606" s="3">
        <v>8.18</v>
      </c>
      <c r="D606" s="3">
        <v>8.18</v>
      </c>
      <c r="E606" s="3">
        <v>7.93</v>
      </c>
      <c r="F606" s="3">
        <v>8.14</v>
      </c>
      <c r="G606" s="3">
        <v>7880</v>
      </c>
      <c r="H606" s="8">
        <f t="shared" si="55"/>
        <v>-0.12269938650306486</v>
      </c>
      <c r="I606">
        <f t="shared" si="56"/>
        <v>8.152000000000001</v>
      </c>
      <c r="J606" s="6" cm="1">
        <f t="array" ref="J606">_xlfn.STDEV.S(IF($A:$A=A606, $F:$F))</f>
        <v>4.3243496620879618E-2</v>
      </c>
      <c r="P606" s="8">
        <f t="shared" si="57"/>
        <v>-0.12269938650306486</v>
      </c>
      <c r="Q606" s="8">
        <f t="shared" si="58"/>
        <v>-0.12269938650306486</v>
      </c>
      <c r="R606" s="8">
        <f t="shared" si="59"/>
        <v>-0.12269938650306486</v>
      </c>
    </row>
    <row r="607" spans="1:18" x14ac:dyDescent="0.25">
      <c r="A607" s="7">
        <f t="shared" si="54"/>
        <v>122</v>
      </c>
      <c r="B607" s="2">
        <v>43804</v>
      </c>
      <c r="C607" s="3">
        <v>7.98</v>
      </c>
      <c r="D607" s="3">
        <v>8.0500000000000007</v>
      </c>
      <c r="E607" s="3">
        <v>7.96</v>
      </c>
      <c r="F607" s="3">
        <v>7.96</v>
      </c>
      <c r="G607" s="3">
        <v>51710</v>
      </c>
      <c r="H607" s="8">
        <f t="shared" si="55"/>
        <v>-3.3919597989949692</v>
      </c>
      <c r="I607">
        <f t="shared" si="56"/>
        <v>7.8039999999999994</v>
      </c>
      <c r="J607" s="6" cm="1">
        <f t="array" ref="J607">_xlfn.STDEV.S(IF($A:$A=A607, $F:$F))</f>
        <v>0.12817956155331453</v>
      </c>
      <c r="P607" s="8">
        <f t="shared" si="57"/>
        <v>-3.3919597989949692</v>
      </c>
      <c r="Q607" s="8">
        <f t="shared" si="58"/>
        <v>-3.3919597989949692</v>
      </c>
      <c r="R607" s="8">
        <f t="shared" si="59"/>
        <v>-3.3919597989949692</v>
      </c>
    </row>
    <row r="608" spans="1:18" x14ac:dyDescent="0.25">
      <c r="A608" s="7">
        <f t="shared" si="54"/>
        <v>122</v>
      </c>
      <c r="B608" s="2">
        <v>43805</v>
      </c>
      <c r="C608" s="3">
        <v>7.96</v>
      </c>
      <c r="D608" s="3">
        <v>7.96</v>
      </c>
      <c r="E608" s="3">
        <v>7.57</v>
      </c>
      <c r="F608" s="3">
        <v>7.69</v>
      </c>
      <c r="G608" s="3">
        <v>71540</v>
      </c>
      <c r="H608" s="8">
        <f t="shared" si="55"/>
        <v>-3.3919597989949692</v>
      </c>
      <c r="I608">
        <f t="shared" si="56"/>
        <v>7.8039999999999994</v>
      </c>
      <c r="J608" s="6" cm="1">
        <f t="array" ref="J608">_xlfn.STDEV.S(IF($A:$A=A608, $F:$F))</f>
        <v>0.12817956155331453</v>
      </c>
      <c r="P608" s="8">
        <f t="shared" si="57"/>
        <v>-3.3919597989949692</v>
      </c>
      <c r="Q608" s="8">
        <f t="shared" si="58"/>
        <v>-3.3919597989949692</v>
      </c>
      <c r="R608" s="8">
        <f t="shared" si="59"/>
        <v>-3.3919597989949692</v>
      </c>
    </row>
    <row r="609" spans="1:18" x14ac:dyDescent="0.25">
      <c r="A609" s="7">
        <f t="shared" si="54"/>
        <v>122</v>
      </c>
      <c r="B609" s="2">
        <v>43808</v>
      </c>
      <c r="C609" s="3">
        <v>7.92</v>
      </c>
      <c r="D609" s="3">
        <v>7.93</v>
      </c>
      <c r="E609" s="3">
        <v>7.74</v>
      </c>
      <c r="F609" s="3">
        <v>7.92</v>
      </c>
      <c r="G609" s="3">
        <v>18800</v>
      </c>
      <c r="H609" s="8">
        <f t="shared" si="55"/>
        <v>-3.3919597989949692</v>
      </c>
      <c r="I609">
        <f t="shared" si="56"/>
        <v>7.8039999999999994</v>
      </c>
      <c r="J609" s="6" cm="1">
        <f t="array" ref="J609">_xlfn.STDEV.S(IF($A:$A=A609, $F:$F))</f>
        <v>0.12817956155331453</v>
      </c>
      <c r="P609" s="8">
        <f t="shared" si="57"/>
        <v>-3.3919597989949692</v>
      </c>
      <c r="Q609" s="8">
        <f t="shared" si="58"/>
        <v>-3.3919597989949692</v>
      </c>
      <c r="R609" s="8">
        <f t="shared" si="59"/>
        <v>-3.3919597989949692</v>
      </c>
    </row>
    <row r="610" spans="1:18" x14ac:dyDescent="0.25">
      <c r="A610" s="7">
        <f t="shared" si="54"/>
        <v>122</v>
      </c>
      <c r="B610" s="2">
        <v>43809</v>
      </c>
      <c r="C610" s="3">
        <v>7.79</v>
      </c>
      <c r="D610" s="3">
        <v>7.79</v>
      </c>
      <c r="E610" s="3">
        <v>7.71</v>
      </c>
      <c r="F610" s="3">
        <v>7.76</v>
      </c>
      <c r="G610" s="3">
        <v>187140</v>
      </c>
      <c r="H610" s="8">
        <f t="shared" si="55"/>
        <v>-3.3919597989949692</v>
      </c>
      <c r="I610">
        <f t="shared" si="56"/>
        <v>7.8039999999999994</v>
      </c>
      <c r="J610" s="6" cm="1">
        <f t="array" ref="J610">_xlfn.STDEV.S(IF($A:$A=A610, $F:$F))</f>
        <v>0.12817956155331453</v>
      </c>
      <c r="P610" s="8">
        <f t="shared" si="57"/>
        <v>-3.3919597989949692</v>
      </c>
      <c r="Q610" s="8">
        <f t="shared" si="58"/>
        <v>-3.3919597989949692</v>
      </c>
      <c r="R610" s="8">
        <f t="shared" si="59"/>
        <v>-3.3919597989949692</v>
      </c>
    </row>
    <row r="611" spans="1:18" x14ac:dyDescent="0.25">
      <c r="A611" s="7">
        <f t="shared" si="54"/>
        <v>122</v>
      </c>
      <c r="B611" s="2">
        <v>43810</v>
      </c>
      <c r="C611" s="3">
        <v>7.81</v>
      </c>
      <c r="D611" s="3">
        <v>7.86</v>
      </c>
      <c r="E611" s="3">
        <v>7.65</v>
      </c>
      <c r="F611" s="3">
        <v>7.69</v>
      </c>
      <c r="G611" s="3">
        <v>15340</v>
      </c>
      <c r="H611" s="8">
        <f t="shared" si="55"/>
        <v>-3.3919597989949692</v>
      </c>
      <c r="I611">
        <f t="shared" si="56"/>
        <v>7.8039999999999994</v>
      </c>
      <c r="J611" s="6" cm="1">
        <f t="array" ref="J611">_xlfn.STDEV.S(IF($A:$A=A611, $F:$F))</f>
        <v>0.12817956155331453</v>
      </c>
      <c r="P611" s="8">
        <f t="shared" si="57"/>
        <v>-3.3919597989949692</v>
      </c>
      <c r="Q611" s="8">
        <f t="shared" si="58"/>
        <v>-3.3919597989949692</v>
      </c>
      <c r="R611" s="8">
        <f t="shared" si="59"/>
        <v>-3.3919597989949692</v>
      </c>
    </row>
    <row r="612" spans="1:18" x14ac:dyDescent="0.25">
      <c r="A612" s="7">
        <f t="shared" si="54"/>
        <v>123</v>
      </c>
      <c r="B612" s="2">
        <v>43811</v>
      </c>
      <c r="C612" s="3">
        <v>7.88</v>
      </c>
      <c r="D612" s="3">
        <v>7.88</v>
      </c>
      <c r="E612" s="3">
        <v>7.66</v>
      </c>
      <c r="F612" s="3">
        <v>7.79</v>
      </c>
      <c r="G612" s="3">
        <v>27460</v>
      </c>
      <c r="H612" s="8">
        <f t="shared" si="55"/>
        <v>-7.5738125802310634</v>
      </c>
      <c r="I612">
        <f t="shared" si="56"/>
        <v>7.5840000000000005</v>
      </c>
      <c r="J612" s="6" cm="1">
        <f t="array" ref="J612">_xlfn.STDEV.S(IF($A:$A=A612, $F:$F))</f>
        <v>0.23607202290826415</v>
      </c>
      <c r="P612" s="8">
        <f t="shared" si="57"/>
        <v>-7.5738125802310634</v>
      </c>
      <c r="Q612" s="8">
        <f t="shared" si="58"/>
        <v>-7.5738125802310634</v>
      </c>
      <c r="R612" s="8">
        <f t="shared" si="59"/>
        <v>-7.5738125802310634</v>
      </c>
    </row>
    <row r="613" spans="1:18" x14ac:dyDescent="0.25">
      <c r="A613" s="7">
        <f t="shared" si="54"/>
        <v>123</v>
      </c>
      <c r="B613" s="2">
        <v>43812</v>
      </c>
      <c r="C613" s="3">
        <v>7.64</v>
      </c>
      <c r="D613" s="3">
        <v>7.8</v>
      </c>
      <c r="E613" s="3">
        <v>7.61</v>
      </c>
      <c r="F613" s="3">
        <v>7.74</v>
      </c>
      <c r="G613" s="3">
        <v>23010</v>
      </c>
      <c r="H613" s="8">
        <f t="shared" si="55"/>
        <v>-7.5738125802310634</v>
      </c>
      <c r="I613">
        <f t="shared" si="56"/>
        <v>7.5840000000000005</v>
      </c>
      <c r="J613" s="6" cm="1">
        <f t="array" ref="J613">_xlfn.STDEV.S(IF($A:$A=A613, $F:$F))</f>
        <v>0.23607202290826415</v>
      </c>
      <c r="P613" s="8">
        <f t="shared" si="57"/>
        <v>-7.5738125802310634</v>
      </c>
      <c r="Q613" s="8">
        <f t="shared" si="58"/>
        <v>-7.5738125802310634</v>
      </c>
      <c r="R613" s="8">
        <f t="shared" si="59"/>
        <v>-7.5738125802310634</v>
      </c>
    </row>
    <row r="614" spans="1:18" x14ac:dyDescent="0.25">
      <c r="A614" s="7">
        <f t="shared" si="54"/>
        <v>123</v>
      </c>
      <c r="B614" s="2">
        <v>43815</v>
      </c>
      <c r="C614" s="3">
        <v>7.69</v>
      </c>
      <c r="D614" s="3">
        <v>7.69</v>
      </c>
      <c r="E614" s="3">
        <v>7.64</v>
      </c>
      <c r="F614" s="3">
        <v>7.66</v>
      </c>
      <c r="G614" s="3">
        <v>42350</v>
      </c>
      <c r="H614" s="8">
        <f t="shared" si="55"/>
        <v>-7.5738125802310634</v>
      </c>
      <c r="I614">
        <f t="shared" si="56"/>
        <v>7.5840000000000005</v>
      </c>
      <c r="J614" s="6" cm="1">
        <f t="array" ref="J614">_xlfn.STDEV.S(IF($A:$A=A614, $F:$F))</f>
        <v>0.23607202290826415</v>
      </c>
      <c r="P614" s="8">
        <f t="shared" si="57"/>
        <v>-7.5738125802310634</v>
      </c>
      <c r="Q614" s="8">
        <f t="shared" si="58"/>
        <v>-7.5738125802310634</v>
      </c>
      <c r="R614" s="8">
        <f t="shared" si="59"/>
        <v>-7.5738125802310634</v>
      </c>
    </row>
    <row r="615" spans="1:18" x14ac:dyDescent="0.25">
      <c r="A615" s="7">
        <f t="shared" si="54"/>
        <v>123</v>
      </c>
      <c r="B615" s="2">
        <v>43816</v>
      </c>
      <c r="C615" s="3">
        <v>7.61</v>
      </c>
      <c r="D615" s="3">
        <v>7.61</v>
      </c>
      <c r="E615" s="3">
        <v>7.47</v>
      </c>
      <c r="F615" s="3">
        <v>7.53</v>
      </c>
      <c r="G615" s="3">
        <v>50960</v>
      </c>
      <c r="H615" s="8">
        <f t="shared" si="55"/>
        <v>-7.5738125802310634</v>
      </c>
      <c r="I615">
        <f t="shared" si="56"/>
        <v>7.5840000000000005</v>
      </c>
      <c r="J615" s="6" cm="1">
        <f t="array" ref="J615">_xlfn.STDEV.S(IF($A:$A=A615, $F:$F))</f>
        <v>0.23607202290826415</v>
      </c>
      <c r="P615" s="8">
        <f t="shared" si="57"/>
        <v>-7.5738125802310634</v>
      </c>
      <c r="Q615" s="8">
        <f t="shared" si="58"/>
        <v>-7.5738125802310634</v>
      </c>
      <c r="R615" s="8">
        <f t="shared" si="59"/>
        <v>-7.5738125802310634</v>
      </c>
    </row>
    <row r="616" spans="1:18" x14ac:dyDescent="0.25">
      <c r="A616" s="7">
        <f t="shared" si="54"/>
        <v>123</v>
      </c>
      <c r="B616" s="2">
        <v>43817</v>
      </c>
      <c r="C616" s="3">
        <v>7.53</v>
      </c>
      <c r="D616" s="3">
        <v>7.53</v>
      </c>
      <c r="E616" s="3">
        <v>7.13</v>
      </c>
      <c r="F616" s="3">
        <v>7.2</v>
      </c>
      <c r="G616" s="3">
        <v>49090</v>
      </c>
      <c r="H616" s="8">
        <f t="shared" si="55"/>
        <v>-7.5738125802310634</v>
      </c>
      <c r="I616">
        <f t="shared" si="56"/>
        <v>7.5840000000000005</v>
      </c>
      <c r="J616" s="6" cm="1">
        <f t="array" ref="J616">_xlfn.STDEV.S(IF($A:$A=A616, $F:$F))</f>
        <v>0.23607202290826415</v>
      </c>
      <c r="P616" s="8">
        <f t="shared" si="57"/>
        <v>-7.5738125802310634</v>
      </c>
      <c r="Q616" s="8">
        <f t="shared" si="58"/>
        <v>-7.5738125802310634</v>
      </c>
      <c r="R616" s="8">
        <f t="shared" si="59"/>
        <v>-7.5738125802310634</v>
      </c>
    </row>
    <row r="617" spans="1:18" x14ac:dyDescent="0.25">
      <c r="A617" s="7">
        <f t="shared" si="54"/>
        <v>124</v>
      </c>
      <c r="B617" s="2">
        <v>43818</v>
      </c>
      <c r="C617" s="3">
        <v>7.22</v>
      </c>
      <c r="D617" s="3">
        <v>7.44</v>
      </c>
      <c r="E617" s="3">
        <v>7.22</v>
      </c>
      <c r="F617" s="3">
        <v>7.32</v>
      </c>
      <c r="G617" s="3">
        <v>12660</v>
      </c>
      <c r="H617" s="8">
        <f t="shared" si="55"/>
        <v>-0.68306010928962713</v>
      </c>
      <c r="I617">
        <f t="shared" si="56"/>
        <v>7.2620000000000005</v>
      </c>
      <c r="J617" s="6" cm="1">
        <f t="array" ref="J617">_xlfn.STDEV.S(IF($A:$A=A617, $F:$F))</f>
        <v>6.0166435825965328E-2</v>
      </c>
      <c r="P617" s="8">
        <f t="shared" si="57"/>
        <v>-0.68306010928962713</v>
      </c>
      <c r="Q617" s="8">
        <f t="shared" si="58"/>
        <v>-0.68306010928962713</v>
      </c>
      <c r="R617" s="8">
        <f t="shared" si="59"/>
        <v>-0.68306010928962713</v>
      </c>
    </row>
    <row r="618" spans="1:18" x14ac:dyDescent="0.25">
      <c r="A618" s="7">
        <f t="shared" si="54"/>
        <v>124</v>
      </c>
      <c r="B618" s="2">
        <v>43819</v>
      </c>
      <c r="C618" s="3">
        <v>7.2</v>
      </c>
      <c r="D618" s="3">
        <v>7.4</v>
      </c>
      <c r="E618" s="3">
        <v>7.13</v>
      </c>
      <c r="F618" s="3">
        <v>7.32</v>
      </c>
      <c r="G618" s="3">
        <v>149860</v>
      </c>
      <c r="H618" s="8">
        <f t="shared" si="55"/>
        <v>-0.68306010928962713</v>
      </c>
      <c r="I618">
        <f t="shared" si="56"/>
        <v>7.2620000000000005</v>
      </c>
      <c r="J618" s="6" cm="1">
        <f t="array" ref="J618">_xlfn.STDEV.S(IF($A:$A=A618, $F:$F))</f>
        <v>6.0166435825965328E-2</v>
      </c>
      <c r="P618" s="8">
        <f t="shared" si="57"/>
        <v>-0.68306010928962713</v>
      </c>
      <c r="Q618" s="8">
        <f t="shared" si="58"/>
        <v>-0.68306010928962713</v>
      </c>
      <c r="R618" s="8">
        <f t="shared" si="59"/>
        <v>-0.68306010928962713</v>
      </c>
    </row>
    <row r="619" spans="1:18" x14ac:dyDescent="0.25">
      <c r="A619" s="7">
        <f t="shared" si="54"/>
        <v>124</v>
      </c>
      <c r="B619" s="2">
        <v>43822</v>
      </c>
      <c r="C619" s="3">
        <v>7.32</v>
      </c>
      <c r="D619" s="3">
        <v>7.32</v>
      </c>
      <c r="E619" s="3">
        <v>7.14</v>
      </c>
      <c r="F619" s="3">
        <v>7.2</v>
      </c>
      <c r="G619" s="3">
        <v>30760</v>
      </c>
      <c r="H619" s="8">
        <f t="shared" si="55"/>
        <v>-0.68306010928962713</v>
      </c>
      <c r="I619">
        <f t="shared" si="56"/>
        <v>7.2620000000000005</v>
      </c>
      <c r="J619" s="6" cm="1">
        <f t="array" ref="J619">_xlfn.STDEV.S(IF($A:$A=A619, $F:$F))</f>
        <v>6.0166435825965328E-2</v>
      </c>
      <c r="P619" s="8">
        <f t="shared" si="57"/>
        <v>-0.68306010928962713</v>
      </c>
      <c r="Q619" s="8">
        <f t="shared" si="58"/>
        <v>-0.68306010928962713</v>
      </c>
      <c r="R619" s="8">
        <f t="shared" si="59"/>
        <v>-0.68306010928962713</v>
      </c>
    </row>
    <row r="620" spans="1:18" x14ac:dyDescent="0.25">
      <c r="A620" s="7">
        <f t="shared" si="54"/>
        <v>124</v>
      </c>
      <c r="B620" s="2">
        <v>43823</v>
      </c>
      <c r="C620" s="3">
        <v>7.32</v>
      </c>
      <c r="D620" s="3">
        <v>7.7</v>
      </c>
      <c r="E620" s="3">
        <v>7.08</v>
      </c>
      <c r="F620" s="3">
        <v>7.2</v>
      </c>
      <c r="G620" s="3">
        <v>96900</v>
      </c>
      <c r="H620" s="8">
        <f t="shared" si="55"/>
        <v>-0.68306010928962713</v>
      </c>
      <c r="I620">
        <f t="shared" si="56"/>
        <v>7.2620000000000005</v>
      </c>
      <c r="J620" s="6" cm="1">
        <f t="array" ref="J620">_xlfn.STDEV.S(IF($A:$A=A620, $F:$F))</f>
        <v>6.0166435825965328E-2</v>
      </c>
      <c r="P620" s="8">
        <f t="shared" si="57"/>
        <v>-0.68306010928962713</v>
      </c>
      <c r="Q620" s="8">
        <f t="shared" si="58"/>
        <v>-0.68306010928962713</v>
      </c>
      <c r="R620" s="8">
        <f t="shared" si="59"/>
        <v>-0.68306010928962713</v>
      </c>
    </row>
    <row r="621" spans="1:18" x14ac:dyDescent="0.25">
      <c r="A621" s="7">
        <f t="shared" si="54"/>
        <v>124</v>
      </c>
      <c r="B621" s="2">
        <v>43824</v>
      </c>
      <c r="C621" s="3">
        <v>7.3</v>
      </c>
      <c r="D621" s="3">
        <v>7.31</v>
      </c>
      <c r="E621" s="3">
        <v>7.14</v>
      </c>
      <c r="F621" s="3">
        <v>7.27</v>
      </c>
      <c r="G621" s="3">
        <v>68620</v>
      </c>
      <c r="H621" s="8">
        <f t="shared" si="55"/>
        <v>-0.68306010928962713</v>
      </c>
      <c r="I621">
        <f t="shared" si="56"/>
        <v>7.2620000000000005</v>
      </c>
      <c r="J621" s="6" cm="1">
        <f t="array" ref="J621">_xlfn.STDEV.S(IF($A:$A=A621, $F:$F))</f>
        <v>6.0166435825965328E-2</v>
      </c>
      <c r="P621" s="8">
        <f t="shared" si="57"/>
        <v>-0.68306010928962713</v>
      </c>
      <c r="Q621" s="8">
        <f t="shared" si="58"/>
        <v>-0.68306010928962713</v>
      </c>
      <c r="R621" s="8">
        <f t="shared" si="59"/>
        <v>-0.68306010928962713</v>
      </c>
    </row>
    <row r="622" spans="1:18" x14ac:dyDescent="0.25">
      <c r="A622" s="7">
        <f t="shared" si="54"/>
        <v>125</v>
      </c>
      <c r="B622" s="2">
        <v>43825</v>
      </c>
      <c r="C622" s="3">
        <v>7.08</v>
      </c>
      <c r="D622" s="3">
        <v>7.27</v>
      </c>
      <c r="E622" s="3">
        <v>7.08</v>
      </c>
      <c r="F622" s="3">
        <v>7.2</v>
      </c>
      <c r="G622" s="3">
        <v>21720</v>
      </c>
      <c r="H622" s="8">
        <f t="shared" si="55"/>
        <v>-1.6666666666666681</v>
      </c>
      <c r="I622">
        <f t="shared" si="56"/>
        <v>7.1899999999999995</v>
      </c>
      <c r="J622" s="6" cm="1">
        <f t="array" ref="J622">_xlfn.STDEV.S(IF($A:$A=A622, $F:$F))</f>
        <v>6.8556546004010316E-2</v>
      </c>
      <c r="P622" s="8">
        <f t="shared" si="57"/>
        <v>-1.6666666666666681</v>
      </c>
      <c r="Q622" s="8">
        <f t="shared" si="58"/>
        <v>-1.6666666666666681</v>
      </c>
      <c r="R622" s="8">
        <f t="shared" si="59"/>
        <v>-1.6666666666666681</v>
      </c>
    </row>
    <row r="623" spans="1:18" x14ac:dyDescent="0.25">
      <c r="A623" s="7">
        <f t="shared" si="54"/>
        <v>125</v>
      </c>
      <c r="B623" s="2">
        <v>43826</v>
      </c>
      <c r="C623" s="3">
        <v>7.18</v>
      </c>
      <c r="D623" s="3">
        <v>7.27</v>
      </c>
      <c r="E623" s="3">
        <v>7.15</v>
      </c>
      <c r="F623" s="3">
        <v>7.27</v>
      </c>
      <c r="G623" s="3">
        <v>21900</v>
      </c>
      <c r="H623" s="8">
        <f t="shared" si="55"/>
        <v>-1.6666666666666681</v>
      </c>
      <c r="I623">
        <f t="shared" si="56"/>
        <v>7.1899999999999995</v>
      </c>
      <c r="J623" s="6" cm="1">
        <f t="array" ref="J623">_xlfn.STDEV.S(IF($A:$A=A623, $F:$F))</f>
        <v>6.8556546004010316E-2</v>
      </c>
      <c r="P623" s="8">
        <f t="shared" si="57"/>
        <v>-1.6666666666666681</v>
      </c>
      <c r="Q623" s="8">
        <f t="shared" si="58"/>
        <v>-1.6666666666666681</v>
      </c>
      <c r="R623" s="8">
        <f t="shared" si="59"/>
        <v>-1.6666666666666681</v>
      </c>
    </row>
    <row r="624" spans="1:18" x14ac:dyDescent="0.25">
      <c r="A624" s="7">
        <f t="shared" si="54"/>
        <v>125</v>
      </c>
      <c r="B624" s="2">
        <v>43829</v>
      </c>
      <c r="C624" s="3">
        <v>7.2</v>
      </c>
      <c r="D624" s="3">
        <v>7.2</v>
      </c>
      <c r="E624" s="3">
        <v>7.16</v>
      </c>
      <c r="F624" s="3">
        <v>7.2</v>
      </c>
      <c r="G624" s="3">
        <v>46860</v>
      </c>
      <c r="H624" s="8">
        <f t="shared" si="55"/>
        <v>-1.6666666666666681</v>
      </c>
      <c r="I624">
        <f t="shared" si="56"/>
        <v>7.1899999999999995</v>
      </c>
      <c r="J624" s="6" cm="1">
        <f t="array" ref="J624">_xlfn.STDEV.S(IF($A:$A=A624, $F:$F))</f>
        <v>6.8556546004010316E-2</v>
      </c>
      <c r="P624" s="8">
        <f t="shared" si="57"/>
        <v>-1.6666666666666681</v>
      </c>
      <c r="Q624" s="8">
        <f t="shared" si="58"/>
        <v>-1.6666666666666681</v>
      </c>
      <c r="R624" s="8">
        <f t="shared" si="59"/>
        <v>-1.6666666666666681</v>
      </c>
    </row>
    <row r="625" spans="1:18" x14ac:dyDescent="0.25">
      <c r="A625" s="7">
        <f t="shared" si="54"/>
        <v>125</v>
      </c>
      <c r="B625" s="2">
        <v>43830</v>
      </c>
      <c r="C625" s="3">
        <v>7.2</v>
      </c>
      <c r="D625" s="3">
        <v>7.2</v>
      </c>
      <c r="E625" s="3">
        <v>7.05</v>
      </c>
      <c r="F625" s="3">
        <v>7.2</v>
      </c>
      <c r="G625" s="3">
        <v>56710</v>
      </c>
      <c r="H625" s="8">
        <f t="shared" si="55"/>
        <v>-1.6666666666666681</v>
      </c>
      <c r="I625">
        <f t="shared" si="56"/>
        <v>7.1899999999999995</v>
      </c>
      <c r="J625" s="6" cm="1">
        <f t="array" ref="J625">_xlfn.STDEV.S(IF($A:$A=A625, $F:$F))</f>
        <v>6.8556546004010316E-2</v>
      </c>
      <c r="P625" s="8">
        <f t="shared" si="57"/>
        <v>-1.6666666666666681</v>
      </c>
      <c r="Q625" s="8">
        <f t="shared" si="58"/>
        <v>-1.6666666666666681</v>
      </c>
      <c r="R625" s="8">
        <f t="shared" si="59"/>
        <v>-1.6666666666666681</v>
      </c>
    </row>
    <row r="626" spans="1:18" x14ac:dyDescent="0.25">
      <c r="A626" s="7">
        <f t="shared" si="54"/>
        <v>125</v>
      </c>
      <c r="B626" s="2">
        <v>43832</v>
      </c>
      <c r="C626" s="3">
        <v>7.08</v>
      </c>
      <c r="D626" s="3">
        <v>7.08</v>
      </c>
      <c r="E626" s="3">
        <v>6.98</v>
      </c>
      <c r="F626" s="3">
        <v>7.08</v>
      </c>
      <c r="G626" s="3">
        <v>18320</v>
      </c>
      <c r="H626" s="8">
        <f t="shared" si="55"/>
        <v>-1.6666666666666681</v>
      </c>
      <c r="I626">
        <f t="shared" si="56"/>
        <v>7.1899999999999995</v>
      </c>
      <c r="J626" s="6" cm="1">
        <f t="array" ref="J626">_xlfn.STDEV.S(IF($A:$A=A626, $F:$F))</f>
        <v>6.8556546004010316E-2</v>
      </c>
      <c r="P626" s="8">
        <f t="shared" si="57"/>
        <v>-1.6666666666666681</v>
      </c>
      <c r="Q626" s="8">
        <f t="shared" si="58"/>
        <v>-1.6666666666666681</v>
      </c>
      <c r="R626" s="8">
        <f t="shared" si="59"/>
        <v>-1.6666666666666681</v>
      </c>
    </row>
    <row r="627" spans="1:18" x14ac:dyDescent="0.25">
      <c r="A627" s="7">
        <f t="shared" si="54"/>
        <v>126</v>
      </c>
      <c r="B627" s="2">
        <v>43833</v>
      </c>
      <c r="C627" s="3">
        <v>7.08</v>
      </c>
      <c r="D627" s="3">
        <v>7.08</v>
      </c>
      <c r="E627" s="3">
        <v>6.96</v>
      </c>
      <c r="F627" s="3">
        <v>7.08</v>
      </c>
      <c r="G627" s="3">
        <v>2450</v>
      </c>
      <c r="H627" s="8">
        <f t="shared" si="55"/>
        <v>-0.42372881355932551</v>
      </c>
      <c r="I627">
        <f t="shared" si="56"/>
        <v>7.0140000000000002</v>
      </c>
      <c r="J627" s="6" cm="1">
        <f t="array" ref="J627">_xlfn.STDEV.S(IF($A:$A=A627, $F:$F))</f>
        <v>4.774934554525305E-2</v>
      </c>
      <c r="P627" s="8">
        <f t="shared" si="57"/>
        <v>-0.42372881355932551</v>
      </c>
      <c r="Q627" s="8">
        <f t="shared" si="58"/>
        <v>-0.42372881355932551</v>
      </c>
      <c r="R627" s="8">
        <f t="shared" si="59"/>
        <v>-0.42372881355932551</v>
      </c>
    </row>
    <row r="628" spans="1:18" x14ac:dyDescent="0.25">
      <c r="A628" s="7">
        <f t="shared" si="54"/>
        <v>126</v>
      </c>
      <c r="B628" s="2">
        <v>43836</v>
      </c>
      <c r="C628" s="3">
        <v>6.83</v>
      </c>
      <c r="D628" s="3">
        <v>7.15</v>
      </c>
      <c r="E628" s="3">
        <v>6.83</v>
      </c>
      <c r="F628" s="3">
        <v>6.98</v>
      </c>
      <c r="G628" s="3">
        <v>22760</v>
      </c>
      <c r="H628" s="8">
        <f t="shared" si="55"/>
        <v>-0.42372881355932551</v>
      </c>
      <c r="I628">
        <f t="shared" si="56"/>
        <v>7.0140000000000002</v>
      </c>
      <c r="J628" s="6" cm="1">
        <f t="array" ref="J628">_xlfn.STDEV.S(IF($A:$A=A628, $F:$F))</f>
        <v>4.774934554525305E-2</v>
      </c>
      <c r="P628" s="8">
        <f t="shared" si="57"/>
        <v>-0.42372881355932551</v>
      </c>
      <c r="Q628" s="8">
        <f t="shared" si="58"/>
        <v>-0.42372881355932551</v>
      </c>
      <c r="R628" s="8">
        <f t="shared" si="59"/>
        <v>-0.42372881355932551</v>
      </c>
    </row>
    <row r="629" spans="1:18" x14ac:dyDescent="0.25">
      <c r="A629" s="7">
        <f t="shared" si="54"/>
        <v>126</v>
      </c>
      <c r="B629" s="2">
        <v>43837</v>
      </c>
      <c r="C629" s="3">
        <v>7.18</v>
      </c>
      <c r="D629" s="3">
        <v>7.18</v>
      </c>
      <c r="E629" s="3">
        <v>6.98</v>
      </c>
      <c r="F629" s="3">
        <v>6.98</v>
      </c>
      <c r="G629" s="3">
        <v>18320</v>
      </c>
      <c r="H629" s="8">
        <f t="shared" si="55"/>
        <v>-0.42372881355932551</v>
      </c>
      <c r="I629">
        <f t="shared" si="56"/>
        <v>7.0140000000000002</v>
      </c>
      <c r="J629" s="6" cm="1">
        <f t="array" ref="J629">_xlfn.STDEV.S(IF($A:$A=A629, $F:$F))</f>
        <v>4.774934554525305E-2</v>
      </c>
      <c r="P629" s="8">
        <f t="shared" si="57"/>
        <v>-0.42372881355932551</v>
      </c>
      <c r="Q629" s="8">
        <f t="shared" si="58"/>
        <v>-0.42372881355932551</v>
      </c>
      <c r="R629" s="8">
        <f t="shared" si="59"/>
        <v>-0.42372881355932551</v>
      </c>
    </row>
    <row r="630" spans="1:18" x14ac:dyDescent="0.25">
      <c r="A630" s="7">
        <f t="shared" si="54"/>
        <v>126</v>
      </c>
      <c r="B630" s="2">
        <v>43838</v>
      </c>
      <c r="C630" s="3">
        <v>6.83</v>
      </c>
      <c r="D630" s="3">
        <v>6.98</v>
      </c>
      <c r="E630" s="3">
        <v>6.83</v>
      </c>
      <c r="F630" s="3">
        <v>6.98</v>
      </c>
      <c r="G630" s="3">
        <v>2640</v>
      </c>
      <c r="H630" s="8">
        <f t="shared" si="55"/>
        <v>-0.42372881355932551</v>
      </c>
      <c r="I630">
        <f t="shared" si="56"/>
        <v>7.0140000000000002</v>
      </c>
      <c r="J630" s="6" cm="1">
        <f t="array" ref="J630">_xlfn.STDEV.S(IF($A:$A=A630, $F:$F))</f>
        <v>4.774934554525305E-2</v>
      </c>
      <c r="P630" s="8">
        <f t="shared" si="57"/>
        <v>-0.42372881355932551</v>
      </c>
      <c r="Q630" s="8">
        <f t="shared" si="58"/>
        <v>-0.42372881355932551</v>
      </c>
      <c r="R630" s="8">
        <f t="shared" si="59"/>
        <v>-0.42372881355932551</v>
      </c>
    </row>
    <row r="631" spans="1:18" x14ac:dyDescent="0.25">
      <c r="A631" s="7">
        <f t="shared" si="54"/>
        <v>126</v>
      </c>
      <c r="B631" s="2">
        <v>43839</v>
      </c>
      <c r="C631" s="3">
        <v>7.08</v>
      </c>
      <c r="D631" s="3">
        <v>7.08</v>
      </c>
      <c r="E631" s="3">
        <v>6.98</v>
      </c>
      <c r="F631" s="3">
        <v>7.05</v>
      </c>
      <c r="G631" s="3">
        <v>3720</v>
      </c>
      <c r="H631" s="8">
        <f t="shared" si="55"/>
        <v>-0.42372881355932551</v>
      </c>
      <c r="I631">
        <f t="shared" si="56"/>
        <v>7.0140000000000002</v>
      </c>
      <c r="J631" s="6" cm="1">
        <f t="array" ref="J631">_xlfn.STDEV.S(IF($A:$A=A631, $F:$F))</f>
        <v>4.774934554525305E-2</v>
      </c>
      <c r="P631" s="8">
        <f t="shared" si="57"/>
        <v>-0.42372881355932551</v>
      </c>
      <c r="Q631" s="8">
        <f t="shared" si="58"/>
        <v>-0.42372881355932551</v>
      </c>
      <c r="R631" s="8">
        <f t="shared" si="59"/>
        <v>-0.42372881355932551</v>
      </c>
    </row>
    <row r="632" spans="1:18" x14ac:dyDescent="0.25">
      <c r="A632" s="7">
        <f t="shared" si="54"/>
        <v>127</v>
      </c>
      <c r="B632" s="2">
        <v>43840</v>
      </c>
      <c r="C632" s="3">
        <v>6.98</v>
      </c>
      <c r="D632" s="3">
        <v>7.05</v>
      </c>
      <c r="E632" s="3">
        <v>6.86</v>
      </c>
      <c r="F632" s="3">
        <v>7.03</v>
      </c>
      <c r="G632" s="3">
        <v>8570</v>
      </c>
      <c r="H632" s="8">
        <f t="shared" si="55"/>
        <v>-0.99573257467994702</v>
      </c>
      <c r="I632">
        <f t="shared" si="56"/>
        <v>7.0459999999999994</v>
      </c>
      <c r="J632" s="6" cm="1">
        <f t="array" ref="J632">_xlfn.STDEV.S(IF($A:$A=A632, $F:$F))</f>
        <v>5.2725705305856296E-2</v>
      </c>
      <c r="P632" s="8">
        <f t="shared" si="57"/>
        <v>-0.99573257467994702</v>
      </c>
      <c r="Q632" s="8">
        <f t="shared" si="58"/>
        <v>-0.99573257467994702</v>
      </c>
      <c r="R632" s="8">
        <f t="shared" si="59"/>
        <v>-0.99573257467994702</v>
      </c>
    </row>
    <row r="633" spans="1:18" x14ac:dyDescent="0.25">
      <c r="A633" s="7">
        <f t="shared" si="54"/>
        <v>127</v>
      </c>
      <c r="B633" s="2">
        <v>43843</v>
      </c>
      <c r="C633" s="3">
        <v>6.88</v>
      </c>
      <c r="D633" s="3">
        <v>7.18</v>
      </c>
      <c r="E633" s="3">
        <v>6.88</v>
      </c>
      <c r="F633" s="3">
        <v>7.08</v>
      </c>
      <c r="G633" s="3">
        <v>40860</v>
      </c>
      <c r="H633" s="8">
        <f t="shared" si="55"/>
        <v>-0.99573257467994702</v>
      </c>
      <c r="I633">
        <f t="shared" si="56"/>
        <v>7.0459999999999994</v>
      </c>
      <c r="J633" s="6" cm="1">
        <f t="array" ref="J633">_xlfn.STDEV.S(IF($A:$A=A633, $F:$F))</f>
        <v>5.2725705305856296E-2</v>
      </c>
      <c r="P633" s="8">
        <f t="shared" si="57"/>
        <v>-0.99573257467994702</v>
      </c>
      <c r="Q633" s="8">
        <f t="shared" si="58"/>
        <v>-0.99573257467994702</v>
      </c>
      <c r="R633" s="8">
        <f t="shared" si="59"/>
        <v>-0.99573257467994702</v>
      </c>
    </row>
    <row r="634" spans="1:18" x14ac:dyDescent="0.25">
      <c r="A634" s="7">
        <f t="shared" si="54"/>
        <v>127</v>
      </c>
      <c r="B634" s="2">
        <v>43844</v>
      </c>
      <c r="C634" s="3">
        <v>7.08</v>
      </c>
      <c r="D634" s="3">
        <v>7.08</v>
      </c>
      <c r="E634" s="3">
        <v>6.96</v>
      </c>
      <c r="F634" s="3">
        <v>7.08</v>
      </c>
      <c r="G634" s="3">
        <v>65730</v>
      </c>
      <c r="H634" s="8">
        <f t="shared" si="55"/>
        <v>-0.99573257467994702</v>
      </c>
      <c r="I634">
        <f t="shared" si="56"/>
        <v>7.0459999999999994</v>
      </c>
      <c r="J634" s="6" cm="1">
        <f t="array" ref="J634">_xlfn.STDEV.S(IF($A:$A=A634, $F:$F))</f>
        <v>5.2725705305856296E-2</v>
      </c>
      <c r="P634" s="8">
        <f t="shared" si="57"/>
        <v>-0.99573257467994702</v>
      </c>
      <c r="Q634" s="8">
        <f t="shared" si="58"/>
        <v>-0.99573257467994702</v>
      </c>
      <c r="R634" s="8">
        <f t="shared" si="59"/>
        <v>-0.99573257467994702</v>
      </c>
    </row>
    <row r="635" spans="1:18" x14ac:dyDescent="0.25">
      <c r="A635" s="7">
        <f t="shared" si="54"/>
        <v>127</v>
      </c>
      <c r="B635" s="2">
        <v>43845</v>
      </c>
      <c r="C635" s="3">
        <v>6.96</v>
      </c>
      <c r="D635" s="3">
        <v>7.29</v>
      </c>
      <c r="E635" s="3">
        <v>6.96</v>
      </c>
      <c r="F635" s="3">
        <v>7.08</v>
      </c>
      <c r="G635" s="3">
        <v>1050</v>
      </c>
      <c r="H635" s="8">
        <f t="shared" si="55"/>
        <v>-0.99573257467994702</v>
      </c>
      <c r="I635">
        <f t="shared" si="56"/>
        <v>7.0459999999999994</v>
      </c>
      <c r="J635" s="6" cm="1">
        <f t="array" ref="J635">_xlfn.STDEV.S(IF($A:$A=A635, $F:$F))</f>
        <v>5.2725705305856296E-2</v>
      </c>
      <c r="P635" s="8">
        <f t="shared" si="57"/>
        <v>-0.99573257467994702</v>
      </c>
      <c r="Q635" s="8">
        <f t="shared" si="58"/>
        <v>-0.99573257467994702</v>
      </c>
      <c r="R635" s="8">
        <f t="shared" si="59"/>
        <v>-0.99573257467994702</v>
      </c>
    </row>
    <row r="636" spans="1:18" x14ac:dyDescent="0.25">
      <c r="A636" s="7">
        <f t="shared" si="54"/>
        <v>127</v>
      </c>
      <c r="B636" s="2">
        <v>43846</v>
      </c>
      <c r="C636" s="3">
        <v>6.85</v>
      </c>
      <c r="D636" s="3">
        <v>7.07</v>
      </c>
      <c r="E636" s="3">
        <v>6.85</v>
      </c>
      <c r="F636" s="3">
        <v>6.96</v>
      </c>
      <c r="G636" s="3">
        <v>24120</v>
      </c>
      <c r="H636" s="8">
        <f t="shared" si="55"/>
        <v>-0.99573257467994702</v>
      </c>
      <c r="I636">
        <f t="shared" si="56"/>
        <v>7.0459999999999994</v>
      </c>
      <c r="J636" s="6" cm="1">
        <f t="array" ref="J636">_xlfn.STDEV.S(IF($A:$A=A636, $F:$F))</f>
        <v>5.2725705305856296E-2</v>
      </c>
      <c r="P636" s="8">
        <f t="shared" si="57"/>
        <v>-0.99573257467994702</v>
      </c>
      <c r="Q636" s="8">
        <f t="shared" si="58"/>
        <v>-0.99573257467994702</v>
      </c>
      <c r="R636" s="8">
        <f t="shared" si="59"/>
        <v>-0.99573257467994702</v>
      </c>
    </row>
    <row r="637" spans="1:18" x14ac:dyDescent="0.25">
      <c r="A637" s="7">
        <f t="shared" si="54"/>
        <v>128</v>
      </c>
      <c r="B637" s="2">
        <v>43847</v>
      </c>
      <c r="C637" s="3">
        <v>6.96</v>
      </c>
      <c r="D637" s="3">
        <v>7.19</v>
      </c>
      <c r="E637" s="3">
        <v>6.96</v>
      </c>
      <c r="F637" s="3">
        <v>7.03</v>
      </c>
      <c r="G637" s="3">
        <v>30490</v>
      </c>
      <c r="H637" s="8">
        <f t="shared" si="55"/>
        <v>-6.2588904694167908</v>
      </c>
      <c r="I637">
        <f t="shared" si="56"/>
        <v>6.9240000000000013</v>
      </c>
      <c r="J637" s="6" cm="1">
        <f t="array" ref="J637">_xlfn.STDEV.S(IF($A:$A=A637, $F:$F))</f>
        <v>0.18968394766031213</v>
      </c>
      <c r="P637" s="8">
        <f t="shared" si="57"/>
        <v>-6.2588904694167908</v>
      </c>
      <c r="Q637" s="8">
        <f t="shared" si="58"/>
        <v>-6.2588904694167908</v>
      </c>
      <c r="R637" s="8">
        <f t="shared" si="59"/>
        <v>-6.2588904694167908</v>
      </c>
    </row>
    <row r="638" spans="1:18" x14ac:dyDescent="0.25">
      <c r="A638" s="7">
        <f t="shared" si="54"/>
        <v>128</v>
      </c>
      <c r="B638" s="2">
        <v>43850</v>
      </c>
      <c r="C638" s="3">
        <v>7.08</v>
      </c>
      <c r="D638" s="3">
        <v>7.08</v>
      </c>
      <c r="E638" s="3">
        <v>6.97</v>
      </c>
      <c r="F638" s="3">
        <v>6.97</v>
      </c>
      <c r="G638" s="3">
        <v>10870</v>
      </c>
      <c r="H638" s="8">
        <f t="shared" si="55"/>
        <v>-6.2588904694167908</v>
      </c>
      <c r="I638">
        <f t="shared" si="56"/>
        <v>6.9240000000000013</v>
      </c>
      <c r="J638" s="6" cm="1">
        <f t="array" ref="J638">_xlfn.STDEV.S(IF($A:$A=A638, $F:$F))</f>
        <v>0.18968394766031213</v>
      </c>
      <c r="P638" s="8">
        <f t="shared" si="57"/>
        <v>-6.2588904694167908</v>
      </c>
      <c r="Q638" s="8">
        <f t="shared" si="58"/>
        <v>-6.2588904694167908</v>
      </c>
      <c r="R638" s="8">
        <f t="shared" si="59"/>
        <v>-6.2588904694167908</v>
      </c>
    </row>
    <row r="639" spans="1:18" x14ac:dyDescent="0.25">
      <c r="A639" s="7">
        <f t="shared" si="54"/>
        <v>128</v>
      </c>
      <c r="B639" s="2">
        <v>43851</v>
      </c>
      <c r="C639" s="3">
        <v>6.96</v>
      </c>
      <c r="D639" s="3">
        <v>7.08</v>
      </c>
      <c r="E639" s="3">
        <v>6.96</v>
      </c>
      <c r="F639" s="3">
        <v>7.05</v>
      </c>
      <c r="G639" s="3">
        <v>53940</v>
      </c>
      <c r="H639" s="8">
        <f t="shared" si="55"/>
        <v>-6.2588904694167908</v>
      </c>
      <c r="I639">
        <f t="shared" si="56"/>
        <v>6.9240000000000013</v>
      </c>
      <c r="J639" s="6" cm="1">
        <f t="array" ref="J639">_xlfn.STDEV.S(IF($A:$A=A639, $F:$F))</f>
        <v>0.18968394766031213</v>
      </c>
      <c r="P639" s="8">
        <f t="shared" si="57"/>
        <v>-6.2588904694167908</v>
      </c>
      <c r="Q639" s="8">
        <f t="shared" si="58"/>
        <v>-6.2588904694167908</v>
      </c>
      <c r="R639" s="8">
        <f t="shared" si="59"/>
        <v>-6.2588904694167908</v>
      </c>
    </row>
    <row r="640" spans="1:18" x14ac:dyDescent="0.25">
      <c r="A640" s="7">
        <f t="shared" si="54"/>
        <v>128</v>
      </c>
      <c r="B640" s="2">
        <v>43852</v>
      </c>
      <c r="C640" s="3">
        <v>7.19</v>
      </c>
      <c r="D640" s="3">
        <v>7.19</v>
      </c>
      <c r="E640" s="3">
        <v>6.98</v>
      </c>
      <c r="F640" s="3">
        <v>6.98</v>
      </c>
      <c r="G640" s="3">
        <v>44180</v>
      </c>
      <c r="H640" s="8">
        <f t="shared" si="55"/>
        <v>-6.2588904694167908</v>
      </c>
      <c r="I640">
        <f t="shared" si="56"/>
        <v>6.9240000000000013</v>
      </c>
      <c r="J640" s="6" cm="1">
        <f t="array" ref="J640">_xlfn.STDEV.S(IF($A:$A=A640, $F:$F))</f>
        <v>0.18968394766031213</v>
      </c>
      <c r="P640" s="8">
        <f t="shared" si="57"/>
        <v>-6.2588904694167908</v>
      </c>
      <c r="Q640" s="8">
        <f t="shared" si="58"/>
        <v>-6.2588904694167908</v>
      </c>
      <c r="R640" s="8">
        <f t="shared" si="59"/>
        <v>-6.2588904694167908</v>
      </c>
    </row>
    <row r="641" spans="1:18" x14ac:dyDescent="0.25">
      <c r="A641" s="7">
        <f t="shared" si="54"/>
        <v>128</v>
      </c>
      <c r="B641" s="2">
        <v>43860</v>
      </c>
      <c r="C641" s="3">
        <v>7.32</v>
      </c>
      <c r="D641" s="3">
        <v>7.32</v>
      </c>
      <c r="E641" s="3">
        <v>6.59</v>
      </c>
      <c r="F641" s="3">
        <v>6.59</v>
      </c>
      <c r="G641" s="3">
        <v>101240</v>
      </c>
      <c r="H641" s="8">
        <f t="shared" si="55"/>
        <v>-6.2588904694167908</v>
      </c>
      <c r="I641">
        <f t="shared" si="56"/>
        <v>6.9240000000000013</v>
      </c>
      <c r="J641" s="6" cm="1">
        <f t="array" ref="J641">_xlfn.STDEV.S(IF($A:$A=A641, $F:$F))</f>
        <v>0.18968394766031213</v>
      </c>
      <c r="P641" s="8">
        <f t="shared" si="57"/>
        <v>-6.2588904694167908</v>
      </c>
      <c r="Q641" s="8">
        <f t="shared" si="58"/>
        <v>-6.2588904694167908</v>
      </c>
      <c r="R641" s="8">
        <f t="shared" si="59"/>
        <v>-6.2588904694167908</v>
      </c>
    </row>
    <row r="642" spans="1:18" x14ac:dyDescent="0.25">
      <c r="A642" s="7">
        <f t="shared" si="54"/>
        <v>129</v>
      </c>
      <c r="B642" s="2">
        <v>43861</v>
      </c>
      <c r="C642" s="3">
        <v>6.83</v>
      </c>
      <c r="D642" s="3">
        <v>6.83</v>
      </c>
      <c r="E642" s="3">
        <v>6.49</v>
      </c>
      <c r="F642" s="3">
        <v>6.54</v>
      </c>
      <c r="G642" s="3">
        <v>54030</v>
      </c>
      <c r="H642" s="8">
        <f t="shared" si="55"/>
        <v>0</v>
      </c>
      <c r="I642">
        <f t="shared" si="56"/>
        <v>6.5320000000000009</v>
      </c>
      <c r="J642" s="6" cm="1">
        <f t="array" ref="J642">_xlfn.STDEV.S(IF($A:$A=A642, $F:$F))</f>
        <v>1.7888543819998336E-2</v>
      </c>
      <c r="P642" s="8">
        <f t="shared" si="57"/>
        <v>0</v>
      </c>
      <c r="Q642" s="8">
        <f t="shared" si="58"/>
        <v>0</v>
      </c>
      <c r="R642" s="8">
        <f t="shared" si="59"/>
        <v>0</v>
      </c>
    </row>
    <row r="643" spans="1:18" x14ac:dyDescent="0.25">
      <c r="A643" s="7">
        <f t="shared" ref="A643:A706" si="60">INT((ROW(A643)-ROW($A$2))/5) + 1</f>
        <v>129</v>
      </c>
      <c r="B643" s="2">
        <v>43864</v>
      </c>
      <c r="C643" s="3">
        <v>6.13</v>
      </c>
      <c r="D643" s="3">
        <v>6.54</v>
      </c>
      <c r="E643" s="3">
        <v>6.1</v>
      </c>
      <c r="F643" s="3">
        <v>6.54</v>
      </c>
      <c r="G643" s="3">
        <v>96440</v>
      </c>
      <c r="H643" s="8">
        <f t="shared" ref="H643:H706" si="61">IF(A643=A642, H642, (F647-F643)/F643*100)</f>
        <v>0</v>
      </c>
      <c r="I643">
        <f t="shared" ref="I643:I706" si="62">AVERAGEIF($A:$A, A643, $F:$F)</f>
        <v>6.5320000000000009</v>
      </c>
      <c r="J643" s="6" cm="1">
        <f t="array" ref="J643">_xlfn.STDEV.S(IF($A:$A=A643, $F:$F))</f>
        <v>1.7888543819998336E-2</v>
      </c>
      <c r="P643" s="8">
        <f t="shared" ref="P643:P706" si="63">IF(A643=A642,P642,(F647-F643)/F643*100)</f>
        <v>0</v>
      </c>
      <c r="Q643" s="8">
        <f t="shared" ref="Q643:Q706" si="64">IF(A643=A642,Q642,(F647-F643)/F643*100)</f>
        <v>0</v>
      </c>
      <c r="R643" s="8">
        <f t="shared" ref="R643:R706" si="65">IF(A643=A642,R642,(F647-F643)/F643*100)</f>
        <v>0</v>
      </c>
    </row>
    <row r="644" spans="1:18" x14ac:dyDescent="0.25">
      <c r="A644" s="7">
        <f t="shared" si="60"/>
        <v>129</v>
      </c>
      <c r="B644" s="2">
        <v>43865</v>
      </c>
      <c r="C644" s="3">
        <v>6.35</v>
      </c>
      <c r="D644" s="3">
        <v>6.59</v>
      </c>
      <c r="E644" s="3">
        <v>6.35</v>
      </c>
      <c r="F644" s="3">
        <v>6.54</v>
      </c>
      <c r="G644" s="3">
        <v>6550</v>
      </c>
      <c r="H644" s="8">
        <f t="shared" si="61"/>
        <v>0</v>
      </c>
      <c r="I644">
        <f t="shared" si="62"/>
        <v>6.5320000000000009</v>
      </c>
      <c r="J644" s="6" cm="1">
        <f t="array" ref="J644">_xlfn.STDEV.S(IF($A:$A=A644, $F:$F))</f>
        <v>1.7888543819998336E-2</v>
      </c>
      <c r="P644" s="8">
        <f t="shared" si="63"/>
        <v>0</v>
      </c>
      <c r="Q644" s="8">
        <f t="shared" si="64"/>
        <v>0</v>
      </c>
      <c r="R644" s="8">
        <f t="shared" si="65"/>
        <v>0</v>
      </c>
    </row>
    <row r="645" spans="1:18" x14ac:dyDescent="0.25">
      <c r="A645" s="7">
        <f t="shared" si="60"/>
        <v>129</v>
      </c>
      <c r="B645" s="2">
        <v>43866</v>
      </c>
      <c r="C645" s="3">
        <v>6.37</v>
      </c>
      <c r="D645" s="3">
        <v>6.66</v>
      </c>
      <c r="E645" s="3">
        <v>6.22</v>
      </c>
      <c r="F645" s="3">
        <v>6.5</v>
      </c>
      <c r="G645" s="3">
        <v>59100</v>
      </c>
      <c r="H645" s="8">
        <f t="shared" si="61"/>
        <v>0</v>
      </c>
      <c r="I645">
        <f t="shared" si="62"/>
        <v>6.5320000000000009</v>
      </c>
      <c r="J645" s="6" cm="1">
        <f t="array" ref="J645">_xlfn.STDEV.S(IF($A:$A=A645, $F:$F))</f>
        <v>1.7888543819998336E-2</v>
      </c>
      <c r="P645" s="8">
        <f t="shared" si="63"/>
        <v>0</v>
      </c>
      <c r="Q645" s="8">
        <f t="shared" si="64"/>
        <v>0</v>
      </c>
      <c r="R645" s="8">
        <f t="shared" si="65"/>
        <v>0</v>
      </c>
    </row>
    <row r="646" spans="1:18" x14ac:dyDescent="0.25">
      <c r="A646" s="7">
        <f t="shared" si="60"/>
        <v>129</v>
      </c>
      <c r="B646" s="2">
        <v>43867</v>
      </c>
      <c r="C646" s="3">
        <v>6.32</v>
      </c>
      <c r="D646" s="3">
        <v>6.59</v>
      </c>
      <c r="E646" s="3">
        <v>6.32</v>
      </c>
      <c r="F646" s="3">
        <v>6.54</v>
      </c>
      <c r="G646" s="3">
        <v>23930</v>
      </c>
      <c r="H646" s="8">
        <f t="shared" si="61"/>
        <v>0</v>
      </c>
      <c r="I646">
        <f t="shared" si="62"/>
        <v>6.5320000000000009</v>
      </c>
      <c r="J646" s="6" cm="1">
        <f t="array" ref="J646">_xlfn.STDEV.S(IF($A:$A=A646, $F:$F))</f>
        <v>1.7888543819998336E-2</v>
      </c>
      <c r="P646" s="8">
        <f t="shared" si="63"/>
        <v>0</v>
      </c>
      <c r="Q646" s="8">
        <f t="shared" si="64"/>
        <v>0</v>
      </c>
      <c r="R646" s="8">
        <f t="shared" si="65"/>
        <v>0</v>
      </c>
    </row>
    <row r="647" spans="1:18" x14ac:dyDescent="0.25">
      <c r="A647" s="7">
        <f t="shared" si="60"/>
        <v>130</v>
      </c>
      <c r="B647" s="2">
        <v>43868</v>
      </c>
      <c r="C647" s="3">
        <v>6.49</v>
      </c>
      <c r="D647" s="3">
        <v>6.77</v>
      </c>
      <c r="E647" s="3">
        <v>6.1</v>
      </c>
      <c r="F647" s="3">
        <v>6.47</v>
      </c>
      <c r="G647" s="3">
        <v>60730</v>
      </c>
      <c r="H647" s="8">
        <f t="shared" si="61"/>
        <v>4.3276661514683195</v>
      </c>
      <c r="I647">
        <f t="shared" si="62"/>
        <v>6.5620000000000003</v>
      </c>
      <c r="J647" s="6" cm="1">
        <f t="array" ref="J647">_xlfn.STDEV.S(IF($A:$A=A647, $F:$F))</f>
        <v>0.14237275020171516</v>
      </c>
      <c r="P647" s="8">
        <f t="shared" si="63"/>
        <v>4.3276661514683195</v>
      </c>
      <c r="Q647" s="8">
        <f t="shared" si="64"/>
        <v>4.3276661514683195</v>
      </c>
      <c r="R647" s="8">
        <f t="shared" si="65"/>
        <v>4.3276661514683195</v>
      </c>
    </row>
    <row r="648" spans="1:18" x14ac:dyDescent="0.25">
      <c r="A648" s="7">
        <f t="shared" si="60"/>
        <v>130</v>
      </c>
      <c r="B648" s="2">
        <v>43871</v>
      </c>
      <c r="C648" s="3">
        <v>6.59</v>
      </c>
      <c r="D648" s="3">
        <v>6.59</v>
      </c>
      <c r="E648" s="3">
        <v>6.38</v>
      </c>
      <c r="F648" s="3">
        <v>6.44</v>
      </c>
      <c r="G648" s="3">
        <v>9850</v>
      </c>
      <c r="H648" s="8">
        <f t="shared" si="61"/>
        <v>4.3276661514683195</v>
      </c>
      <c r="I648">
        <f t="shared" si="62"/>
        <v>6.5620000000000003</v>
      </c>
      <c r="J648" s="6" cm="1">
        <f t="array" ref="J648">_xlfn.STDEV.S(IF($A:$A=A648, $F:$F))</f>
        <v>0.14237275020171516</v>
      </c>
      <c r="P648" s="8">
        <f t="shared" si="63"/>
        <v>4.3276661514683195</v>
      </c>
      <c r="Q648" s="8">
        <f t="shared" si="64"/>
        <v>4.3276661514683195</v>
      </c>
      <c r="R648" s="8">
        <f t="shared" si="65"/>
        <v>4.3276661514683195</v>
      </c>
    </row>
    <row r="649" spans="1:18" x14ac:dyDescent="0.25">
      <c r="A649" s="7">
        <f t="shared" si="60"/>
        <v>130</v>
      </c>
      <c r="B649" s="2">
        <v>43872</v>
      </c>
      <c r="C649" s="3">
        <v>6.44</v>
      </c>
      <c r="D649" s="3">
        <v>6.54</v>
      </c>
      <c r="E649" s="3">
        <v>6.35</v>
      </c>
      <c r="F649" s="3">
        <v>6.47</v>
      </c>
      <c r="G649" s="3">
        <v>30890</v>
      </c>
      <c r="H649" s="8">
        <f t="shared" si="61"/>
        <v>4.3276661514683195</v>
      </c>
      <c r="I649">
        <f t="shared" si="62"/>
        <v>6.5620000000000003</v>
      </c>
      <c r="J649" s="6" cm="1">
        <f t="array" ref="J649">_xlfn.STDEV.S(IF($A:$A=A649, $F:$F))</f>
        <v>0.14237275020171516</v>
      </c>
      <c r="P649" s="8">
        <f t="shared" si="63"/>
        <v>4.3276661514683195</v>
      </c>
      <c r="Q649" s="8">
        <f t="shared" si="64"/>
        <v>4.3276661514683195</v>
      </c>
      <c r="R649" s="8">
        <f t="shared" si="65"/>
        <v>4.3276661514683195</v>
      </c>
    </row>
    <row r="650" spans="1:18" x14ac:dyDescent="0.25">
      <c r="A650" s="7">
        <f t="shared" si="60"/>
        <v>130</v>
      </c>
      <c r="B650" s="2">
        <v>43873</v>
      </c>
      <c r="C650" s="3">
        <v>6.47</v>
      </c>
      <c r="D650" s="3">
        <v>6.69</v>
      </c>
      <c r="E650" s="3">
        <v>6.46</v>
      </c>
      <c r="F650" s="3">
        <v>6.68</v>
      </c>
      <c r="G650" s="3">
        <v>55830</v>
      </c>
      <c r="H650" s="8">
        <f t="shared" si="61"/>
        <v>4.3276661514683195</v>
      </c>
      <c r="I650">
        <f t="shared" si="62"/>
        <v>6.5620000000000003</v>
      </c>
      <c r="J650" s="6" cm="1">
        <f t="array" ref="J650">_xlfn.STDEV.S(IF($A:$A=A650, $F:$F))</f>
        <v>0.14237275020171516</v>
      </c>
      <c r="P650" s="8">
        <f t="shared" si="63"/>
        <v>4.3276661514683195</v>
      </c>
      <c r="Q650" s="8">
        <f t="shared" si="64"/>
        <v>4.3276661514683195</v>
      </c>
      <c r="R650" s="8">
        <f t="shared" si="65"/>
        <v>4.3276661514683195</v>
      </c>
    </row>
    <row r="651" spans="1:18" x14ac:dyDescent="0.25">
      <c r="A651" s="7">
        <f t="shared" si="60"/>
        <v>130</v>
      </c>
      <c r="B651" s="2">
        <v>43874</v>
      </c>
      <c r="C651" s="3">
        <v>6.59</v>
      </c>
      <c r="D651" s="3">
        <v>6.75</v>
      </c>
      <c r="E651" s="3">
        <v>6.59</v>
      </c>
      <c r="F651" s="3">
        <v>6.75</v>
      </c>
      <c r="G651" s="3">
        <v>34100</v>
      </c>
      <c r="H651" s="8">
        <f t="shared" si="61"/>
        <v>4.3276661514683195</v>
      </c>
      <c r="I651">
        <f t="shared" si="62"/>
        <v>6.5620000000000003</v>
      </c>
      <c r="J651" s="6" cm="1">
        <f t="array" ref="J651">_xlfn.STDEV.S(IF($A:$A=A651, $F:$F))</f>
        <v>0.14237275020171516</v>
      </c>
      <c r="P651" s="8">
        <f t="shared" si="63"/>
        <v>4.3276661514683195</v>
      </c>
      <c r="Q651" s="8">
        <f t="shared" si="64"/>
        <v>4.3276661514683195</v>
      </c>
      <c r="R651" s="8">
        <f t="shared" si="65"/>
        <v>4.3276661514683195</v>
      </c>
    </row>
    <row r="652" spans="1:18" x14ac:dyDescent="0.25">
      <c r="A652" s="7">
        <f t="shared" si="60"/>
        <v>131</v>
      </c>
      <c r="B652" s="2">
        <v>43875</v>
      </c>
      <c r="C652" s="3">
        <v>6.81</v>
      </c>
      <c r="D652" s="3">
        <v>7.05</v>
      </c>
      <c r="E652" s="3">
        <v>6.78</v>
      </c>
      <c r="F652" s="3">
        <v>6.87</v>
      </c>
      <c r="G652" s="3">
        <v>30240</v>
      </c>
      <c r="H652" s="8">
        <f t="shared" si="61"/>
        <v>-0.58224163027656528</v>
      </c>
      <c r="I652">
        <f t="shared" si="62"/>
        <v>6.8599999999999994</v>
      </c>
      <c r="J652" s="6" cm="1">
        <f t="array" ref="J652">_xlfn.STDEV.S(IF($A:$A=A652, $F:$F))</f>
        <v>3.3166247903554026E-2</v>
      </c>
      <c r="P652" s="8">
        <f t="shared" si="63"/>
        <v>-0.58224163027656528</v>
      </c>
      <c r="Q652" s="8">
        <f t="shared" si="64"/>
        <v>-0.58224163027656528</v>
      </c>
      <c r="R652" s="8">
        <f t="shared" si="65"/>
        <v>-0.58224163027656528</v>
      </c>
    </row>
    <row r="653" spans="1:18" x14ac:dyDescent="0.25">
      <c r="A653" s="7">
        <f t="shared" si="60"/>
        <v>131</v>
      </c>
      <c r="B653" s="2">
        <v>43878</v>
      </c>
      <c r="C653" s="3">
        <v>6.82</v>
      </c>
      <c r="D653" s="3">
        <v>6.96</v>
      </c>
      <c r="E653" s="3">
        <v>6.74</v>
      </c>
      <c r="F653" s="3">
        <v>6.83</v>
      </c>
      <c r="G653" s="3">
        <v>17570</v>
      </c>
      <c r="H653" s="8">
        <f t="shared" si="61"/>
        <v>-0.58224163027656528</v>
      </c>
      <c r="I653">
        <f t="shared" si="62"/>
        <v>6.8599999999999994</v>
      </c>
      <c r="J653" s="6" cm="1">
        <f t="array" ref="J653">_xlfn.STDEV.S(IF($A:$A=A653, $F:$F))</f>
        <v>3.3166247903554026E-2</v>
      </c>
      <c r="P653" s="8">
        <f t="shared" si="63"/>
        <v>-0.58224163027656528</v>
      </c>
      <c r="Q653" s="8">
        <f t="shared" si="64"/>
        <v>-0.58224163027656528</v>
      </c>
      <c r="R653" s="8">
        <f t="shared" si="65"/>
        <v>-0.58224163027656528</v>
      </c>
    </row>
    <row r="654" spans="1:18" x14ac:dyDescent="0.25">
      <c r="A654" s="7">
        <f t="shared" si="60"/>
        <v>131</v>
      </c>
      <c r="B654" s="2">
        <v>43879</v>
      </c>
      <c r="C654" s="3">
        <v>6.85</v>
      </c>
      <c r="D654" s="3">
        <v>6.91</v>
      </c>
      <c r="E654" s="3">
        <v>6.71</v>
      </c>
      <c r="F654" s="3">
        <v>6.91</v>
      </c>
      <c r="G654" s="3">
        <v>14320</v>
      </c>
      <c r="H654" s="8">
        <f t="shared" si="61"/>
        <v>-0.58224163027656528</v>
      </c>
      <c r="I654">
        <f t="shared" si="62"/>
        <v>6.8599999999999994</v>
      </c>
      <c r="J654" s="6" cm="1">
        <f t="array" ref="J654">_xlfn.STDEV.S(IF($A:$A=A654, $F:$F))</f>
        <v>3.3166247903554026E-2</v>
      </c>
      <c r="P654" s="8">
        <f t="shared" si="63"/>
        <v>-0.58224163027656528</v>
      </c>
      <c r="Q654" s="8">
        <f t="shared" si="64"/>
        <v>-0.58224163027656528</v>
      </c>
      <c r="R654" s="8">
        <f t="shared" si="65"/>
        <v>-0.58224163027656528</v>
      </c>
    </row>
    <row r="655" spans="1:18" x14ac:dyDescent="0.25">
      <c r="A655" s="7">
        <f t="shared" si="60"/>
        <v>131</v>
      </c>
      <c r="B655" s="2">
        <v>43880</v>
      </c>
      <c r="C655" s="3">
        <v>6.91</v>
      </c>
      <c r="D655" s="3">
        <v>6.91</v>
      </c>
      <c r="E655" s="3">
        <v>6.68</v>
      </c>
      <c r="F655" s="3">
        <v>6.86</v>
      </c>
      <c r="G655" s="3">
        <v>120</v>
      </c>
      <c r="H655" s="8">
        <f t="shared" si="61"/>
        <v>-0.58224163027656528</v>
      </c>
      <c r="I655">
        <f t="shared" si="62"/>
        <v>6.8599999999999994</v>
      </c>
      <c r="J655" s="6" cm="1">
        <f t="array" ref="J655">_xlfn.STDEV.S(IF($A:$A=A655, $F:$F))</f>
        <v>3.3166247903554026E-2</v>
      </c>
      <c r="P655" s="8">
        <f t="shared" si="63"/>
        <v>-0.58224163027656528</v>
      </c>
      <c r="Q655" s="8">
        <f t="shared" si="64"/>
        <v>-0.58224163027656528</v>
      </c>
      <c r="R655" s="8">
        <f t="shared" si="65"/>
        <v>-0.58224163027656528</v>
      </c>
    </row>
    <row r="656" spans="1:18" x14ac:dyDescent="0.25">
      <c r="A656" s="7">
        <f t="shared" si="60"/>
        <v>131</v>
      </c>
      <c r="B656" s="2">
        <v>43881</v>
      </c>
      <c r="C656" s="3">
        <v>6.72</v>
      </c>
      <c r="D656" s="3">
        <v>6.83</v>
      </c>
      <c r="E656" s="3">
        <v>6.72</v>
      </c>
      <c r="F656" s="3">
        <v>6.83</v>
      </c>
      <c r="G656" s="3">
        <v>4640</v>
      </c>
      <c r="H656" s="8">
        <f t="shared" si="61"/>
        <v>-0.58224163027656528</v>
      </c>
      <c r="I656">
        <f t="shared" si="62"/>
        <v>6.8599999999999994</v>
      </c>
      <c r="J656" s="6" cm="1">
        <f t="array" ref="J656">_xlfn.STDEV.S(IF($A:$A=A656, $F:$F))</f>
        <v>3.3166247903554026E-2</v>
      </c>
      <c r="P656" s="8">
        <f t="shared" si="63"/>
        <v>-0.58224163027656528</v>
      </c>
      <c r="Q656" s="8">
        <f t="shared" si="64"/>
        <v>-0.58224163027656528</v>
      </c>
      <c r="R656" s="8">
        <f t="shared" si="65"/>
        <v>-0.58224163027656528</v>
      </c>
    </row>
    <row r="657" spans="1:18" x14ac:dyDescent="0.25">
      <c r="A657" s="7">
        <f t="shared" si="60"/>
        <v>132</v>
      </c>
      <c r="B657" s="2">
        <v>43882</v>
      </c>
      <c r="C657" s="3">
        <v>6.83</v>
      </c>
      <c r="D657" s="3">
        <v>6.92</v>
      </c>
      <c r="E657" s="3">
        <v>6.75</v>
      </c>
      <c r="F657" s="3">
        <v>6.83</v>
      </c>
      <c r="G657" s="3">
        <v>128730</v>
      </c>
      <c r="H657" s="8">
        <f t="shared" si="61"/>
        <v>-3.8067349926793526</v>
      </c>
      <c r="I657">
        <f t="shared" si="62"/>
        <v>6.6440000000000001</v>
      </c>
      <c r="J657" s="6" cm="1">
        <f t="array" ref="J657">_xlfn.STDEV.S(IF($A:$A=A657, $F:$F))</f>
        <v>0.13667479650615919</v>
      </c>
      <c r="P657" s="8">
        <f t="shared" si="63"/>
        <v>-3.8067349926793526</v>
      </c>
      <c r="Q657" s="8">
        <f t="shared" si="64"/>
        <v>-3.8067349926793526</v>
      </c>
      <c r="R657" s="8">
        <f t="shared" si="65"/>
        <v>-3.8067349926793526</v>
      </c>
    </row>
    <row r="658" spans="1:18" x14ac:dyDescent="0.25">
      <c r="A658" s="7">
        <f t="shared" si="60"/>
        <v>132</v>
      </c>
      <c r="B658" s="2">
        <v>43885</v>
      </c>
      <c r="C658" s="3">
        <v>6.64</v>
      </c>
      <c r="D658" s="3">
        <v>6.77</v>
      </c>
      <c r="E658" s="3">
        <v>6.49</v>
      </c>
      <c r="F658" s="3">
        <v>6.64</v>
      </c>
      <c r="G658" s="3">
        <v>8780</v>
      </c>
      <c r="H658" s="8">
        <f t="shared" si="61"/>
        <v>-3.8067349926793526</v>
      </c>
      <c r="I658">
        <f t="shared" si="62"/>
        <v>6.6440000000000001</v>
      </c>
      <c r="J658" s="6" cm="1">
        <f t="array" ref="J658">_xlfn.STDEV.S(IF($A:$A=A658, $F:$F))</f>
        <v>0.13667479650615919</v>
      </c>
      <c r="P658" s="8">
        <f t="shared" si="63"/>
        <v>-3.8067349926793526</v>
      </c>
      <c r="Q658" s="8">
        <f t="shared" si="64"/>
        <v>-3.8067349926793526</v>
      </c>
      <c r="R658" s="8">
        <f t="shared" si="65"/>
        <v>-3.8067349926793526</v>
      </c>
    </row>
    <row r="659" spans="1:18" x14ac:dyDescent="0.25">
      <c r="A659" s="7">
        <f t="shared" si="60"/>
        <v>132</v>
      </c>
      <c r="B659" s="2">
        <v>43886</v>
      </c>
      <c r="C659" s="3">
        <v>6.59</v>
      </c>
      <c r="D659" s="3">
        <v>6.71</v>
      </c>
      <c r="E659" s="3">
        <v>6.5</v>
      </c>
      <c r="F659" s="3">
        <v>6.71</v>
      </c>
      <c r="G659" s="3">
        <v>13560</v>
      </c>
      <c r="H659" s="8">
        <f t="shared" si="61"/>
        <v>-3.8067349926793526</v>
      </c>
      <c r="I659">
        <f t="shared" si="62"/>
        <v>6.6440000000000001</v>
      </c>
      <c r="J659" s="6" cm="1">
        <f t="array" ref="J659">_xlfn.STDEV.S(IF($A:$A=A659, $F:$F))</f>
        <v>0.13667479650615919</v>
      </c>
      <c r="P659" s="8">
        <f t="shared" si="63"/>
        <v>-3.8067349926793526</v>
      </c>
      <c r="Q659" s="8">
        <f t="shared" si="64"/>
        <v>-3.8067349926793526</v>
      </c>
      <c r="R659" s="8">
        <f t="shared" si="65"/>
        <v>-3.8067349926793526</v>
      </c>
    </row>
    <row r="660" spans="1:18" x14ac:dyDescent="0.25">
      <c r="A660" s="7">
        <f t="shared" si="60"/>
        <v>132</v>
      </c>
      <c r="B660" s="2">
        <v>43887</v>
      </c>
      <c r="C660" s="3">
        <v>6.71</v>
      </c>
      <c r="D660" s="3">
        <v>6.71</v>
      </c>
      <c r="E660" s="3">
        <v>6.25</v>
      </c>
      <c r="F660" s="3">
        <v>6.47</v>
      </c>
      <c r="G660" s="3">
        <v>30500</v>
      </c>
      <c r="H660" s="8">
        <f t="shared" si="61"/>
        <v>-3.8067349926793526</v>
      </c>
      <c r="I660">
        <f t="shared" si="62"/>
        <v>6.6440000000000001</v>
      </c>
      <c r="J660" s="6" cm="1">
        <f t="array" ref="J660">_xlfn.STDEV.S(IF($A:$A=A660, $F:$F))</f>
        <v>0.13667479650615919</v>
      </c>
      <c r="P660" s="8">
        <f t="shared" si="63"/>
        <v>-3.8067349926793526</v>
      </c>
      <c r="Q660" s="8">
        <f t="shared" si="64"/>
        <v>-3.8067349926793526</v>
      </c>
      <c r="R660" s="8">
        <f t="shared" si="65"/>
        <v>-3.8067349926793526</v>
      </c>
    </row>
    <row r="661" spans="1:18" x14ac:dyDescent="0.25">
      <c r="A661" s="7">
        <f t="shared" si="60"/>
        <v>132</v>
      </c>
      <c r="B661" s="2">
        <v>43888</v>
      </c>
      <c r="C661" s="3">
        <v>6.47</v>
      </c>
      <c r="D661" s="3">
        <v>6.57</v>
      </c>
      <c r="E661" s="3">
        <v>6.35</v>
      </c>
      <c r="F661" s="3">
        <v>6.57</v>
      </c>
      <c r="G661" s="3">
        <v>78230</v>
      </c>
      <c r="H661" s="8">
        <f t="shared" si="61"/>
        <v>-3.8067349926793526</v>
      </c>
      <c r="I661">
        <f t="shared" si="62"/>
        <v>6.6440000000000001</v>
      </c>
      <c r="J661" s="6" cm="1">
        <f t="array" ref="J661">_xlfn.STDEV.S(IF($A:$A=A661, $F:$F))</f>
        <v>0.13667479650615919</v>
      </c>
      <c r="P661" s="8">
        <f t="shared" si="63"/>
        <v>-3.8067349926793526</v>
      </c>
      <c r="Q661" s="8">
        <f t="shared" si="64"/>
        <v>-3.8067349926793526</v>
      </c>
      <c r="R661" s="8">
        <f t="shared" si="65"/>
        <v>-3.8067349926793526</v>
      </c>
    </row>
    <row r="662" spans="1:18" x14ac:dyDescent="0.25">
      <c r="A662" s="7">
        <f t="shared" si="60"/>
        <v>133</v>
      </c>
      <c r="B662" s="2">
        <v>43889</v>
      </c>
      <c r="C662" s="3">
        <v>6.37</v>
      </c>
      <c r="D662" s="3">
        <v>6.37</v>
      </c>
      <c r="E662" s="3">
        <v>6.35</v>
      </c>
      <c r="F662" s="3">
        <v>6.35</v>
      </c>
      <c r="G662" s="3">
        <v>7540</v>
      </c>
      <c r="H662" s="8">
        <f t="shared" si="61"/>
        <v>1.417322834645681</v>
      </c>
      <c r="I662">
        <f t="shared" si="62"/>
        <v>6.3680000000000003</v>
      </c>
      <c r="J662" s="6" cm="1">
        <f t="array" ref="J662">_xlfn.STDEV.S(IF($A:$A=A662, $F:$F))</f>
        <v>4.0249223594996546E-2</v>
      </c>
      <c r="P662" s="8">
        <f t="shared" si="63"/>
        <v>1.417322834645681</v>
      </c>
      <c r="Q662" s="8">
        <f t="shared" si="64"/>
        <v>1.417322834645681</v>
      </c>
      <c r="R662" s="8">
        <f t="shared" si="65"/>
        <v>1.417322834645681</v>
      </c>
    </row>
    <row r="663" spans="1:18" x14ac:dyDescent="0.25">
      <c r="A663" s="7">
        <f t="shared" si="60"/>
        <v>133</v>
      </c>
      <c r="B663" s="2">
        <v>43892</v>
      </c>
      <c r="C663" s="3">
        <v>6.35</v>
      </c>
      <c r="D663" s="3">
        <v>6.59</v>
      </c>
      <c r="E663" s="3">
        <v>6.35</v>
      </c>
      <c r="F663" s="3">
        <v>6.35</v>
      </c>
      <c r="G663" s="3">
        <v>53480</v>
      </c>
      <c r="H663" s="8">
        <f t="shared" si="61"/>
        <v>1.417322834645681</v>
      </c>
      <c r="I663">
        <f t="shared" si="62"/>
        <v>6.3680000000000003</v>
      </c>
      <c r="J663" s="6" cm="1">
        <f t="array" ref="J663">_xlfn.STDEV.S(IF($A:$A=A663, $F:$F))</f>
        <v>4.0249223594996546E-2</v>
      </c>
      <c r="P663" s="8">
        <f t="shared" si="63"/>
        <v>1.417322834645681</v>
      </c>
      <c r="Q663" s="8">
        <f t="shared" si="64"/>
        <v>1.417322834645681</v>
      </c>
      <c r="R663" s="8">
        <f t="shared" si="65"/>
        <v>1.417322834645681</v>
      </c>
    </row>
    <row r="664" spans="1:18" x14ac:dyDescent="0.25">
      <c r="A664" s="7">
        <f t="shared" si="60"/>
        <v>133</v>
      </c>
      <c r="B664" s="2">
        <v>43893</v>
      </c>
      <c r="C664" s="3">
        <v>6.47</v>
      </c>
      <c r="D664" s="3">
        <v>6.47</v>
      </c>
      <c r="E664" s="3">
        <v>6.35</v>
      </c>
      <c r="F664" s="3">
        <v>6.35</v>
      </c>
      <c r="G664" s="3">
        <v>29910</v>
      </c>
      <c r="H664" s="8">
        <f t="shared" si="61"/>
        <v>1.417322834645681</v>
      </c>
      <c r="I664">
        <f t="shared" si="62"/>
        <v>6.3680000000000003</v>
      </c>
      <c r="J664" s="6" cm="1">
        <f t="array" ref="J664">_xlfn.STDEV.S(IF($A:$A=A664, $F:$F))</f>
        <v>4.0249223594996546E-2</v>
      </c>
      <c r="P664" s="8">
        <f t="shared" si="63"/>
        <v>1.417322834645681</v>
      </c>
      <c r="Q664" s="8">
        <f t="shared" si="64"/>
        <v>1.417322834645681</v>
      </c>
      <c r="R664" s="8">
        <f t="shared" si="65"/>
        <v>1.417322834645681</v>
      </c>
    </row>
    <row r="665" spans="1:18" x14ac:dyDescent="0.25">
      <c r="A665" s="7">
        <f t="shared" si="60"/>
        <v>133</v>
      </c>
      <c r="B665" s="2">
        <v>43894</v>
      </c>
      <c r="C665" s="3">
        <v>6.44</v>
      </c>
      <c r="D665" s="3">
        <v>6.44</v>
      </c>
      <c r="E665" s="3">
        <v>6.35</v>
      </c>
      <c r="F665" s="3">
        <v>6.35</v>
      </c>
      <c r="G665" s="3">
        <v>6280</v>
      </c>
      <c r="H665" s="8">
        <f t="shared" si="61"/>
        <v>1.417322834645681</v>
      </c>
      <c r="I665">
        <f t="shared" si="62"/>
        <v>6.3680000000000003</v>
      </c>
      <c r="J665" s="6" cm="1">
        <f t="array" ref="J665">_xlfn.STDEV.S(IF($A:$A=A665, $F:$F))</f>
        <v>4.0249223594996546E-2</v>
      </c>
      <c r="P665" s="8">
        <f t="shared" si="63"/>
        <v>1.417322834645681</v>
      </c>
      <c r="Q665" s="8">
        <f t="shared" si="64"/>
        <v>1.417322834645681</v>
      </c>
      <c r="R665" s="8">
        <f t="shared" si="65"/>
        <v>1.417322834645681</v>
      </c>
    </row>
    <row r="666" spans="1:18" x14ac:dyDescent="0.25">
      <c r="A666" s="7">
        <f t="shared" si="60"/>
        <v>133</v>
      </c>
      <c r="B666" s="2">
        <v>43895</v>
      </c>
      <c r="C666" s="3">
        <v>6.46</v>
      </c>
      <c r="D666" s="3">
        <v>6.54</v>
      </c>
      <c r="E666" s="3">
        <v>6.35</v>
      </c>
      <c r="F666" s="3">
        <v>6.44</v>
      </c>
      <c r="G666" s="3">
        <v>69690</v>
      </c>
      <c r="H666" s="8">
        <f t="shared" si="61"/>
        <v>1.417322834645681</v>
      </c>
      <c r="I666">
        <f t="shared" si="62"/>
        <v>6.3680000000000003</v>
      </c>
      <c r="J666" s="6" cm="1">
        <f t="array" ref="J666">_xlfn.STDEV.S(IF($A:$A=A666, $F:$F))</f>
        <v>4.0249223594996546E-2</v>
      </c>
      <c r="P666" s="8">
        <f t="shared" si="63"/>
        <v>1.417322834645681</v>
      </c>
      <c r="Q666" s="8">
        <f t="shared" si="64"/>
        <v>1.417322834645681</v>
      </c>
      <c r="R666" s="8">
        <f t="shared" si="65"/>
        <v>1.417322834645681</v>
      </c>
    </row>
    <row r="667" spans="1:18" x14ac:dyDescent="0.25">
      <c r="A667" s="7">
        <f t="shared" si="60"/>
        <v>134</v>
      </c>
      <c r="B667" s="2">
        <v>43896</v>
      </c>
      <c r="C667" s="3">
        <v>6.44</v>
      </c>
      <c r="D667" s="3">
        <v>6.49</v>
      </c>
      <c r="E667" s="3">
        <v>6.38</v>
      </c>
      <c r="F667" s="3">
        <v>6.49</v>
      </c>
      <c r="G667" s="3">
        <v>11030</v>
      </c>
      <c r="H667" s="8">
        <f t="shared" si="61"/>
        <v>-16.332819722650239</v>
      </c>
      <c r="I667">
        <f t="shared" si="62"/>
        <v>6.0379999999999994</v>
      </c>
      <c r="J667" s="6" cm="1">
        <f t="array" ref="J667">_xlfn.STDEV.S(IF($A:$A=A667, $F:$F))</f>
        <v>0.41336424615585715</v>
      </c>
      <c r="P667" s="8">
        <f t="shared" si="63"/>
        <v>-16.332819722650239</v>
      </c>
      <c r="Q667" s="8">
        <f t="shared" si="64"/>
        <v>-16.332819722650239</v>
      </c>
      <c r="R667" s="11">
        <f t="shared" si="65"/>
        <v>-16.332819722650239</v>
      </c>
    </row>
    <row r="668" spans="1:18" x14ac:dyDescent="0.25">
      <c r="A668" s="7">
        <f t="shared" si="60"/>
        <v>134</v>
      </c>
      <c r="B668" s="2">
        <v>43899</v>
      </c>
      <c r="C668" s="3">
        <v>6.1</v>
      </c>
      <c r="D668" s="3">
        <v>6.32</v>
      </c>
      <c r="E668" s="3">
        <v>6.04</v>
      </c>
      <c r="F668" s="3">
        <v>6.22</v>
      </c>
      <c r="G668" s="3">
        <v>95830</v>
      </c>
      <c r="H668" s="8">
        <f t="shared" si="61"/>
        <v>-16.332819722650239</v>
      </c>
      <c r="I668">
        <f t="shared" si="62"/>
        <v>6.0379999999999994</v>
      </c>
      <c r="J668" s="6" cm="1">
        <f t="array" ref="J668">_xlfn.STDEV.S(IF($A:$A=A668, $F:$F))</f>
        <v>0.41336424615585715</v>
      </c>
      <c r="P668" s="8">
        <f t="shared" si="63"/>
        <v>-16.332819722650239</v>
      </c>
      <c r="Q668" s="8">
        <f t="shared" si="64"/>
        <v>-16.332819722650239</v>
      </c>
      <c r="R668" s="11">
        <f t="shared" si="65"/>
        <v>-16.332819722650239</v>
      </c>
    </row>
    <row r="669" spans="1:18" x14ac:dyDescent="0.25">
      <c r="A669" s="7">
        <f t="shared" si="60"/>
        <v>134</v>
      </c>
      <c r="B669" s="2">
        <v>43900</v>
      </c>
      <c r="C669" s="3">
        <v>5.88</v>
      </c>
      <c r="D669" s="3">
        <v>6.32</v>
      </c>
      <c r="E669" s="3">
        <v>5.88</v>
      </c>
      <c r="F669" s="3">
        <v>6.22</v>
      </c>
      <c r="G669" s="3">
        <v>171530</v>
      </c>
      <c r="H669" s="8">
        <f t="shared" si="61"/>
        <v>-16.332819722650239</v>
      </c>
      <c r="I669">
        <f t="shared" si="62"/>
        <v>6.0379999999999994</v>
      </c>
      <c r="J669" s="6" cm="1">
        <f t="array" ref="J669">_xlfn.STDEV.S(IF($A:$A=A669, $F:$F))</f>
        <v>0.41336424615585715</v>
      </c>
      <c r="P669" s="8">
        <f t="shared" si="63"/>
        <v>-16.332819722650239</v>
      </c>
      <c r="Q669" s="8">
        <f t="shared" si="64"/>
        <v>-16.332819722650239</v>
      </c>
      <c r="R669" s="11">
        <f t="shared" si="65"/>
        <v>-16.332819722650239</v>
      </c>
    </row>
    <row r="670" spans="1:18" x14ac:dyDescent="0.25">
      <c r="A670" s="7">
        <f t="shared" si="60"/>
        <v>134</v>
      </c>
      <c r="B670" s="2">
        <v>43901</v>
      </c>
      <c r="C670" s="3">
        <v>5.92</v>
      </c>
      <c r="D670" s="3">
        <v>5.98</v>
      </c>
      <c r="E670" s="3">
        <v>5.8</v>
      </c>
      <c r="F670" s="3">
        <v>5.83</v>
      </c>
      <c r="G670" s="3">
        <v>101910</v>
      </c>
      <c r="H670" s="8">
        <f t="shared" si="61"/>
        <v>-16.332819722650239</v>
      </c>
      <c r="I670">
        <f t="shared" si="62"/>
        <v>6.0379999999999994</v>
      </c>
      <c r="J670" s="6" cm="1">
        <f t="array" ref="J670">_xlfn.STDEV.S(IF($A:$A=A670, $F:$F))</f>
        <v>0.41336424615585715</v>
      </c>
      <c r="P670" s="8">
        <f t="shared" si="63"/>
        <v>-16.332819722650239</v>
      </c>
      <c r="Q670" s="8">
        <f t="shared" si="64"/>
        <v>-16.332819722650239</v>
      </c>
      <c r="R670" s="11">
        <f t="shared" si="65"/>
        <v>-16.332819722650239</v>
      </c>
    </row>
    <row r="671" spans="1:18" x14ac:dyDescent="0.25">
      <c r="A671" s="7">
        <f t="shared" si="60"/>
        <v>134</v>
      </c>
      <c r="B671" s="2">
        <v>43902</v>
      </c>
      <c r="C671" s="3">
        <v>5.43</v>
      </c>
      <c r="D671" s="3">
        <v>5.64</v>
      </c>
      <c r="E671" s="3">
        <v>5.43</v>
      </c>
      <c r="F671" s="3">
        <v>5.43</v>
      </c>
      <c r="G671" s="3">
        <v>20000</v>
      </c>
      <c r="H671" s="8">
        <f t="shared" si="61"/>
        <v>-16.332819722650239</v>
      </c>
      <c r="I671">
        <f t="shared" si="62"/>
        <v>6.0379999999999994</v>
      </c>
      <c r="J671" s="6" cm="1">
        <f t="array" ref="J671">_xlfn.STDEV.S(IF($A:$A=A671, $F:$F))</f>
        <v>0.41336424615585715</v>
      </c>
      <c r="P671" s="8">
        <f t="shared" si="63"/>
        <v>-16.332819722650239</v>
      </c>
      <c r="Q671" s="8">
        <f t="shared" si="64"/>
        <v>-16.332819722650239</v>
      </c>
      <c r="R671" s="11">
        <f t="shared" si="65"/>
        <v>-16.332819722650239</v>
      </c>
    </row>
    <row r="672" spans="1:18" x14ac:dyDescent="0.25">
      <c r="A672" s="7">
        <f t="shared" si="60"/>
        <v>135</v>
      </c>
      <c r="B672" s="2">
        <v>43903</v>
      </c>
      <c r="C672" s="3">
        <v>5.05</v>
      </c>
      <c r="D672" s="3">
        <v>5.37</v>
      </c>
      <c r="E672" s="3">
        <v>5.05</v>
      </c>
      <c r="F672" s="3">
        <v>5.05</v>
      </c>
      <c r="G672" s="3">
        <v>14480</v>
      </c>
      <c r="H672" s="8">
        <f t="shared" si="61"/>
        <v>-9.702970297029708</v>
      </c>
      <c r="I672">
        <f t="shared" si="62"/>
        <v>4.7279999999999998</v>
      </c>
      <c r="J672" s="6" cm="1">
        <f t="array" ref="J672">_xlfn.STDEV.S(IF($A:$A=A672, $F:$F))</f>
        <v>0.19136352839556442</v>
      </c>
      <c r="P672" s="8">
        <f t="shared" si="63"/>
        <v>-9.702970297029708</v>
      </c>
      <c r="Q672" s="8">
        <f t="shared" si="64"/>
        <v>-9.702970297029708</v>
      </c>
      <c r="R672" s="11">
        <f t="shared" si="65"/>
        <v>-9.702970297029708</v>
      </c>
    </row>
    <row r="673" spans="1:18" x14ac:dyDescent="0.25">
      <c r="A673" s="7">
        <f t="shared" si="60"/>
        <v>135</v>
      </c>
      <c r="B673" s="2">
        <v>43906</v>
      </c>
      <c r="C673" s="3">
        <v>4.8</v>
      </c>
      <c r="D673" s="3">
        <v>4.8</v>
      </c>
      <c r="E673" s="3">
        <v>4.71</v>
      </c>
      <c r="F673" s="3">
        <v>4.71</v>
      </c>
      <c r="G673" s="3">
        <v>70910</v>
      </c>
      <c r="H673" s="8">
        <f t="shared" si="61"/>
        <v>-9.702970297029708</v>
      </c>
      <c r="I673">
        <f t="shared" si="62"/>
        <v>4.7279999999999998</v>
      </c>
      <c r="J673" s="6" cm="1">
        <f t="array" ref="J673">_xlfn.STDEV.S(IF($A:$A=A673, $F:$F))</f>
        <v>0.19136352839556442</v>
      </c>
      <c r="P673" s="8">
        <f t="shared" si="63"/>
        <v>-9.702970297029708</v>
      </c>
      <c r="Q673" s="8">
        <f t="shared" si="64"/>
        <v>-9.702970297029708</v>
      </c>
      <c r="R673" s="11">
        <f t="shared" si="65"/>
        <v>-9.702970297029708</v>
      </c>
    </row>
    <row r="674" spans="1:18" x14ac:dyDescent="0.25">
      <c r="A674" s="7">
        <f t="shared" si="60"/>
        <v>135</v>
      </c>
      <c r="B674" s="2">
        <v>43907</v>
      </c>
      <c r="C674" s="3">
        <v>4.71</v>
      </c>
      <c r="D674" s="3">
        <v>4.83</v>
      </c>
      <c r="E674" s="3">
        <v>4.38</v>
      </c>
      <c r="F674" s="3">
        <v>4.71</v>
      </c>
      <c r="G674" s="3">
        <v>112680</v>
      </c>
      <c r="H674" s="8">
        <f t="shared" si="61"/>
        <v>-9.702970297029708</v>
      </c>
      <c r="I674">
        <f t="shared" si="62"/>
        <v>4.7279999999999998</v>
      </c>
      <c r="J674" s="6" cm="1">
        <f t="array" ref="J674">_xlfn.STDEV.S(IF($A:$A=A674, $F:$F))</f>
        <v>0.19136352839556442</v>
      </c>
      <c r="P674" s="8">
        <f t="shared" si="63"/>
        <v>-9.702970297029708</v>
      </c>
      <c r="Q674" s="8">
        <f t="shared" si="64"/>
        <v>-9.702970297029708</v>
      </c>
      <c r="R674" s="11">
        <f t="shared" si="65"/>
        <v>-9.702970297029708</v>
      </c>
    </row>
    <row r="675" spans="1:18" x14ac:dyDescent="0.25">
      <c r="A675" s="7">
        <f t="shared" si="60"/>
        <v>135</v>
      </c>
      <c r="B675" s="2">
        <v>43908</v>
      </c>
      <c r="C675" s="3">
        <v>4.6399999999999997</v>
      </c>
      <c r="D675" s="3">
        <v>4.71</v>
      </c>
      <c r="E675" s="3">
        <v>4.55</v>
      </c>
      <c r="F675" s="3">
        <v>4.6100000000000003</v>
      </c>
      <c r="G675" s="3">
        <v>28810</v>
      </c>
      <c r="H675" s="8">
        <f t="shared" si="61"/>
        <v>-9.702970297029708</v>
      </c>
      <c r="I675">
        <f t="shared" si="62"/>
        <v>4.7279999999999998</v>
      </c>
      <c r="J675" s="6" cm="1">
        <f t="array" ref="J675">_xlfn.STDEV.S(IF($A:$A=A675, $F:$F))</f>
        <v>0.19136352839556442</v>
      </c>
      <c r="P675" s="8">
        <f t="shared" si="63"/>
        <v>-9.702970297029708</v>
      </c>
      <c r="Q675" s="8">
        <f t="shared" si="64"/>
        <v>-9.702970297029708</v>
      </c>
      <c r="R675" s="11">
        <f t="shared" si="65"/>
        <v>-9.702970297029708</v>
      </c>
    </row>
    <row r="676" spans="1:18" x14ac:dyDescent="0.25">
      <c r="A676" s="7">
        <f t="shared" si="60"/>
        <v>135</v>
      </c>
      <c r="B676" s="2">
        <v>43909</v>
      </c>
      <c r="C676" s="3">
        <v>4.32</v>
      </c>
      <c r="D676" s="3">
        <v>4.5599999999999996</v>
      </c>
      <c r="E676" s="3">
        <v>4.32</v>
      </c>
      <c r="F676" s="3">
        <v>4.5599999999999996</v>
      </c>
      <c r="G676" s="3">
        <v>30150</v>
      </c>
      <c r="H676" s="8">
        <f t="shared" si="61"/>
        <v>-9.702970297029708</v>
      </c>
      <c r="I676">
        <f t="shared" si="62"/>
        <v>4.7279999999999998</v>
      </c>
      <c r="J676" s="6" cm="1">
        <f t="array" ref="J676">_xlfn.STDEV.S(IF($A:$A=A676, $F:$F))</f>
        <v>0.19136352839556442</v>
      </c>
      <c r="P676" s="8">
        <f t="shared" si="63"/>
        <v>-9.702970297029708</v>
      </c>
      <c r="Q676" s="8">
        <f t="shared" si="64"/>
        <v>-9.702970297029708</v>
      </c>
      <c r="R676" s="11">
        <f t="shared" si="65"/>
        <v>-9.702970297029708</v>
      </c>
    </row>
    <row r="677" spans="1:18" x14ac:dyDescent="0.25">
      <c r="A677" s="7">
        <f t="shared" si="60"/>
        <v>136</v>
      </c>
      <c r="B677" s="2">
        <v>43910</v>
      </c>
      <c r="C677" s="3">
        <v>4.37</v>
      </c>
      <c r="D677" s="3">
        <v>4.55</v>
      </c>
      <c r="E677" s="3">
        <v>4.37</v>
      </c>
      <c r="F677" s="3">
        <v>4.43</v>
      </c>
      <c r="G677" s="3">
        <v>64460</v>
      </c>
      <c r="H677" s="8">
        <f t="shared" si="61"/>
        <v>-12.41534988713318</v>
      </c>
      <c r="I677">
        <f t="shared" si="62"/>
        <v>4.0520000000000005</v>
      </c>
      <c r="J677" s="6" cm="1">
        <f t="array" ref="J677">_xlfn.STDEV.S(IF($A:$A=A677, $F:$F))</f>
        <v>0.23166786570433101</v>
      </c>
      <c r="P677" s="8">
        <f t="shared" si="63"/>
        <v>-12.41534988713318</v>
      </c>
      <c r="Q677" s="8">
        <f t="shared" si="64"/>
        <v>-12.41534988713318</v>
      </c>
      <c r="R677" s="11">
        <f t="shared" si="65"/>
        <v>-12.41534988713318</v>
      </c>
    </row>
    <row r="678" spans="1:18" x14ac:dyDescent="0.25">
      <c r="A678" s="7">
        <f t="shared" si="60"/>
        <v>136</v>
      </c>
      <c r="B678" s="2">
        <v>43913</v>
      </c>
      <c r="C678" s="3">
        <v>4.3899999999999997</v>
      </c>
      <c r="D678" s="3">
        <v>4.3899999999999997</v>
      </c>
      <c r="E678" s="3">
        <v>4.12</v>
      </c>
      <c r="F678" s="3">
        <v>4.12</v>
      </c>
      <c r="G678" s="3">
        <v>137700</v>
      </c>
      <c r="H678" s="8">
        <f t="shared" si="61"/>
        <v>-12.41534988713318</v>
      </c>
      <c r="I678">
        <f t="shared" si="62"/>
        <v>4.0520000000000005</v>
      </c>
      <c r="J678" s="6" cm="1">
        <f t="array" ref="J678">_xlfn.STDEV.S(IF($A:$A=A678, $F:$F))</f>
        <v>0.23166786570433101</v>
      </c>
      <c r="P678" s="8">
        <f t="shared" si="63"/>
        <v>-12.41534988713318</v>
      </c>
      <c r="Q678" s="8">
        <f t="shared" si="64"/>
        <v>-12.41534988713318</v>
      </c>
      <c r="R678" s="11">
        <f t="shared" si="65"/>
        <v>-12.41534988713318</v>
      </c>
    </row>
    <row r="679" spans="1:18" x14ac:dyDescent="0.25">
      <c r="A679" s="7">
        <f t="shared" si="60"/>
        <v>136</v>
      </c>
      <c r="B679" s="2">
        <v>43914</v>
      </c>
      <c r="C679" s="3">
        <v>4.12</v>
      </c>
      <c r="D679" s="3">
        <v>4.12</v>
      </c>
      <c r="E679" s="3">
        <v>3.86</v>
      </c>
      <c r="F679" s="3">
        <v>3.91</v>
      </c>
      <c r="G679" s="3">
        <v>82950</v>
      </c>
      <c r="H679" s="8">
        <f t="shared" si="61"/>
        <v>-12.41534988713318</v>
      </c>
      <c r="I679">
        <f t="shared" si="62"/>
        <v>4.0520000000000005</v>
      </c>
      <c r="J679" s="6" cm="1">
        <f t="array" ref="J679">_xlfn.STDEV.S(IF($A:$A=A679, $F:$F))</f>
        <v>0.23166786570433101</v>
      </c>
      <c r="P679" s="8">
        <f t="shared" si="63"/>
        <v>-12.41534988713318</v>
      </c>
      <c r="Q679" s="8">
        <f t="shared" si="64"/>
        <v>-12.41534988713318</v>
      </c>
      <c r="R679" s="11">
        <f t="shared" si="65"/>
        <v>-12.41534988713318</v>
      </c>
    </row>
    <row r="680" spans="1:18" x14ac:dyDescent="0.25">
      <c r="A680" s="7">
        <f t="shared" si="60"/>
        <v>136</v>
      </c>
      <c r="B680" s="2">
        <v>43915</v>
      </c>
      <c r="C680" s="3">
        <v>3.91</v>
      </c>
      <c r="D680" s="3">
        <v>3.98</v>
      </c>
      <c r="E680" s="3">
        <v>3.91</v>
      </c>
      <c r="F680" s="3">
        <v>3.92</v>
      </c>
      <c r="G680" s="3">
        <v>101960</v>
      </c>
      <c r="H680" s="8">
        <f t="shared" si="61"/>
        <v>-12.41534988713318</v>
      </c>
      <c r="I680">
        <f t="shared" si="62"/>
        <v>4.0520000000000005</v>
      </c>
      <c r="J680" s="6" cm="1">
        <f t="array" ref="J680">_xlfn.STDEV.S(IF($A:$A=A680, $F:$F))</f>
        <v>0.23166786570433101</v>
      </c>
      <c r="P680" s="8">
        <f t="shared" si="63"/>
        <v>-12.41534988713318</v>
      </c>
      <c r="Q680" s="8">
        <f t="shared" si="64"/>
        <v>-12.41534988713318</v>
      </c>
      <c r="R680" s="11">
        <f t="shared" si="65"/>
        <v>-12.41534988713318</v>
      </c>
    </row>
    <row r="681" spans="1:18" x14ac:dyDescent="0.25">
      <c r="A681" s="7">
        <f t="shared" si="60"/>
        <v>136</v>
      </c>
      <c r="B681" s="2">
        <v>43916</v>
      </c>
      <c r="C681" s="3">
        <v>3.92</v>
      </c>
      <c r="D681" s="3">
        <v>3.92</v>
      </c>
      <c r="E681" s="3">
        <v>3.83</v>
      </c>
      <c r="F681" s="3">
        <v>3.88</v>
      </c>
      <c r="G681" s="3">
        <v>111750</v>
      </c>
      <c r="H681" s="8">
        <f t="shared" si="61"/>
        <v>-12.41534988713318</v>
      </c>
      <c r="I681">
        <f t="shared" si="62"/>
        <v>4.0520000000000005</v>
      </c>
      <c r="J681" s="6" cm="1">
        <f t="array" ref="J681">_xlfn.STDEV.S(IF($A:$A=A681, $F:$F))</f>
        <v>0.23166786570433101</v>
      </c>
      <c r="P681" s="8">
        <f t="shared" si="63"/>
        <v>-12.41534988713318</v>
      </c>
      <c r="Q681" s="8">
        <f t="shared" si="64"/>
        <v>-12.41534988713318</v>
      </c>
      <c r="R681" s="11">
        <f t="shared" si="65"/>
        <v>-12.41534988713318</v>
      </c>
    </row>
    <row r="682" spans="1:18" x14ac:dyDescent="0.25">
      <c r="A682" s="7">
        <f t="shared" si="60"/>
        <v>137</v>
      </c>
      <c r="B682" s="2">
        <v>43917</v>
      </c>
      <c r="C682" s="3">
        <v>3.91</v>
      </c>
      <c r="D682" s="3">
        <v>3.91</v>
      </c>
      <c r="E682" s="3">
        <v>3.76</v>
      </c>
      <c r="F682" s="3">
        <v>3.88</v>
      </c>
      <c r="G682" s="3">
        <v>110100</v>
      </c>
      <c r="H682" s="8">
        <f t="shared" si="61"/>
        <v>-5.6701030927834992</v>
      </c>
      <c r="I682">
        <f t="shared" si="62"/>
        <v>3.6320000000000001</v>
      </c>
      <c r="J682" s="6" cm="1">
        <f t="array" ref="J682">_xlfn.STDEV.S(IF($A:$A=A682, $F:$F))</f>
        <v>0.15610893632332512</v>
      </c>
      <c r="P682" s="8">
        <f t="shared" si="63"/>
        <v>-5.6701030927834992</v>
      </c>
      <c r="Q682" s="8">
        <f t="shared" si="64"/>
        <v>-5.6701030927834992</v>
      </c>
      <c r="R682" s="8">
        <f t="shared" si="65"/>
        <v>-5.6701030927834992</v>
      </c>
    </row>
    <row r="683" spans="1:18" x14ac:dyDescent="0.25">
      <c r="A683" s="7">
        <f t="shared" si="60"/>
        <v>137</v>
      </c>
      <c r="B683" s="2">
        <v>43920</v>
      </c>
      <c r="C683" s="3">
        <v>3.78</v>
      </c>
      <c r="D683" s="3">
        <v>3.8</v>
      </c>
      <c r="E683" s="3">
        <v>3.61</v>
      </c>
      <c r="F683" s="3">
        <v>3.61</v>
      </c>
      <c r="G683" s="3">
        <v>177850</v>
      </c>
      <c r="H683" s="8">
        <f t="shared" si="61"/>
        <v>-5.6701030927834992</v>
      </c>
      <c r="I683">
        <f t="shared" si="62"/>
        <v>3.6320000000000001</v>
      </c>
      <c r="J683" s="6" cm="1">
        <f t="array" ref="J683">_xlfn.STDEV.S(IF($A:$A=A683, $F:$F))</f>
        <v>0.15610893632332512</v>
      </c>
      <c r="P683" s="8">
        <f t="shared" si="63"/>
        <v>-5.6701030927834992</v>
      </c>
      <c r="Q683" s="8">
        <f t="shared" si="64"/>
        <v>-5.6701030927834992</v>
      </c>
      <c r="R683" s="8">
        <f t="shared" si="65"/>
        <v>-5.6701030927834992</v>
      </c>
    </row>
    <row r="684" spans="1:18" x14ac:dyDescent="0.25">
      <c r="A684" s="7">
        <f t="shared" si="60"/>
        <v>137</v>
      </c>
      <c r="B684" s="2">
        <v>43921</v>
      </c>
      <c r="C684" s="3">
        <v>3.61</v>
      </c>
      <c r="D684" s="3">
        <v>3.66</v>
      </c>
      <c r="E684" s="3">
        <v>3.47</v>
      </c>
      <c r="F684" s="3">
        <v>3.47</v>
      </c>
      <c r="G684" s="3">
        <v>77020</v>
      </c>
      <c r="H684" s="8">
        <f t="shared" si="61"/>
        <v>-5.6701030927834992</v>
      </c>
      <c r="I684">
        <f t="shared" si="62"/>
        <v>3.6320000000000001</v>
      </c>
      <c r="J684" s="6" cm="1">
        <f t="array" ref="J684">_xlfn.STDEV.S(IF($A:$A=A684, $F:$F))</f>
        <v>0.15610893632332512</v>
      </c>
      <c r="P684" s="8">
        <f t="shared" si="63"/>
        <v>-5.6701030927834992</v>
      </c>
      <c r="Q684" s="8">
        <f t="shared" si="64"/>
        <v>-5.6701030927834992</v>
      </c>
      <c r="R684" s="8">
        <f t="shared" si="65"/>
        <v>-5.6701030927834992</v>
      </c>
    </row>
    <row r="685" spans="1:18" x14ac:dyDescent="0.25">
      <c r="A685" s="7">
        <f t="shared" si="60"/>
        <v>137</v>
      </c>
      <c r="B685" s="2">
        <v>43922</v>
      </c>
      <c r="C685" s="3">
        <v>3.47</v>
      </c>
      <c r="D685" s="3">
        <v>3.64</v>
      </c>
      <c r="E685" s="3">
        <v>3.47</v>
      </c>
      <c r="F685" s="3">
        <v>3.54</v>
      </c>
      <c r="G685" s="3">
        <v>145180</v>
      </c>
      <c r="H685" s="8">
        <f t="shared" si="61"/>
        <v>-5.6701030927834992</v>
      </c>
      <c r="I685">
        <f t="shared" si="62"/>
        <v>3.6320000000000001</v>
      </c>
      <c r="J685" s="6" cm="1">
        <f t="array" ref="J685">_xlfn.STDEV.S(IF($A:$A=A685, $F:$F))</f>
        <v>0.15610893632332512</v>
      </c>
      <c r="P685" s="8">
        <f t="shared" si="63"/>
        <v>-5.6701030927834992</v>
      </c>
      <c r="Q685" s="8">
        <f t="shared" si="64"/>
        <v>-5.6701030927834992</v>
      </c>
      <c r="R685" s="8">
        <f t="shared" si="65"/>
        <v>-5.6701030927834992</v>
      </c>
    </row>
    <row r="686" spans="1:18" x14ac:dyDescent="0.25">
      <c r="A686" s="7">
        <f t="shared" si="60"/>
        <v>137</v>
      </c>
      <c r="B686" s="2">
        <v>43924</v>
      </c>
      <c r="C686" s="3">
        <v>3.6</v>
      </c>
      <c r="D686" s="3">
        <v>3.76</v>
      </c>
      <c r="E686" s="3">
        <v>3.6</v>
      </c>
      <c r="F686" s="3">
        <v>3.66</v>
      </c>
      <c r="G686" s="3">
        <v>269230</v>
      </c>
      <c r="H686" s="8">
        <f t="shared" si="61"/>
        <v>-5.6701030927834992</v>
      </c>
      <c r="I686">
        <f t="shared" si="62"/>
        <v>3.6320000000000001</v>
      </c>
      <c r="J686" s="6" cm="1">
        <f t="array" ref="J686">_xlfn.STDEV.S(IF($A:$A=A686, $F:$F))</f>
        <v>0.15610893632332512</v>
      </c>
      <c r="P686" s="8">
        <f t="shared" si="63"/>
        <v>-5.6701030927834992</v>
      </c>
      <c r="Q686" s="8">
        <f t="shared" si="64"/>
        <v>-5.6701030927834992</v>
      </c>
      <c r="R686" s="8">
        <f t="shared" si="65"/>
        <v>-5.6701030927834992</v>
      </c>
    </row>
    <row r="687" spans="1:18" x14ac:dyDescent="0.25">
      <c r="A687" s="7">
        <f t="shared" si="60"/>
        <v>138</v>
      </c>
      <c r="B687" s="2">
        <v>43927</v>
      </c>
      <c r="C687" s="3">
        <v>3.78</v>
      </c>
      <c r="D687" s="3">
        <v>3.87</v>
      </c>
      <c r="E687" s="3">
        <v>3.76</v>
      </c>
      <c r="F687" s="3">
        <v>3.87</v>
      </c>
      <c r="G687" s="3">
        <v>259240</v>
      </c>
      <c r="H687" s="8">
        <f t="shared" si="61"/>
        <v>11.111111111111104</v>
      </c>
      <c r="I687">
        <f t="shared" si="62"/>
        <v>3.9539999999999997</v>
      </c>
      <c r="J687" s="6" cm="1">
        <f t="array" ref="J687">_xlfn.STDEV.S(IF($A:$A=A687, $F:$F))</f>
        <v>0.2138457387931777</v>
      </c>
      <c r="P687" s="8">
        <f t="shared" si="63"/>
        <v>11.111111111111104</v>
      </c>
      <c r="Q687" s="8">
        <f t="shared" si="64"/>
        <v>11.111111111111104</v>
      </c>
      <c r="R687" s="10">
        <f t="shared" si="65"/>
        <v>11.111111111111104</v>
      </c>
    </row>
    <row r="688" spans="1:18" x14ac:dyDescent="0.25">
      <c r="A688" s="7">
        <f t="shared" si="60"/>
        <v>138</v>
      </c>
      <c r="B688" s="2">
        <v>43928</v>
      </c>
      <c r="C688" s="3">
        <v>3.87</v>
      </c>
      <c r="D688" s="3">
        <v>3.87</v>
      </c>
      <c r="E688" s="3">
        <v>3.66</v>
      </c>
      <c r="F688" s="3">
        <v>3.83</v>
      </c>
      <c r="G688" s="3">
        <v>230520</v>
      </c>
      <c r="H688" s="8">
        <f t="shared" si="61"/>
        <v>11.111111111111104</v>
      </c>
      <c r="I688">
        <f t="shared" si="62"/>
        <v>3.9539999999999997</v>
      </c>
      <c r="J688" s="6" cm="1">
        <f t="array" ref="J688">_xlfn.STDEV.S(IF($A:$A=A688, $F:$F))</f>
        <v>0.2138457387931777</v>
      </c>
      <c r="P688" s="8">
        <f t="shared" si="63"/>
        <v>11.111111111111104</v>
      </c>
      <c r="Q688" s="8">
        <f t="shared" si="64"/>
        <v>11.111111111111104</v>
      </c>
      <c r="R688" s="10">
        <f t="shared" si="65"/>
        <v>11.111111111111104</v>
      </c>
    </row>
    <row r="689" spans="1:18" x14ac:dyDescent="0.25">
      <c r="A689" s="7">
        <f t="shared" si="60"/>
        <v>138</v>
      </c>
      <c r="B689" s="2">
        <v>43929</v>
      </c>
      <c r="C689" s="3">
        <v>3.78</v>
      </c>
      <c r="D689" s="3">
        <v>3.81</v>
      </c>
      <c r="E689" s="3">
        <v>3.69</v>
      </c>
      <c r="F689" s="3">
        <v>3.76</v>
      </c>
      <c r="G689" s="3">
        <v>199900</v>
      </c>
      <c r="H689" s="8">
        <f t="shared" si="61"/>
        <v>11.111111111111104</v>
      </c>
      <c r="I689">
        <f t="shared" si="62"/>
        <v>3.9539999999999997</v>
      </c>
      <c r="J689" s="6" cm="1">
        <f t="array" ref="J689">_xlfn.STDEV.S(IF($A:$A=A689, $F:$F))</f>
        <v>0.2138457387931777</v>
      </c>
      <c r="P689" s="8">
        <f t="shared" si="63"/>
        <v>11.111111111111104</v>
      </c>
      <c r="Q689" s="8">
        <f t="shared" si="64"/>
        <v>11.111111111111104</v>
      </c>
      <c r="R689" s="10">
        <f t="shared" si="65"/>
        <v>11.111111111111104</v>
      </c>
    </row>
    <row r="690" spans="1:18" x14ac:dyDescent="0.25">
      <c r="A690" s="7">
        <f t="shared" si="60"/>
        <v>138</v>
      </c>
      <c r="B690" s="2">
        <v>43930</v>
      </c>
      <c r="C690" s="3">
        <v>3.76</v>
      </c>
      <c r="D690" s="3">
        <v>4.01</v>
      </c>
      <c r="E690" s="3">
        <v>3.76</v>
      </c>
      <c r="F690" s="3">
        <v>4.01</v>
      </c>
      <c r="G690" s="3">
        <v>514950</v>
      </c>
      <c r="H690" s="8">
        <f t="shared" si="61"/>
        <v>11.111111111111104</v>
      </c>
      <c r="I690">
        <f t="shared" si="62"/>
        <v>3.9539999999999997</v>
      </c>
      <c r="J690" s="6" cm="1">
        <f t="array" ref="J690">_xlfn.STDEV.S(IF($A:$A=A690, $F:$F))</f>
        <v>0.2138457387931777</v>
      </c>
      <c r="P690" s="8">
        <f t="shared" si="63"/>
        <v>11.111111111111104</v>
      </c>
      <c r="Q690" s="8">
        <f t="shared" si="64"/>
        <v>11.111111111111104</v>
      </c>
      <c r="R690" s="10">
        <f t="shared" si="65"/>
        <v>11.111111111111104</v>
      </c>
    </row>
    <row r="691" spans="1:18" x14ac:dyDescent="0.25">
      <c r="A691" s="7">
        <f t="shared" si="60"/>
        <v>138</v>
      </c>
      <c r="B691" s="2">
        <v>43931</v>
      </c>
      <c r="C691" s="3">
        <v>4.3</v>
      </c>
      <c r="D691" s="3">
        <v>4.3</v>
      </c>
      <c r="E691" s="3">
        <v>4.22</v>
      </c>
      <c r="F691" s="3">
        <v>4.3</v>
      </c>
      <c r="G691" s="3">
        <v>1148030</v>
      </c>
      <c r="H691" s="8">
        <f t="shared" si="61"/>
        <v>11.111111111111104</v>
      </c>
      <c r="I691">
        <f t="shared" si="62"/>
        <v>3.9539999999999997</v>
      </c>
      <c r="J691" s="6" cm="1">
        <f t="array" ref="J691">_xlfn.STDEV.S(IF($A:$A=A691, $F:$F))</f>
        <v>0.2138457387931777</v>
      </c>
      <c r="P691" s="8">
        <f t="shared" si="63"/>
        <v>11.111111111111104</v>
      </c>
      <c r="Q691" s="8">
        <f t="shared" si="64"/>
        <v>11.111111111111104</v>
      </c>
      <c r="R691" s="10">
        <f t="shared" si="65"/>
        <v>11.111111111111104</v>
      </c>
    </row>
    <row r="692" spans="1:18" x14ac:dyDescent="0.25">
      <c r="A692" s="7">
        <f t="shared" si="60"/>
        <v>139</v>
      </c>
      <c r="B692" s="2">
        <v>43934</v>
      </c>
      <c r="C692" s="3">
        <v>4.41</v>
      </c>
      <c r="D692" s="3">
        <v>4.5599999999999996</v>
      </c>
      <c r="E692" s="3">
        <v>4.34</v>
      </c>
      <c r="F692" s="3">
        <v>4.3899999999999997</v>
      </c>
      <c r="G692" s="3">
        <v>335150</v>
      </c>
      <c r="H692" s="8">
        <f t="shared" si="61"/>
        <v>10.022779043280192</v>
      </c>
      <c r="I692">
        <f t="shared" si="62"/>
        <v>4.5039999999999996</v>
      </c>
      <c r="J692" s="6" cm="1">
        <f t="array" ref="J692">_xlfn.STDEV.S(IF($A:$A=A692, $F:$F))</f>
        <v>0.21113976413740751</v>
      </c>
      <c r="P692" s="8">
        <f t="shared" si="63"/>
        <v>10.022779043280192</v>
      </c>
      <c r="Q692" s="8">
        <f t="shared" si="64"/>
        <v>10.022779043280192</v>
      </c>
      <c r="R692" s="10">
        <f t="shared" si="65"/>
        <v>10.022779043280192</v>
      </c>
    </row>
    <row r="693" spans="1:18" x14ac:dyDescent="0.25">
      <c r="A693" s="7">
        <f t="shared" si="60"/>
        <v>139</v>
      </c>
      <c r="B693" s="2">
        <v>43935</v>
      </c>
      <c r="C693" s="3">
        <v>4.3899999999999997</v>
      </c>
      <c r="D693" s="3">
        <v>4.3899999999999997</v>
      </c>
      <c r="E693" s="3">
        <v>4.16</v>
      </c>
      <c r="F693" s="3">
        <v>4.2699999999999996</v>
      </c>
      <c r="G693" s="3">
        <v>327760</v>
      </c>
      <c r="H693" s="8">
        <f t="shared" si="61"/>
        <v>10.022779043280192</v>
      </c>
      <c r="I693">
        <f t="shared" si="62"/>
        <v>4.5039999999999996</v>
      </c>
      <c r="J693" s="6" cm="1">
        <f t="array" ref="J693">_xlfn.STDEV.S(IF($A:$A=A693, $F:$F))</f>
        <v>0.21113976413740751</v>
      </c>
      <c r="P693" s="8">
        <f t="shared" si="63"/>
        <v>10.022779043280192</v>
      </c>
      <c r="Q693" s="8">
        <f t="shared" si="64"/>
        <v>10.022779043280192</v>
      </c>
      <c r="R693" s="10">
        <f t="shared" si="65"/>
        <v>10.022779043280192</v>
      </c>
    </row>
    <row r="694" spans="1:18" x14ac:dyDescent="0.25">
      <c r="A694" s="7">
        <f t="shared" si="60"/>
        <v>139</v>
      </c>
      <c r="B694" s="2">
        <v>43936</v>
      </c>
      <c r="C694" s="3">
        <v>4.34</v>
      </c>
      <c r="D694" s="3">
        <v>4.5599999999999996</v>
      </c>
      <c r="E694" s="3">
        <v>4.34</v>
      </c>
      <c r="F694" s="3">
        <v>4.47</v>
      </c>
      <c r="G694" s="3">
        <v>1117240</v>
      </c>
      <c r="H694" s="8">
        <f t="shared" si="61"/>
        <v>10.022779043280192</v>
      </c>
      <c r="I694">
        <f t="shared" si="62"/>
        <v>4.5039999999999996</v>
      </c>
      <c r="J694" s="6" cm="1">
        <f t="array" ref="J694">_xlfn.STDEV.S(IF($A:$A=A694, $F:$F))</f>
        <v>0.21113976413740751</v>
      </c>
      <c r="P694" s="8">
        <f t="shared" si="63"/>
        <v>10.022779043280192</v>
      </c>
      <c r="Q694" s="8">
        <f t="shared" si="64"/>
        <v>10.022779043280192</v>
      </c>
      <c r="R694" s="10">
        <f t="shared" si="65"/>
        <v>10.022779043280192</v>
      </c>
    </row>
    <row r="695" spans="1:18" x14ac:dyDescent="0.25">
      <c r="A695" s="7">
        <f t="shared" si="60"/>
        <v>139</v>
      </c>
      <c r="B695" s="2">
        <v>43937</v>
      </c>
      <c r="C695" s="3">
        <v>4.47</v>
      </c>
      <c r="D695" s="3">
        <v>4.6900000000000004</v>
      </c>
      <c r="E695" s="3">
        <v>4.42</v>
      </c>
      <c r="F695" s="3">
        <v>4.5599999999999996</v>
      </c>
      <c r="G695" s="3">
        <v>327780</v>
      </c>
      <c r="H695" s="8">
        <f t="shared" si="61"/>
        <v>10.022779043280192</v>
      </c>
      <c r="I695">
        <f t="shared" si="62"/>
        <v>4.5039999999999996</v>
      </c>
      <c r="J695" s="6" cm="1">
        <f t="array" ref="J695">_xlfn.STDEV.S(IF($A:$A=A695, $F:$F))</f>
        <v>0.21113976413740751</v>
      </c>
      <c r="P695" s="8">
        <f t="shared" si="63"/>
        <v>10.022779043280192</v>
      </c>
      <c r="Q695" s="8">
        <f t="shared" si="64"/>
        <v>10.022779043280192</v>
      </c>
      <c r="R695" s="10">
        <f t="shared" si="65"/>
        <v>10.022779043280192</v>
      </c>
    </row>
    <row r="696" spans="1:18" x14ac:dyDescent="0.25">
      <c r="A696" s="7">
        <f t="shared" si="60"/>
        <v>139</v>
      </c>
      <c r="B696" s="2">
        <v>43938</v>
      </c>
      <c r="C696" s="3">
        <v>4.5999999999999996</v>
      </c>
      <c r="D696" s="3">
        <v>4.83</v>
      </c>
      <c r="E696" s="3">
        <v>4.5599999999999996</v>
      </c>
      <c r="F696" s="3">
        <v>4.83</v>
      </c>
      <c r="G696" s="3">
        <v>465210</v>
      </c>
      <c r="H696" s="8">
        <f t="shared" si="61"/>
        <v>10.022779043280192</v>
      </c>
      <c r="I696">
        <f t="shared" si="62"/>
        <v>4.5039999999999996</v>
      </c>
      <c r="J696" s="6" cm="1">
        <f t="array" ref="J696">_xlfn.STDEV.S(IF($A:$A=A696, $F:$F))</f>
        <v>0.21113976413740751</v>
      </c>
      <c r="P696" s="8">
        <f t="shared" si="63"/>
        <v>10.022779043280192</v>
      </c>
      <c r="Q696" s="8">
        <f t="shared" si="64"/>
        <v>10.022779043280192</v>
      </c>
      <c r="R696" s="10">
        <f t="shared" si="65"/>
        <v>10.022779043280192</v>
      </c>
    </row>
    <row r="697" spans="1:18" x14ac:dyDescent="0.25">
      <c r="A697" s="7">
        <f t="shared" si="60"/>
        <v>140</v>
      </c>
      <c r="B697" s="2">
        <v>43941</v>
      </c>
      <c r="C697" s="3">
        <v>4.83</v>
      </c>
      <c r="D697" s="3">
        <v>4.8600000000000003</v>
      </c>
      <c r="E697" s="3">
        <v>4.54</v>
      </c>
      <c r="F697" s="3">
        <v>4.66</v>
      </c>
      <c r="G697" s="3">
        <v>902790</v>
      </c>
      <c r="H697" s="8">
        <f t="shared" si="61"/>
        <v>-3.6480686695278952</v>
      </c>
      <c r="I697">
        <f t="shared" si="62"/>
        <v>4.51</v>
      </c>
      <c r="J697" s="6" cm="1">
        <f t="array" ref="J697">_xlfn.STDEV.S(IF($A:$A=A697, $F:$F))</f>
        <v>0.12227019260637492</v>
      </c>
      <c r="P697" s="8">
        <f t="shared" si="63"/>
        <v>-3.6480686695278952</v>
      </c>
      <c r="Q697" s="8">
        <f t="shared" si="64"/>
        <v>-3.6480686695278952</v>
      </c>
      <c r="R697" s="8">
        <f t="shared" si="65"/>
        <v>-3.6480686695278952</v>
      </c>
    </row>
    <row r="698" spans="1:18" x14ac:dyDescent="0.25">
      <c r="A698" s="7">
        <f t="shared" si="60"/>
        <v>140</v>
      </c>
      <c r="B698" s="2">
        <v>43942</v>
      </c>
      <c r="C698" s="3">
        <v>4.5199999999999996</v>
      </c>
      <c r="D698" s="3">
        <v>4.59</v>
      </c>
      <c r="E698" s="3">
        <v>4.34</v>
      </c>
      <c r="F698" s="3">
        <v>4.34</v>
      </c>
      <c r="G698" s="3">
        <v>690330</v>
      </c>
      <c r="H698" s="8">
        <f t="shared" si="61"/>
        <v>-3.6480686695278952</v>
      </c>
      <c r="I698">
        <f t="shared" si="62"/>
        <v>4.51</v>
      </c>
      <c r="J698" s="6" cm="1">
        <f t="array" ref="J698">_xlfn.STDEV.S(IF($A:$A=A698, $F:$F))</f>
        <v>0.12227019260637492</v>
      </c>
      <c r="P698" s="8">
        <f t="shared" si="63"/>
        <v>-3.6480686695278952</v>
      </c>
      <c r="Q698" s="8">
        <f t="shared" si="64"/>
        <v>-3.6480686695278952</v>
      </c>
      <c r="R698" s="8">
        <f t="shared" si="65"/>
        <v>-3.6480686695278952</v>
      </c>
    </row>
    <row r="699" spans="1:18" x14ac:dyDescent="0.25">
      <c r="A699" s="7">
        <f t="shared" si="60"/>
        <v>140</v>
      </c>
      <c r="B699" s="2">
        <v>43943</v>
      </c>
      <c r="C699" s="3">
        <v>4.1500000000000004</v>
      </c>
      <c r="D699" s="3">
        <v>4.54</v>
      </c>
      <c r="E699" s="3">
        <v>4.1500000000000004</v>
      </c>
      <c r="F699" s="3">
        <v>4.47</v>
      </c>
      <c r="G699" s="3">
        <v>460820</v>
      </c>
      <c r="H699" s="8">
        <f t="shared" si="61"/>
        <v>-3.6480686695278952</v>
      </c>
      <c r="I699">
        <f t="shared" si="62"/>
        <v>4.51</v>
      </c>
      <c r="J699" s="6" cm="1">
        <f t="array" ref="J699">_xlfn.STDEV.S(IF($A:$A=A699, $F:$F))</f>
        <v>0.12227019260637492</v>
      </c>
      <c r="P699" s="8">
        <f t="shared" si="63"/>
        <v>-3.6480686695278952</v>
      </c>
      <c r="Q699" s="8">
        <f t="shared" si="64"/>
        <v>-3.6480686695278952</v>
      </c>
      <c r="R699" s="8">
        <f t="shared" si="65"/>
        <v>-3.6480686695278952</v>
      </c>
    </row>
    <row r="700" spans="1:18" x14ac:dyDescent="0.25">
      <c r="A700" s="7">
        <f t="shared" si="60"/>
        <v>140</v>
      </c>
      <c r="B700" s="2">
        <v>43944</v>
      </c>
      <c r="C700" s="3">
        <v>4.59</v>
      </c>
      <c r="D700" s="3">
        <v>4.66</v>
      </c>
      <c r="E700" s="3">
        <v>4.47</v>
      </c>
      <c r="F700" s="3">
        <v>4.59</v>
      </c>
      <c r="G700" s="3">
        <v>603730</v>
      </c>
      <c r="H700" s="8">
        <f t="shared" si="61"/>
        <v>-3.6480686695278952</v>
      </c>
      <c r="I700">
        <f t="shared" si="62"/>
        <v>4.51</v>
      </c>
      <c r="J700" s="6" cm="1">
        <f t="array" ref="J700">_xlfn.STDEV.S(IF($A:$A=A700, $F:$F))</f>
        <v>0.12227019260637492</v>
      </c>
      <c r="P700" s="8">
        <f t="shared" si="63"/>
        <v>-3.6480686695278952</v>
      </c>
      <c r="Q700" s="8">
        <f t="shared" si="64"/>
        <v>-3.6480686695278952</v>
      </c>
      <c r="R700" s="8">
        <f t="shared" si="65"/>
        <v>-3.6480686695278952</v>
      </c>
    </row>
    <row r="701" spans="1:18" x14ac:dyDescent="0.25">
      <c r="A701" s="7">
        <f t="shared" si="60"/>
        <v>140</v>
      </c>
      <c r="B701" s="2">
        <v>43945</v>
      </c>
      <c r="C701" s="3">
        <v>4.5199999999999996</v>
      </c>
      <c r="D701" s="3">
        <v>4.53</v>
      </c>
      <c r="E701" s="3">
        <v>4.47</v>
      </c>
      <c r="F701" s="3">
        <v>4.49</v>
      </c>
      <c r="G701" s="3">
        <v>549750</v>
      </c>
      <c r="H701" s="8">
        <f t="shared" si="61"/>
        <v>-3.6480686695278952</v>
      </c>
      <c r="I701">
        <f t="shared" si="62"/>
        <v>4.51</v>
      </c>
      <c r="J701" s="6" cm="1">
        <f t="array" ref="J701">_xlfn.STDEV.S(IF($A:$A=A701, $F:$F))</f>
        <v>0.12227019260637492</v>
      </c>
      <c r="P701" s="8">
        <f t="shared" si="63"/>
        <v>-3.6480686695278952</v>
      </c>
      <c r="Q701" s="8">
        <f t="shared" si="64"/>
        <v>-3.6480686695278952</v>
      </c>
      <c r="R701" s="8">
        <f t="shared" si="65"/>
        <v>-3.6480686695278952</v>
      </c>
    </row>
    <row r="702" spans="1:18" x14ac:dyDescent="0.25">
      <c r="A702" s="7">
        <f t="shared" si="60"/>
        <v>141</v>
      </c>
      <c r="B702" s="2">
        <v>43948</v>
      </c>
      <c r="C702" s="3">
        <v>4.49</v>
      </c>
      <c r="D702" s="3">
        <v>4.5199999999999996</v>
      </c>
      <c r="E702" s="3">
        <v>4.2699999999999996</v>
      </c>
      <c r="F702" s="3">
        <v>4.3099999999999996</v>
      </c>
      <c r="G702" s="3">
        <v>349740</v>
      </c>
      <c r="H702" s="8">
        <f t="shared" si="61"/>
        <v>4.8723897911832941</v>
      </c>
      <c r="I702">
        <f t="shared" si="62"/>
        <v>4.3559999999999999</v>
      </c>
      <c r="J702" s="6" cm="1">
        <f t="array" ref="J702">_xlfn.STDEV.S(IF($A:$A=A702, $F:$F))</f>
        <v>9.2357999112150396E-2</v>
      </c>
      <c r="P702" s="8">
        <f t="shared" si="63"/>
        <v>4.8723897911832941</v>
      </c>
      <c r="Q702" s="8">
        <f t="shared" si="64"/>
        <v>4.8723897911832941</v>
      </c>
      <c r="R702" s="8">
        <f t="shared" si="65"/>
        <v>4.8723897911832941</v>
      </c>
    </row>
    <row r="703" spans="1:18" x14ac:dyDescent="0.25">
      <c r="A703" s="7">
        <f t="shared" si="60"/>
        <v>141</v>
      </c>
      <c r="B703" s="2">
        <v>43949</v>
      </c>
      <c r="C703" s="3">
        <v>4.3</v>
      </c>
      <c r="D703" s="3">
        <v>4.32</v>
      </c>
      <c r="E703" s="3">
        <v>4.2300000000000004</v>
      </c>
      <c r="F703" s="3">
        <v>4.32</v>
      </c>
      <c r="G703" s="3">
        <v>314120</v>
      </c>
      <c r="H703" s="8">
        <f t="shared" si="61"/>
        <v>4.8723897911832941</v>
      </c>
      <c r="I703">
        <f t="shared" si="62"/>
        <v>4.3559999999999999</v>
      </c>
      <c r="J703" s="6" cm="1">
        <f t="array" ref="J703">_xlfn.STDEV.S(IF($A:$A=A703, $F:$F))</f>
        <v>9.2357999112150396E-2</v>
      </c>
      <c r="P703" s="8">
        <f t="shared" si="63"/>
        <v>4.8723897911832941</v>
      </c>
      <c r="Q703" s="8">
        <f t="shared" si="64"/>
        <v>4.8723897911832941</v>
      </c>
      <c r="R703" s="8">
        <f t="shared" si="65"/>
        <v>4.8723897911832941</v>
      </c>
    </row>
    <row r="704" spans="1:18" x14ac:dyDescent="0.25">
      <c r="A704" s="7">
        <f t="shared" si="60"/>
        <v>141</v>
      </c>
      <c r="B704" s="2">
        <v>43950</v>
      </c>
      <c r="C704" s="3">
        <v>4.3099999999999996</v>
      </c>
      <c r="D704" s="3">
        <v>4.32</v>
      </c>
      <c r="E704" s="3">
        <v>4.25</v>
      </c>
      <c r="F704" s="3">
        <v>4.3</v>
      </c>
      <c r="G704" s="3">
        <v>303380</v>
      </c>
      <c r="H704" s="8">
        <f t="shared" si="61"/>
        <v>4.8723897911832941</v>
      </c>
      <c r="I704">
        <f t="shared" si="62"/>
        <v>4.3559999999999999</v>
      </c>
      <c r="J704" s="6" cm="1">
        <f t="array" ref="J704">_xlfn.STDEV.S(IF($A:$A=A704, $F:$F))</f>
        <v>9.2357999112150396E-2</v>
      </c>
      <c r="P704" s="8">
        <f t="shared" si="63"/>
        <v>4.8723897911832941</v>
      </c>
      <c r="Q704" s="8">
        <f t="shared" si="64"/>
        <v>4.8723897911832941</v>
      </c>
      <c r="R704" s="8">
        <f t="shared" si="65"/>
        <v>4.8723897911832941</v>
      </c>
    </row>
    <row r="705" spans="1:18" x14ac:dyDescent="0.25">
      <c r="A705" s="7">
        <f t="shared" si="60"/>
        <v>141</v>
      </c>
      <c r="B705" s="2">
        <v>43955</v>
      </c>
      <c r="C705" s="3">
        <v>4.2699999999999996</v>
      </c>
      <c r="D705" s="3">
        <v>4.54</v>
      </c>
      <c r="E705" s="3">
        <v>4.25</v>
      </c>
      <c r="F705" s="3">
        <v>4.33</v>
      </c>
      <c r="G705" s="3">
        <v>413270</v>
      </c>
      <c r="H705" s="8">
        <f t="shared" si="61"/>
        <v>4.8723897911832941</v>
      </c>
      <c r="I705">
        <f t="shared" si="62"/>
        <v>4.3559999999999999</v>
      </c>
      <c r="J705" s="6" cm="1">
        <f t="array" ref="J705">_xlfn.STDEV.S(IF($A:$A=A705, $F:$F))</f>
        <v>9.2357999112150396E-2</v>
      </c>
      <c r="P705" s="8">
        <f t="shared" si="63"/>
        <v>4.8723897911832941</v>
      </c>
      <c r="Q705" s="8">
        <f t="shared" si="64"/>
        <v>4.8723897911832941</v>
      </c>
      <c r="R705" s="8">
        <f t="shared" si="65"/>
        <v>4.8723897911832941</v>
      </c>
    </row>
    <row r="706" spans="1:18" x14ac:dyDescent="0.25">
      <c r="A706" s="7">
        <f t="shared" si="60"/>
        <v>141</v>
      </c>
      <c r="B706" s="2">
        <v>43956</v>
      </c>
      <c r="C706" s="3">
        <v>4.4400000000000004</v>
      </c>
      <c r="D706" s="3">
        <v>4.5199999999999996</v>
      </c>
      <c r="E706" s="3">
        <v>4.34</v>
      </c>
      <c r="F706" s="3">
        <v>4.5199999999999996</v>
      </c>
      <c r="G706" s="3">
        <v>281980</v>
      </c>
      <c r="H706" s="8">
        <f t="shared" si="61"/>
        <v>4.8723897911832941</v>
      </c>
      <c r="I706">
        <f t="shared" si="62"/>
        <v>4.3559999999999999</v>
      </c>
      <c r="J706" s="6" cm="1">
        <f t="array" ref="J706">_xlfn.STDEV.S(IF($A:$A=A706, $F:$F))</f>
        <v>9.2357999112150396E-2</v>
      </c>
      <c r="P706" s="8">
        <f t="shared" si="63"/>
        <v>4.8723897911832941</v>
      </c>
      <c r="Q706" s="8">
        <f t="shared" si="64"/>
        <v>4.8723897911832941</v>
      </c>
      <c r="R706" s="8">
        <f t="shared" si="65"/>
        <v>4.8723897911832941</v>
      </c>
    </row>
    <row r="707" spans="1:18" x14ac:dyDescent="0.25">
      <c r="A707" s="7">
        <f t="shared" ref="A707:A770" si="66">INT((ROW(A707)-ROW($A$2))/5) + 1</f>
        <v>142</v>
      </c>
      <c r="B707" s="2">
        <v>43957</v>
      </c>
      <c r="C707" s="3">
        <v>4.5199999999999996</v>
      </c>
      <c r="D707" s="3">
        <v>4.54</v>
      </c>
      <c r="E707" s="3">
        <v>4.47</v>
      </c>
      <c r="F707" s="3">
        <v>4.49</v>
      </c>
      <c r="G707" s="3">
        <v>143670</v>
      </c>
      <c r="H707" s="8">
        <f t="shared" ref="H707:H770" si="67">IF(A707=A706, H706, (F711-F707)/F707*100)</f>
        <v>22.04899777282851</v>
      </c>
      <c r="I707">
        <f t="shared" ref="I707:I770" si="68">AVERAGEIF($A:$A, A707, $F:$F)</f>
        <v>4.9079999999999995</v>
      </c>
      <c r="J707" s="6" cm="1">
        <f t="array" ref="J707">_xlfn.STDEV.S(IF($A:$A=A707, $F:$F))</f>
        <v>0.39833403068279283</v>
      </c>
      <c r="P707" s="8">
        <f t="shared" ref="P707:P770" si="69">IF(A707=A706,P706,(F711-F707)/F707*100)</f>
        <v>22.04899777282851</v>
      </c>
      <c r="Q707" s="8">
        <f t="shared" ref="Q707:Q770" si="70">IF(A707=A706,Q706,(F711-F707)/F707*100)</f>
        <v>22.04899777282851</v>
      </c>
      <c r="R707" s="10">
        <f t="shared" ref="R707:R770" si="71">IF(A707=A706,R706,(F711-F707)/F707*100)</f>
        <v>22.04899777282851</v>
      </c>
    </row>
    <row r="708" spans="1:18" x14ac:dyDescent="0.25">
      <c r="A708" s="7">
        <f t="shared" si="66"/>
        <v>142</v>
      </c>
      <c r="B708" s="2">
        <v>43958</v>
      </c>
      <c r="C708" s="3">
        <v>4.49</v>
      </c>
      <c r="D708" s="3">
        <v>4.6399999999999997</v>
      </c>
      <c r="E708" s="3">
        <v>4.4800000000000004</v>
      </c>
      <c r="F708" s="3">
        <v>4.6399999999999997</v>
      </c>
      <c r="G708" s="3">
        <v>393280</v>
      </c>
      <c r="H708" s="8">
        <f t="shared" si="67"/>
        <v>22.04899777282851</v>
      </c>
      <c r="I708">
        <f t="shared" si="68"/>
        <v>4.9079999999999995</v>
      </c>
      <c r="J708" s="6" cm="1">
        <f t="array" ref="J708">_xlfn.STDEV.S(IF($A:$A=A708, $F:$F))</f>
        <v>0.39833403068279283</v>
      </c>
      <c r="P708" s="8">
        <f t="shared" si="69"/>
        <v>22.04899777282851</v>
      </c>
      <c r="Q708" s="8">
        <f t="shared" si="70"/>
        <v>22.04899777282851</v>
      </c>
      <c r="R708" s="10">
        <f t="shared" si="71"/>
        <v>22.04899777282851</v>
      </c>
    </row>
    <row r="709" spans="1:18" x14ac:dyDescent="0.25">
      <c r="A709" s="7">
        <f t="shared" si="66"/>
        <v>142</v>
      </c>
      <c r="B709" s="2">
        <v>43959</v>
      </c>
      <c r="C709" s="3">
        <v>4.6500000000000004</v>
      </c>
      <c r="D709" s="3">
        <v>4.95</v>
      </c>
      <c r="E709" s="3">
        <v>4.6500000000000004</v>
      </c>
      <c r="F709" s="3">
        <v>4.8</v>
      </c>
      <c r="G709" s="3">
        <v>1299710</v>
      </c>
      <c r="H709" s="8">
        <f t="shared" si="67"/>
        <v>22.04899777282851</v>
      </c>
      <c r="I709">
        <f t="shared" si="68"/>
        <v>4.9079999999999995</v>
      </c>
      <c r="J709" s="6" cm="1">
        <f t="array" ref="J709">_xlfn.STDEV.S(IF($A:$A=A709, $F:$F))</f>
        <v>0.39833403068279283</v>
      </c>
      <c r="P709" s="8">
        <f t="shared" si="69"/>
        <v>22.04899777282851</v>
      </c>
      <c r="Q709" s="8">
        <f t="shared" si="70"/>
        <v>22.04899777282851</v>
      </c>
      <c r="R709" s="10">
        <f t="shared" si="71"/>
        <v>22.04899777282851</v>
      </c>
    </row>
    <row r="710" spans="1:18" x14ac:dyDescent="0.25">
      <c r="A710" s="7">
        <f t="shared" si="66"/>
        <v>142</v>
      </c>
      <c r="B710" s="2">
        <v>43962</v>
      </c>
      <c r="C710" s="3">
        <v>5.09</v>
      </c>
      <c r="D710" s="3">
        <v>5.13</v>
      </c>
      <c r="E710" s="3">
        <v>4.91</v>
      </c>
      <c r="F710" s="3">
        <v>5.13</v>
      </c>
      <c r="G710" s="3">
        <v>725760</v>
      </c>
      <c r="H710" s="8">
        <f t="shared" si="67"/>
        <v>22.04899777282851</v>
      </c>
      <c r="I710">
        <f t="shared" si="68"/>
        <v>4.9079999999999995</v>
      </c>
      <c r="J710" s="6" cm="1">
        <f t="array" ref="J710">_xlfn.STDEV.S(IF($A:$A=A710, $F:$F))</f>
        <v>0.39833403068279283</v>
      </c>
      <c r="P710" s="8">
        <f t="shared" si="69"/>
        <v>22.04899777282851</v>
      </c>
      <c r="Q710" s="8">
        <f t="shared" si="70"/>
        <v>22.04899777282851</v>
      </c>
      <c r="R710" s="10">
        <f t="shared" si="71"/>
        <v>22.04899777282851</v>
      </c>
    </row>
    <row r="711" spans="1:18" x14ac:dyDescent="0.25">
      <c r="A711" s="7">
        <f t="shared" si="66"/>
        <v>142</v>
      </c>
      <c r="B711" s="2">
        <v>43963</v>
      </c>
      <c r="C711" s="3">
        <v>5.48</v>
      </c>
      <c r="D711" s="3">
        <v>5.48</v>
      </c>
      <c r="E711" s="3">
        <v>5.34</v>
      </c>
      <c r="F711" s="3">
        <v>5.48</v>
      </c>
      <c r="G711" s="3">
        <v>1566100</v>
      </c>
      <c r="H711" s="8">
        <f t="shared" si="67"/>
        <v>22.04899777282851</v>
      </c>
      <c r="I711">
        <f t="shared" si="68"/>
        <v>4.9079999999999995</v>
      </c>
      <c r="J711" s="6" cm="1">
        <f t="array" ref="J711">_xlfn.STDEV.S(IF($A:$A=A711, $F:$F))</f>
        <v>0.39833403068279283</v>
      </c>
      <c r="P711" s="8">
        <f t="shared" si="69"/>
        <v>22.04899777282851</v>
      </c>
      <c r="Q711" s="8">
        <f t="shared" si="70"/>
        <v>22.04899777282851</v>
      </c>
      <c r="R711" s="10">
        <f t="shared" si="71"/>
        <v>22.04899777282851</v>
      </c>
    </row>
    <row r="712" spans="1:18" x14ac:dyDescent="0.25">
      <c r="A712" s="7">
        <f t="shared" si="66"/>
        <v>143</v>
      </c>
      <c r="B712" s="2">
        <v>43964</v>
      </c>
      <c r="C712" s="3">
        <v>5.28</v>
      </c>
      <c r="D712" s="3">
        <v>5.47</v>
      </c>
      <c r="E712" s="3">
        <v>5.13</v>
      </c>
      <c r="F712" s="3">
        <v>5.32</v>
      </c>
      <c r="G712" s="3">
        <v>952830</v>
      </c>
      <c r="H712" s="8">
        <f t="shared" si="67"/>
        <v>12.406015037593987</v>
      </c>
      <c r="I712">
        <f t="shared" si="68"/>
        <v>5.6659999999999995</v>
      </c>
      <c r="J712" s="6" cm="1">
        <f t="array" ref="J712">_xlfn.STDEV.S(IF($A:$A=A712, $F:$F))</f>
        <v>0.26130442016927313</v>
      </c>
      <c r="P712" s="8">
        <f t="shared" si="69"/>
        <v>12.406015037593987</v>
      </c>
      <c r="Q712" s="8">
        <f t="shared" si="70"/>
        <v>12.406015037593987</v>
      </c>
      <c r="R712" s="10">
        <f t="shared" si="71"/>
        <v>12.406015037593987</v>
      </c>
    </row>
    <row r="713" spans="1:18" x14ac:dyDescent="0.25">
      <c r="A713" s="7">
        <f t="shared" si="66"/>
        <v>143</v>
      </c>
      <c r="B713" s="2">
        <v>43965</v>
      </c>
      <c r="C713" s="3">
        <v>5.2</v>
      </c>
      <c r="D713" s="3">
        <v>5.69</v>
      </c>
      <c r="E713" s="3">
        <v>5.17</v>
      </c>
      <c r="F713" s="3">
        <v>5.54</v>
      </c>
      <c r="G713" s="3">
        <v>962520</v>
      </c>
      <c r="H713" s="8">
        <f t="shared" si="67"/>
        <v>12.406015037593987</v>
      </c>
      <c r="I713">
        <f t="shared" si="68"/>
        <v>5.6659999999999995</v>
      </c>
      <c r="J713" s="6" cm="1">
        <f t="array" ref="J713">_xlfn.STDEV.S(IF($A:$A=A713, $F:$F))</f>
        <v>0.26130442016927313</v>
      </c>
      <c r="P713" s="8">
        <f t="shared" si="69"/>
        <v>12.406015037593987</v>
      </c>
      <c r="Q713" s="8">
        <f t="shared" si="70"/>
        <v>12.406015037593987</v>
      </c>
      <c r="R713" s="10">
        <f t="shared" si="71"/>
        <v>12.406015037593987</v>
      </c>
    </row>
    <row r="714" spans="1:18" x14ac:dyDescent="0.25">
      <c r="A714" s="7">
        <f t="shared" si="66"/>
        <v>143</v>
      </c>
      <c r="B714" s="2">
        <v>43966</v>
      </c>
      <c r="C714" s="3">
        <v>5.54</v>
      </c>
      <c r="D714" s="3">
        <v>5.83</v>
      </c>
      <c r="E714" s="3">
        <v>5.53</v>
      </c>
      <c r="F714" s="3">
        <v>5.63</v>
      </c>
      <c r="G714" s="3">
        <v>791520</v>
      </c>
      <c r="H714" s="8">
        <f t="shared" si="67"/>
        <v>12.406015037593987</v>
      </c>
      <c r="I714">
        <f t="shared" si="68"/>
        <v>5.6659999999999995</v>
      </c>
      <c r="J714" s="6" cm="1">
        <f t="array" ref="J714">_xlfn.STDEV.S(IF($A:$A=A714, $F:$F))</f>
        <v>0.26130442016927313</v>
      </c>
      <c r="P714" s="8">
        <f t="shared" si="69"/>
        <v>12.406015037593987</v>
      </c>
      <c r="Q714" s="8">
        <f t="shared" si="70"/>
        <v>12.406015037593987</v>
      </c>
      <c r="R714" s="10">
        <f t="shared" si="71"/>
        <v>12.406015037593987</v>
      </c>
    </row>
    <row r="715" spans="1:18" x14ac:dyDescent="0.25">
      <c r="A715" s="7">
        <f t="shared" si="66"/>
        <v>143</v>
      </c>
      <c r="B715" s="2">
        <v>43969</v>
      </c>
      <c r="C715" s="3">
        <v>5.61</v>
      </c>
      <c r="D715" s="3">
        <v>5.93</v>
      </c>
      <c r="E715" s="3">
        <v>5.56</v>
      </c>
      <c r="F715" s="3">
        <v>5.86</v>
      </c>
      <c r="G715" s="3">
        <v>600770</v>
      </c>
      <c r="H715" s="8">
        <f t="shared" si="67"/>
        <v>12.406015037593987</v>
      </c>
      <c r="I715">
        <f t="shared" si="68"/>
        <v>5.6659999999999995</v>
      </c>
      <c r="J715" s="6" cm="1">
        <f t="array" ref="J715">_xlfn.STDEV.S(IF($A:$A=A715, $F:$F))</f>
        <v>0.26130442016927313</v>
      </c>
      <c r="P715" s="8">
        <f t="shared" si="69"/>
        <v>12.406015037593987</v>
      </c>
      <c r="Q715" s="8">
        <f t="shared" si="70"/>
        <v>12.406015037593987</v>
      </c>
      <c r="R715" s="10">
        <f t="shared" si="71"/>
        <v>12.406015037593987</v>
      </c>
    </row>
    <row r="716" spans="1:18" x14ac:dyDescent="0.25">
      <c r="A716" s="7">
        <f t="shared" si="66"/>
        <v>143</v>
      </c>
      <c r="B716" s="2">
        <v>43970</v>
      </c>
      <c r="C716" s="3">
        <v>6</v>
      </c>
      <c r="D716" s="3">
        <v>6.08</v>
      </c>
      <c r="E716" s="3">
        <v>5.74</v>
      </c>
      <c r="F716" s="3">
        <v>5.98</v>
      </c>
      <c r="G716" s="3">
        <v>677230</v>
      </c>
      <c r="H716" s="8">
        <f t="shared" si="67"/>
        <v>12.406015037593987</v>
      </c>
      <c r="I716">
        <f t="shared" si="68"/>
        <v>5.6659999999999995</v>
      </c>
      <c r="J716" s="6" cm="1">
        <f t="array" ref="J716">_xlfn.STDEV.S(IF($A:$A=A716, $F:$F))</f>
        <v>0.26130442016927313</v>
      </c>
      <c r="P716" s="8">
        <f t="shared" si="69"/>
        <v>12.406015037593987</v>
      </c>
      <c r="Q716" s="8">
        <f t="shared" si="70"/>
        <v>12.406015037593987</v>
      </c>
      <c r="R716" s="10">
        <f t="shared" si="71"/>
        <v>12.406015037593987</v>
      </c>
    </row>
    <row r="717" spans="1:18" x14ac:dyDescent="0.25">
      <c r="A717" s="7">
        <f t="shared" si="66"/>
        <v>144</v>
      </c>
      <c r="B717" s="2">
        <v>43971</v>
      </c>
      <c r="C717" s="3">
        <v>5.76</v>
      </c>
      <c r="D717" s="3">
        <v>5.93</v>
      </c>
      <c r="E717" s="3">
        <v>5.76</v>
      </c>
      <c r="F717" s="3">
        <v>5.87</v>
      </c>
      <c r="G717" s="3">
        <v>374340</v>
      </c>
      <c r="H717" s="8">
        <f t="shared" si="67"/>
        <v>-0.17035775127767949</v>
      </c>
      <c r="I717">
        <f t="shared" si="68"/>
        <v>5.758</v>
      </c>
      <c r="J717" s="6" cm="1">
        <f t="array" ref="J717">_xlfn.STDEV.S(IF($A:$A=A717, $F:$F))</f>
        <v>9.9347873656158353E-2</v>
      </c>
      <c r="P717" s="8">
        <f t="shared" si="69"/>
        <v>-0.17035775127767949</v>
      </c>
      <c r="Q717" s="8">
        <f t="shared" si="70"/>
        <v>-0.17035775127767949</v>
      </c>
      <c r="R717" s="8">
        <f t="shared" si="71"/>
        <v>-0.17035775127767949</v>
      </c>
    </row>
    <row r="718" spans="1:18" x14ac:dyDescent="0.25">
      <c r="A718" s="7">
        <f t="shared" si="66"/>
        <v>144</v>
      </c>
      <c r="B718" s="2">
        <v>43972</v>
      </c>
      <c r="C718" s="3">
        <v>5.83</v>
      </c>
      <c r="D718" s="3">
        <v>5.92</v>
      </c>
      <c r="E718" s="3">
        <v>5.56</v>
      </c>
      <c r="F718" s="3">
        <v>5.69</v>
      </c>
      <c r="G718" s="3">
        <v>1134540</v>
      </c>
      <c r="H718" s="8">
        <f t="shared" si="67"/>
        <v>-0.17035775127767949</v>
      </c>
      <c r="I718">
        <f t="shared" si="68"/>
        <v>5.758</v>
      </c>
      <c r="J718" s="6" cm="1">
        <f t="array" ref="J718">_xlfn.STDEV.S(IF($A:$A=A718, $F:$F))</f>
        <v>9.9347873656158353E-2</v>
      </c>
      <c r="P718" s="8">
        <f t="shared" si="69"/>
        <v>-0.17035775127767949</v>
      </c>
      <c r="Q718" s="8">
        <f t="shared" si="70"/>
        <v>-0.17035775127767949</v>
      </c>
      <c r="R718" s="8">
        <f t="shared" si="71"/>
        <v>-0.17035775127767949</v>
      </c>
    </row>
    <row r="719" spans="1:18" x14ac:dyDescent="0.25">
      <c r="A719" s="7">
        <f t="shared" si="66"/>
        <v>144</v>
      </c>
      <c r="B719" s="2">
        <v>43973</v>
      </c>
      <c r="C719" s="3">
        <v>5.71</v>
      </c>
      <c r="D719" s="3">
        <v>5.82</v>
      </c>
      <c r="E719" s="3">
        <v>5.56</v>
      </c>
      <c r="F719" s="3">
        <v>5.66</v>
      </c>
      <c r="G719" s="3">
        <v>798190</v>
      </c>
      <c r="H719" s="8">
        <f t="shared" si="67"/>
        <v>-0.17035775127767949</v>
      </c>
      <c r="I719">
        <f t="shared" si="68"/>
        <v>5.758</v>
      </c>
      <c r="J719" s="6" cm="1">
        <f t="array" ref="J719">_xlfn.STDEV.S(IF($A:$A=A719, $F:$F))</f>
        <v>9.9347873656158353E-2</v>
      </c>
      <c r="P719" s="8">
        <f t="shared" si="69"/>
        <v>-0.17035775127767949</v>
      </c>
      <c r="Q719" s="8">
        <f t="shared" si="70"/>
        <v>-0.17035775127767949</v>
      </c>
      <c r="R719" s="8">
        <f t="shared" si="71"/>
        <v>-0.17035775127767949</v>
      </c>
    </row>
    <row r="720" spans="1:18" x14ac:dyDescent="0.25">
      <c r="A720" s="7">
        <f t="shared" si="66"/>
        <v>144</v>
      </c>
      <c r="B720" s="2">
        <v>43976</v>
      </c>
      <c r="C720" s="3">
        <v>5.66</v>
      </c>
      <c r="D720" s="3">
        <v>5.78</v>
      </c>
      <c r="E720" s="3">
        <v>5.59</v>
      </c>
      <c r="F720" s="3">
        <v>5.71</v>
      </c>
      <c r="G720" s="3">
        <v>744260</v>
      </c>
      <c r="H720" s="8">
        <f t="shared" si="67"/>
        <v>-0.17035775127767949</v>
      </c>
      <c r="I720">
        <f t="shared" si="68"/>
        <v>5.758</v>
      </c>
      <c r="J720" s="6" cm="1">
        <f t="array" ref="J720">_xlfn.STDEV.S(IF($A:$A=A720, $F:$F))</f>
        <v>9.9347873656158353E-2</v>
      </c>
      <c r="P720" s="8">
        <f t="shared" si="69"/>
        <v>-0.17035775127767949</v>
      </c>
      <c r="Q720" s="8">
        <f t="shared" si="70"/>
        <v>-0.17035775127767949</v>
      </c>
      <c r="R720" s="8">
        <f t="shared" si="71"/>
        <v>-0.17035775127767949</v>
      </c>
    </row>
    <row r="721" spans="1:18" x14ac:dyDescent="0.25">
      <c r="A721" s="7">
        <f t="shared" si="66"/>
        <v>144</v>
      </c>
      <c r="B721" s="2">
        <v>43977</v>
      </c>
      <c r="C721" s="3">
        <v>5.71</v>
      </c>
      <c r="D721" s="3">
        <v>5.98</v>
      </c>
      <c r="E721" s="3">
        <v>5.71</v>
      </c>
      <c r="F721" s="3">
        <v>5.86</v>
      </c>
      <c r="G721" s="3">
        <v>920040</v>
      </c>
      <c r="H721" s="8">
        <f t="shared" si="67"/>
        <v>-0.17035775127767949</v>
      </c>
      <c r="I721">
        <f t="shared" si="68"/>
        <v>5.758</v>
      </c>
      <c r="J721" s="6" cm="1">
        <f t="array" ref="J721">_xlfn.STDEV.S(IF($A:$A=A721, $F:$F))</f>
        <v>9.9347873656158353E-2</v>
      </c>
      <c r="P721" s="8">
        <f t="shared" si="69"/>
        <v>-0.17035775127767949</v>
      </c>
      <c r="Q721" s="8">
        <f t="shared" si="70"/>
        <v>-0.17035775127767949</v>
      </c>
      <c r="R721" s="8">
        <f t="shared" si="71"/>
        <v>-0.17035775127767949</v>
      </c>
    </row>
    <row r="722" spans="1:18" x14ac:dyDescent="0.25">
      <c r="A722" s="7">
        <f t="shared" si="66"/>
        <v>145</v>
      </c>
      <c r="B722" s="2">
        <v>43978</v>
      </c>
      <c r="C722" s="3">
        <v>5.93</v>
      </c>
      <c r="D722" s="3">
        <v>5.97</v>
      </c>
      <c r="E722" s="3">
        <v>5.61</v>
      </c>
      <c r="F722" s="3">
        <v>5.61</v>
      </c>
      <c r="G722" s="3">
        <v>747450</v>
      </c>
      <c r="H722" s="8">
        <f t="shared" si="67"/>
        <v>3.5650623885917874</v>
      </c>
      <c r="I722">
        <f t="shared" si="68"/>
        <v>5.6859999999999999</v>
      </c>
      <c r="J722" s="6" cm="1">
        <f t="array" ref="J722">_xlfn.STDEV.S(IF($A:$A=A722, $F:$F))</f>
        <v>0.10163660757817525</v>
      </c>
      <c r="P722" s="8">
        <f t="shared" si="69"/>
        <v>3.5650623885917874</v>
      </c>
      <c r="Q722" s="8">
        <f t="shared" si="70"/>
        <v>3.5650623885917874</v>
      </c>
      <c r="R722" s="8">
        <f t="shared" si="71"/>
        <v>3.5650623885917874</v>
      </c>
    </row>
    <row r="723" spans="1:18" x14ac:dyDescent="0.25">
      <c r="A723" s="7">
        <f t="shared" si="66"/>
        <v>145</v>
      </c>
      <c r="B723" s="2">
        <v>43979</v>
      </c>
      <c r="C723" s="3">
        <v>5.69</v>
      </c>
      <c r="D723" s="3">
        <v>5.74</v>
      </c>
      <c r="E723" s="3">
        <v>5.58</v>
      </c>
      <c r="F723" s="3">
        <v>5.7</v>
      </c>
      <c r="G723" s="3">
        <v>846770</v>
      </c>
      <c r="H723" s="8">
        <f t="shared" si="67"/>
        <v>3.5650623885917874</v>
      </c>
      <c r="I723">
        <f t="shared" si="68"/>
        <v>5.6859999999999999</v>
      </c>
      <c r="J723" s="6" cm="1">
        <f t="array" ref="J723">_xlfn.STDEV.S(IF($A:$A=A723, $F:$F))</f>
        <v>0.10163660757817525</v>
      </c>
      <c r="P723" s="8">
        <f t="shared" si="69"/>
        <v>3.5650623885917874</v>
      </c>
      <c r="Q723" s="8">
        <f t="shared" si="70"/>
        <v>3.5650623885917874</v>
      </c>
      <c r="R723" s="8">
        <f t="shared" si="71"/>
        <v>3.5650623885917874</v>
      </c>
    </row>
    <row r="724" spans="1:18" x14ac:dyDescent="0.25">
      <c r="A724" s="7">
        <f t="shared" si="66"/>
        <v>145</v>
      </c>
      <c r="B724" s="2">
        <v>43980</v>
      </c>
      <c r="C724" s="3">
        <v>5.65</v>
      </c>
      <c r="D724" s="3">
        <v>5.71</v>
      </c>
      <c r="E724" s="3">
        <v>5.53</v>
      </c>
      <c r="F724" s="3">
        <v>5.56</v>
      </c>
      <c r="G724" s="3">
        <v>1256510</v>
      </c>
      <c r="H724" s="8">
        <f t="shared" si="67"/>
        <v>3.5650623885917874</v>
      </c>
      <c r="I724">
        <f t="shared" si="68"/>
        <v>5.6859999999999999</v>
      </c>
      <c r="J724" s="6" cm="1">
        <f t="array" ref="J724">_xlfn.STDEV.S(IF($A:$A=A724, $F:$F))</f>
        <v>0.10163660757817525</v>
      </c>
      <c r="P724" s="8">
        <f t="shared" si="69"/>
        <v>3.5650623885917874</v>
      </c>
      <c r="Q724" s="8">
        <f t="shared" si="70"/>
        <v>3.5650623885917874</v>
      </c>
      <c r="R724" s="8">
        <f t="shared" si="71"/>
        <v>3.5650623885917874</v>
      </c>
    </row>
    <row r="725" spans="1:18" x14ac:dyDescent="0.25">
      <c r="A725" s="7">
        <f t="shared" si="66"/>
        <v>145</v>
      </c>
      <c r="B725" s="2">
        <v>43983</v>
      </c>
      <c r="C725" s="3">
        <v>5.61</v>
      </c>
      <c r="D725" s="3">
        <v>5.76</v>
      </c>
      <c r="E725" s="3">
        <v>5.59</v>
      </c>
      <c r="F725" s="3">
        <v>5.75</v>
      </c>
      <c r="G725" s="3">
        <v>272620</v>
      </c>
      <c r="H725" s="8">
        <f t="shared" si="67"/>
        <v>3.5650623885917874</v>
      </c>
      <c r="I725">
        <f t="shared" si="68"/>
        <v>5.6859999999999999</v>
      </c>
      <c r="J725" s="6" cm="1">
        <f t="array" ref="J725">_xlfn.STDEV.S(IF($A:$A=A725, $F:$F))</f>
        <v>0.10163660757817525</v>
      </c>
      <c r="P725" s="8">
        <f t="shared" si="69"/>
        <v>3.5650623885917874</v>
      </c>
      <c r="Q725" s="8">
        <f t="shared" si="70"/>
        <v>3.5650623885917874</v>
      </c>
      <c r="R725" s="8">
        <f t="shared" si="71"/>
        <v>3.5650623885917874</v>
      </c>
    </row>
    <row r="726" spans="1:18" x14ac:dyDescent="0.25">
      <c r="A726" s="7">
        <f t="shared" si="66"/>
        <v>145</v>
      </c>
      <c r="B726" s="2">
        <v>43984</v>
      </c>
      <c r="C726" s="3">
        <v>5.81</v>
      </c>
      <c r="D726" s="3">
        <v>5.99</v>
      </c>
      <c r="E726" s="3">
        <v>5.8</v>
      </c>
      <c r="F726" s="3">
        <v>5.81</v>
      </c>
      <c r="G726" s="3">
        <v>1134730</v>
      </c>
      <c r="H726" s="8">
        <f t="shared" si="67"/>
        <v>3.5650623885917874</v>
      </c>
      <c r="I726">
        <f t="shared" si="68"/>
        <v>5.6859999999999999</v>
      </c>
      <c r="J726" s="6" cm="1">
        <f t="array" ref="J726">_xlfn.STDEV.S(IF($A:$A=A726, $F:$F))</f>
        <v>0.10163660757817525</v>
      </c>
      <c r="P726" s="8">
        <f t="shared" si="69"/>
        <v>3.5650623885917874</v>
      </c>
      <c r="Q726" s="8">
        <f t="shared" si="70"/>
        <v>3.5650623885917874</v>
      </c>
      <c r="R726" s="8">
        <f t="shared" si="71"/>
        <v>3.5650623885917874</v>
      </c>
    </row>
    <row r="727" spans="1:18" x14ac:dyDescent="0.25">
      <c r="A727" s="7">
        <f t="shared" si="66"/>
        <v>146</v>
      </c>
      <c r="B727" s="2">
        <v>43985</v>
      </c>
      <c r="C727" s="3">
        <v>5.75</v>
      </c>
      <c r="D727" s="3">
        <v>5.89</v>
      </c>
      <c r="E727" s="3">
        <v>5.71</v>
      </c>
      <c r="F727" s="3">
        <v>5.77</v>
      </c>
      <c r="G727" s="3">
        <v>387580</v>
      </c>
      <c r="H727" s="8">
        <f t="shared" si="67"/>
        <v>5.025996533795495</v>
      </c>
      <c r="I727">
        <f t="shared" si="68"/>
        <v>6.0759999999999996</v>
      </c>
      <c r="J727" s="6" cm="1">
        <f t="array" ref="J727">_xlfn.STDEV.S(IF($A:$A=A727, $F:$F))</f>
        <v>0.18379336223052262</v>
      </c>
      <c r="P727" s="8">
        <f t="shared" si="69"/>
        <v>5.025996533795495</v>
      </c>
      <c r="Q727" s="8">
        <f t="shared" si="70"/>
        <v>5.025996533795495</v>
      </c>
      <c r="R727" s="8">
        <f t="shared" si="71"/>
        <v>5.025996533795495</v>
      </c>
    </row>
    <row r="728" spans="1:18" x14ac:dyDescent="0.25">
      <c r="A728" s="7">
        <f t="shared" si="66"/>
        <v>146</v>
      </c>
      <c r="B728" s="2">
        <v>43986</v>
      </c>
      <c r="C728" s="3">
        <v>5.8</v>
      </c>
      <c r="D728" s="3">
        <v>6.17</v>
      </c>
      <c r="E728" s="3">
        <v>5.8</v>
      </c>
      <c r="F728" s="3">
        <v>6.15</v>
      </c>
      <c r="G728" s="3">
        <v>2503400</v>
      </c>
      <c r="H728" s="8">
        <f t="shared" si="67"/>
        <v>5.025996533795495</v>
      </c>
      <c r="I728">
        <f t="shared" si="68"/>
        <v>6.0759999999999996</v>
      </c>
      <c r="J728" s="6" cm="1">
        <f t="array" ref="J728">_xlfn.STDEV.S(IF($A:$A=A728, $F:$F))</f>
        <v>0.18379336223052262</v>
      </c>
      <c r="P728" s="8">
        <f t="shared" si="69"/>
        <v>5.025996533795495</v>
      </c>
      <c r="Q728" s="8">
        <f t="shared" si="70"/>
        <v>5.025996533795495</v>
      </c>
      <c r="R728" s="8">
        <f t="shared" si="71"/>
        <v>5.025996533795495</v>
      </c>
    </row>
    <row r="729" spans="1:18" x14ac:dyDescent="0.25">
      <c r="A729" s="7">
        <f t="shared" si="66"/>
        <v>146</v>
      </c>
      <c r="B729" s="2">
        <v>43987</v>
      </c>
      <c r="C729" s="3">
        <v>6.2</v>
      </c>
      <c r="D729" s="3">
        <v>6.2</v>
      </c>
      <c r="E729" s="3">
        <v>6.05</v>
      </c>
      <c r="F729" s="3">
        <v>6.15</v>
      </c>
      <c r="G729" s="3">
        <v>621890</v>
      </c>
      <c r="H729" s="8">
        <f t="shared" si="67"/>
        <v>5.025996533795495</v>
      </c>
      <c r="I729">
        <f t="shared" si="68"/>
        <v>6.0759999999999996</v>
      </c>
      <c r="J729" s="6" cm="1">
        <f t="array" ref="J729">_xlfn.STDEV.S(IF($A:$A=A729, $F:$F))</f>
        <v>0.18379336223052262</v>
      </c>
      <c r="P729" s="8">
        <f t="shared" si="69"/>
        <v>5.025996533795495</v>
      </c>
      <c r="Q729" s="8">
        <f t="shared" si="70"/>
        <v>5.025996533795495</v>
      </c>
      <c r="R729" s="8">
        <f t="shared" si="71"/>
        <v>5.025996533795495</v>
      </c>
    </row>
    <row r="730" spans="1:18" x14ac:dyDescent="0.25">
      <c r="A730" s="7">
        <f t="shared" si="66"/>
        <v>146</v>
      </c>
      <c r="B730" s="2">
        <v>43990</v>
      </c>
      <c r="C730" s="3">
        <v>6.3</v>
      </c>
      <c r="D730" s="3">
        <v>6.37</v>
      </c>
      <c r="E730" s="3">
        <v>6.15</v>
      </c>
      <c r="F730" s="3">
        <v>6.25</v>
      </c>
      <c r="G730" s="3">
        <v>895100</v>
      </c>
      <c r="H730" s="8">
        <f t="shared" si="67"/>
        <v>5.025996533795495</v>
      </c>
      <c r="I730">
        <f t="shared" si="68"/>
        <v>6.0759999999999996</v>
      </c>
      <c r="J730" s="6" cm="1">
        <f t="array" ref="J730">_xlfn.STDEV.S(IF($A:$A=A730, $F:$F))</f>
        <v>0.18379336223052262</v>
      </c>
      <c r="P730" s="8">
        <f t="shared" si="69"/>
        <v>5.025996533795495</v>
      </c>
      <c r="Q730" s="8">
        <f t="shared" si="70"/>
        <v>5.025996533795495</v>
      </c>
      <c r="R730" s="8">
        <f t="shared" si="71"/>
        <v>5.025996533795495</v>
      </c>
    </row>
    <row r="731" spans="1:18" x14ac:dyDescent="0.25">
      <c r="A731" s="7">
        <f t="shared" si="66"/>
        <v>146</v>
      </c>
      <c r="B731" s="2">
        <v>43991</v>
      </c>
      <c r="C731" s="3">
        <v>6.22</v>
      </c>
      <c r="D731" s="3">
        <v>6.25</v>
      </c>
      <c r="E731" s="3">
        <v>6.03</v>
      </c>
      <c r="F731" s="3">
        <v>6.06</v>
      </c>
      <c r="G731" s="3">
        <v>1394860</v>
      </c>
      <c r="H731" s="8">
        <f t="shared" si="67"/>
        <v>5.025996533795495</v>
      </c>
      <c r="I731">
        <f t="shared" si="68"/>
        <v>6.0759999999999996</v>
      </c>
      <c r="J731" s="6" cm="1">
        <f t="array" ref="J731">_xlfn.STDEV.S(IF($A:$A=A731, $F:$F))</f>
        <v>0.18379336223052262</v>
      </c>
      <c r="P731" s="8">
        <f t="shared" si="69"/>
        <v>5.025996533795495</v>
      </c>
      <c r="Q731" s="8">
        <f t="shared" si="70"/>
        <v>5.025996533795495</v>
      </c>
      <c r="R731" s="8">
        <f t="shared" si="71"/>
        <v>5.025996533795495</v>
      </c>
    </row>
    <row r="732" spans="1:18" x14ac:dyDescent="0.25">
      <c r="A732" s="7">
        <f t="shared" si="66"/>
        <v>147</v>
      </c>
      <c r="B732" s="2">
        <v>43992</v>
      </c>
      <c r="C732" s="3">
        <v>6.03</v>
      </c>
      <c r="D732" s="3">
        <v>6.2</v>
      </c>
      <c r="E732" s="3">
        <v>5.94</v>
      </c>
      <c r="F732" s="3">
        <v>6.16</v>
      </c>
      <c r="G732" s="3">
        <v>1060000</v>
      </c>
      <c r="H732" s="8">
        <f t="shared" si="67"/>
        <v>-11.850649350649357</v>
      </c>
      <c r="I732">
        <f t="shared" si="68"/>
        <v>5.6440000000000001</v>
      </c>
      <c r="J732" s="6" cm="1">
        <f t="array" ref="J732">_xlfn.STDEV.S(IF($A:$A=A732, $F:$F))</f>
        <v>0.34515214036711417</v>
      </c>
      <c r="P732" s="8">
        <f t="shared" si="69"/>
        <v>-11.850649350649357</v>
      </c>
      <c r="Q732" s="8">
        <f t="shared" si="70"/>
        <v>-11.850649350649357</v>
      </c>
      <c r="R732" s="11">
        <f t="shared" si="71"/>
        <v>-11.850649350649357</v>
      </c>
    </row>
    <row r="733" spans="1:18" x14ac:dyDescent="0.25">
      <c r="A733" s="7">
        <f t="shared" si="66"/>
        <v>147</v>
      </c>
      <c r="B733" s="2">
        <v>43993</v>
      </c>
      <c r="C733" s="3">
        <v>6.17</v>
      </c>
      <c r="D733" s="3">
        <v>6.24</v>
      </c>
      <c r="E733" s="3">
        <v>5.74</v>
      </c>
      <c r="F733" s="3">
        <v>5.74</v>
      </c>
      <c r="G733" s="3">
        <v>1309250</v>
      </c>
      <c r="H733" s="8">
        <f t="shared" si="67"/>
        <v>-11.850649350649357</v>
      </c>
      <c r="I733">
        <f t="shared" si="68"/>
        <v>5.6440000000000001</v>
      </c>
      <c r="J733" s="6" cm="1">
        <f t="array" ref="J733">_xlfn.STDEV.S(IF($A:$A=A733, $F:$F))</f>
        <v>0.34515214036711417</v>
      </c>
      <c r="P733" s="8">
        <f t="shared" si="69"/>
        <v>-11.850649350649357</v>
      </c>
      <c r="Q733" s="8">
        <f t="shared" si="70"/>
        <v>-11.850649350649357</v>
      </c>
      <c r="R733" s="11">
        <f t="shared" si="71"/>
        <v>-11.850649350649357</v>
      </c>
    </row>
    <row r="734" spans="1:18" x14ac:dyDescent="0.25">
      <c r="A734" s="7">
        <f t="shared" si="66"/>
        <v>147</v>
      </c>
      <c r="B734" s="2">
        <v>43994</v>
      </c>
      <c r="C734" s="3">
        <v>5.36</v>
      </c>
      <c r="D734" s="3">
        <v>5.64</v>
      </c>
      <c r="E734" s="3">
        <v>5.34</v>
      </c>
      <c r="F734" s="3">
        <v>5.64</v>
      </c>
      <c r="G734" s="3">
        <v>1141200</v>
      </c>
      <c r="H734" s="8">
        <f t="shared" si="67"/>
        <v>-11.850649350649357</v>
      </c>
      <c r="I734">
        <f t="shared" si="68"/>
        <v>5.6440000000000001</v>
      </c>
      <c r="J734" s="6" cm="1">
        <f t="array" ref="J734">_xlfn.STDEV.S(IF($A:$A=A734, $F:$F))</f>
        <v>0.34515214036711417</v>
      </c>
      <c r="P734" s="8">
        <f t="shared" si="69"/>
        <v>-11.850649350649357</v>
      </c>
      <c r="Q734" s="8">
        <f t="shared" si="70"/>
        <v>-11.850649350649357</v>
      </c>
      <c r="R734" s="11">
        <f t="shared" si="71"/>
        <v>-11.850649350649357</v>
      </c>
    </row>
    <row r="735" spans="1:18" x14ac:dyDescent="0.25">
      <c r="A735" s="7">
        <f t="shared" si="66"/>
        <v>147</v>
      </c>
      <c r="B735" s="2">
        <v>43997</v>
      </c>
      <c r="C735" s="3">
        <v>5.64</v>
      </c>
      <c r="D735" s="3">
        <v>5.64</v>
      </c>
      <c r="E735" s="3">
        <v>5.25</v>
      </c>
      <c r="F735" s="3">
        <v>5.25</v>
      </c>
      <c r="G735" s="3">
        <v>1023220</v>
      </c>
      <c r="H735" s="8">
        <f t="shared" si="67"/>
        <v>-11.850649350649357</v>
      </c>
      <c r="I735">
        <f t="shared" si="68"/>
        <v>5.6440000000000001</v>
      </c>
      <c r="J735" s="6" cm="1">
        <f t="array" ref="J735">_xlfn.STDEV.S(IF($A:$A=A735, $F:$F))</f>
        <v>0.34515214036711417</v>
      </c>
      <c r="P735" s="8">
        <f t="shared" si="69"/>
        <v>-11.850649350649357</v>
      </c>
      <c r="Q735" s="8">
        <f t="shared" si="70"/>
        <v>-11.850649350649357</v>
      </c>
      <c r="R735" s="11">
        <f t="shared" si="71"/>
        <v>-11.850649350649357</v>
      </c>
    </row>
    <row r="736" spans="1:18" x14ac:dyDescent="0.25">
      <c r="A736" s="7">
        <f t="shared" si="66"/>
        <v>147</v>
      </c>
      <c r="B736" s="2">
        <v>43998</v>
      </c>
      <c r="C736" s="3">
        <v>5.42</v>
      </c>
      <c r="D736" s="3">
        <v>5.53</v>
      </c>
      <c r="E736" s="3">
        <v>5.34</v>
      </c>
      <c r="F736" s="3">
        <v>5.43</v>
      </c>
      <c r="G736" s="3">
        <v>865980</v>
      </c>
      <c r="H736" s="8">
        <f t="shared" si="67"/>
        <v>-11.850649350649357</v>
      </c>
      <c r="I736">
        <f t="shared" si="68"/>
        <v>5.6440000000000001</v>
      </c>
      <c r="J736" s="6" cm="1">
        <f t="array" ref="J736">_xlfn.STDEV.S(IF($A:$A=A736, $F:$F))</f>
        <v>0.34515214036711417</v>
      </c>
      <c r="P736" s="8">
        <f t="shared" si="69"/>
        <v>-11.850649350649357</v>
      </c>
      <c r="Q736" s="8">
        <f t="shared" si="70"/>
        <v>-11.850649350649357</v>
      </c>
      <c r="R736" s="11">
        <f t="shared" si="71"/>
        <v>-11.850649350649357</v>
      </c>
    </row>
    <row r="737" spans="1:18" x14ac:dyDescent="0.25">
      <c r="A737" s="7">
        <f t="shared" si="66"/>
        <v>148</v>
      </c>
      <c r="B737" s="2">
        <v>43999</v>
      </c>
      <c r="C737" s="3">
        <v>5.44</v>
      </c>
      <c r="D737" s="3">
        <v>5.52</v>
      </c>
      <c r="E737" s="3">
        <v>5.3</v>
      </c>
      <c r="F737" s="3">
        <v>5.42</v>
      </c>
      <c r="G737" s="3">
        <v>574740</v>
      </c>
      <c r="H737" s="8">
        <f t="shared" si="67"/>
        <v>7.380073800738014</v>
      </c>
      <c r="I737">
        <f t="shared" si="68"/>
        <v>5.5439999999999996</v>
      </c>
      <c r="J737" s="6" cm="1">
        <f t="array" ref="J737">_xlfn.STDEV.S(IF($A:$A=A737, $F:$F))</f>
        <v>0.18689569283426527</v>
      </c>
      <c r="P737" s="8">
        <f t="shared" si="69"/>
        <v>7.380073800738014</v>
      </c>
      <c r="Q737" s="8">
        <f t="shared" si="70"/>
        <v>7.380073800738014</v>
      </c>
      <c r="R737" s="8">
        <f t="shared" si="71"/>
        <v>7.380073800738014</v>
      </c>
    </row>
    <row r="738" spans="1:18" x14ac:dyDescent="0.25">
      <c r="A738" s="7">
        <f t="shared" si="66"/>
        <v>148</v>
      </c>
      <c r="B738" s="2">
        <v>44000</v>
      </c>
      <c r="C738" s="3">
        <v>5.42</v>
      </c>
      <c r="D738" s="3">
        <v>5.43</v>
      </c>
      <c r="E738" s="3">
        <v>5.3</v>
      </c>
      <c r="F738" s="3">
        <v>5.33</v>
      </c>
      <c r="G738" s="3">
        <v>397870</v>
      </c>
      <c r="H738" s="8">
        <f t="shared" si="67"/>
        <v>7.380073800738014</v>
      </c>
      <c r="I738">
        <f t="shared" si="68"/>
        <v>5.5439999999999996</v>
      </c>
      <c r="J738" s="6" cm="1">
        <f t="array" ref="J738">_xlfn.STDEV.S(IF($A:$A=A738, $F:$F))</f>
        <v>0.18689569283426527</v>
      </c>
      <c r="P738" s="8">
        <f t="shared" si="69"/>
        <v>7.380073800738014</v>
      </c>
      <c r="Q738" s="8">
        <f t="shared" si="70"/>
        <v>7.380073800738014</v>
      </c>
      <c r="R738" s="8">
        <f t="shared" si="71"/>
        <v>7.380073800738014</v>
      </c>
    </row>
    <row r="739" spans="1:18" x14ac:dyDescent="0.25">
      <c r="A739" s="7">
        <f t="shared" si="66"/>
        <v>148</v>
      </c>
      <c r="B739" s="2">
        <v>44001</v>
      </c>
      <c r="C739" s="3">
        <v>5.34</v>
      </c>
      <c r="D739" s="3">
        <v>5.58</v>
      </c>
      <c r="E739" s="3">
        <v>5.34</v>
      </c>
      <c r="F739" s="3">
        <v>5.56</v>
      </c>
      <c r="G739" s="3">
        <v>801950</v>
      </c>
      <c r="H739" s="8">
        <f t="shared" si="67"/>
        <v>7.380073800738014</v>
      </c>
      <c r="I739">
        <f t="shared" si="68"/>
        <v>5.5439999999999996</v>
      </c>
      <c r="J739" s="6" cm="1">
        <f t="array" ref="J739">_xlfn.STDEV.S(IF($A:$A=A739, $F:$F))</f>
        <v>0.18689569283426527</v>
      </c>
      <c r="P739" s="8">
        <f t="shared" si="69"/>
        <v>7.380073800738014</v>
      </c>
      <c r="Q739" s="8">
        <f t="shared" si="70"/>
        <v>7.380073800738014</v>
      </c>
      <c r="R739" s="8">
        <f t="shared" si="71"/>
        <v>7.380073800738014</v>
      </c>
    </row>
    <row r="740" spans="1:18" x14ac:dyDescent="0.25">
      <c r="A740" s="7">
        <f t="shared" si="66"/>
        <v>148</v>
      </c>
      <c r="B740" s="2">
        <v>44004</v>
      </c>
      <c r="C740" s="3">
        <v>5.59</v>
      </c>
      <c r="D740" s="3">
        <v>5.72</v>
      </c>
      <c r="E740" s="3">
        <v>5.56</v>
      </c>
      <c r="F740" s="3">
        <v>5.59</v>
      </c>
      <c r="G740" s="3">
        <v>459520</v>
      </c>
      <c r="H740" s="8">
        <f t="shared" si="67"/>
        <v>7.380073800738014</v>
      </c>
      <c r="I740">
        <f t="shared" si="68"/>
        <v>5.5439999999999996</v>
      </c>
      <c r="J740" s="6" cm="1">
        <f t="array" ref="J740">_xlfn.STDEV.S(IF($A:$A=A740, $F:$F))</f>
        <v>0.18689569283426527</v>
      </c>
      <c r="P740" s="8">
        <f t="shared" si="69"/>
        <v>7.380073800738014</v>
      </c>
      <c r="Q740" s="8">
        <f t="shared" si="70"/>
        <v>7.380073800738014</v>
      </c>
      <c r="R740" s="8">
        <f t="shared" si="71"/>
        <v>7.380073800738014</v>
      </c>
    </row>
    <row r="741" spans="1:18" x14ac:dyDescent="0.25">
      <c r="A741" s="7">
        <f t="shared" si="66"/>
        <v>148</v>
      </c>
      <c r="B741" s="2">
        <v>44005</v>
      </c>
      <c r="C741" s="3">
        <v>5.69</v>
      </c>
      <c r="D741" s="3">
        <v>5.92</v>
      </c>
      <c r="E741" s="3">
        <v>5.61</v>
      </c>
      <c r="F741" s="3">
        <v>5.82</v>
      </c>
      <c r="G741" s="3">
        <v>1347280</v>
      </c>
      <c r="H741" s="8">
        <f t="shared" si="67"/>
        <v>7.380073800738014</v>
      </c>
      <c r="I741">
        <f t="shared" si="68"/>
        <v>5.5439999999999996</v>
      </c>
      <c r="J741" s="6" cm="1">
        <f t="array" ref="J741">_xlfn.STDEV.S(IF($A:$A=A741, $F:$F))</f>
        <v>0.18689569283426527</v>
      </c>
      <c r="P741" s="8">
        <f t="shared" si="69"/>
        <v>7.380073800738014</v>
      </c>
      <c r="Q741" s="8">
        <f t="shared" si="70"/>
        <v>7.380073800738014</v>
      </c>
      <c r="R741" s="8">
        <f t="shared" si="71"/>
        <v>7.380073800738014</v>
      </c>
    </row>
    <row r="742" spans="1:18" x14ac:dyDescent="0.25">
      <c r="A742" s="7">
        <f t="shared" si="66"/>
        <v>149</v>
      </c>
      <c r="B742" s="2">
        <v>44006</v>
      </c>
      <c r="C742" s="3">
        <v>5.82</v>
      </c>
      <c r="D742" s="3">
        <v>5.96</v>
      </c>
      <c r="E742" s="3">
        <v>5.49</v>
      </c>
      <c r="F742" s="3">
        <v>5.61</v>
      </c>
      <c r="G742" s="3">
        <v>722350</v>
      </c>
      <c r="H742" s="8">
        <f t="shared" si="67"/>
        <v>-10.873440285204996</v>
      </c>
      <c r="I742">
        <f t="shared" si="68"/>
        <v>5.36</v>
      </c>
      <c r="J742" s="6" cm="1">
        <f t="array" ref="J742">_xlfn.STDEV.S(IF($A:$A=A742, $F:$F))</f>
        <v>0.27739863013360411</v>
      </c>
      <c r="P742" s="8">
        <f t="shared" si="69"/>
        <v>-10.873440285204996</v>
      </c>
      <c r="Q742" s="8">
        <f t="shared" si="70"/>
        <v>-10.873440285204996</v>
      </c>
      <c r="R742" s="11">
        <f t="shared" si="71"/>
        <v>-10.873440285204996</v>
      </c>
    </row>
    <row r="743" spans="1:18" x14ac:dyDescent="0.25">
      <c r="A743" s="7">
        <f t="shared" si="66"/>
        <v>149</v>
      </c>
      <c r="B743" s="2">
        <v>44007</v>
      </c>
      <c r="C743" s="3">
        <v>5.49</v>
      </c>
      <c r="D743" s="3">
        <v>5.66</v>
      </c>
      <c r="E743" s="3">
        <v>5.45</v>
      </c>
      <c r="F743" s="3">
        <v>5.58</v>
      </c>
      <c r="G743" s="3">
        <v>509950</v>
      </c>
      <c r="H743" s="8">
        <f t="shared" si="67"/>
        <v>-10.873440285204996</v>
      </c>
      <c r="I743">
        <f t="shared" si="68"/>
        <v>5.36</v>
      </c>
      <c r="J743" s="6" cm="1">
        <f t="array" ref="J743">_xlfn.STDEV.S(IF($A:$A=A743, $F:$F))</f>
        <v>0.27739863013360411</v>
      </c>
      <c r="P743" s="8">
        <f t="shared" si="69"/>
        <v>-10.873440285204996</v>
      </c>
      <c r="Q743" s="8">
        <f t="shared" si="70"/>
        <v>-10.873440285204996</v>
      </c>
      <c r="R743" s="11">
        <f t="shared" si="71"/>
        <v>-10.873440285204996</v>
      </c>
    </row>
    <row r="744" spans="1:18" x14ac:dyDescent="0.25">
      <c r="A744" s="7">
        <f t="shared" si="66"/>
        <v>149</v>
      </c>
      <c r="B744" s="2">
        <v>44008</v>
      </c>
      <c r="C744" s="3">
        <v>5.58</v>
      </c>
      <c r="D744" s="3">
        <v>5.71</v>
      </c>
      <c r="E744" s="3">
        <v>5.34</v>
      </c>
      <c r="F744" s="3">
        <v>5.48</v>
      </c>
      <c r="G744" s="3">
        <v>768440</v>
      </c>
      <c r="H744" s="8">
        <f t="shared" si="67"/>
        <v>-10.873440285204996</v>
      </c>
      <c r="I744">
        <f t="shared" si="68"/>
        <v>5.36</v>
      </c>
      <c r="J744" s="6" cm="1">
        <f t="array" ref="J744">_xlfn.STDEV.S(IF($A:$A=A744, $F:$F))</f>
        <v>0.27739863013360411</v>
      </c>
      <c r="P744" s="8">
        <f t="shared" si="69"/>
        <v>-10.873440285204996</v>
      </c>
      <c r="Q744" s="8">
        <f t="shared" si="70"/>
        <v>-10.873440285204996</v>
      </c>
      <c r="R744" s="11">
        <f t="shared" si="71"/>
        <v>-10.873440285204996</v>
      </c>
    </row>
    <row r="745" spans="1:18" x14ac:dyDescent="0.25">
      <c r="A745" s="7">
        <f t="shared" si="66"/>
        <v>149</v>
      </c>
      <c r="B745" s="2">
        <v>44011</v>
      </c>
      <c r="C745" s="3">
        <v>5.36</v>
      </c>
      <c r="D745" s="3">
        <v>5.48</v>
      </c>
      <c r="E745" s="3">
        <v>5.1100000000000003</v>
      </c>
      <c r="F745" s="3">
        <v>5.13</v>
      </c>
      <c r="G745" s="3">
        <v>739540</v>
      </c>
      <c r="H745" s="8">
        <f t="shared" si="67"/>
        <v>-10.873440285204996</v>
      </c>
      <c r="I745">
        <f t="shared" si="68"/>
        <v>5.36</v>
      </c>
      <c r="J745" s="6" cm="1">
        <f t="array" ref="J745">_xlfn.STDEV.S(IF($A:$A=A745, $F:$F))</f>
        <v>0.27739863013360411</v>
      </c>
      <c r="P745" s="8">
        <f t="shared" si="69"/>
        <v>-10.873440285204996</v>
      </c>
      <c r="Q745" s="8">
        <f t="shared" si="70"/>
        <v>-10.873440285204996</v>
      </c>
      <c r="R745" s="11">
        <f t="shared" si="71"/>
        <v>-10.873440285204996</v>
      </c>
    </row>
    <row r="746" spans="1:18" x14ac:dyDescent="0.25">
      <c r="A746" s="7">
        <f t="shared" si="66"/>
        <v>149</v>
      </c>
      <c r="B746" s="2">
        <v>44012</v>
      </c>
      <c r="C746" s="3">
        <v>5.3</v>
      </c>
      <c r="D746" s="3">
        <v>5.32</v>
      </c>
      <c r="E746" s="3">
        <v>4.97</v>
      </c>
      <c r="F746" s="3">
        <v>5</v>
      </c>
      <c r="G746" s="3">
        <v>863550</v>
      </c>
      <c r="H746" s="8">
        <f t="shared" si="67"/>
        <v>-10.873440285204996</v>
      </c>
      <c r="I746">
        <f t="shared" si="68"/>
        <v>5.36</v>
      </c>
      <c r="J746" s="6" cm="1">
        <f t="array" ref="J746">_xlfn.STDEV.S(IF($A:$A=A746, $F:$F))</f>
        <v>0.27739863013360411</v>
      </c>
      <c r="P746" s="8">
        <f t="shared" si="69"/>
        <v>-10.873440285204996</v>
      </c>
      <c r="Q746" s="8">
        <f t="shared" si="70"/>
        <v>-10.873440285204996</v>
      </c>
      <c r="R746" s="11">
        <f t="shared" si="71"/>
        <v>-10.873440285204996</v>
      </c>
    </row>
    <row r="747" spans="1:18" x14ac:dyDescent="0.25">
      <c r="A747" s="7">
        <f t="shared" si="66"/>
        <v>150</v>
      </c>
      <c r="B747" s="2">
        <v>44013</v>
      </c>
      <c r="C747" s="3">
        <v>5.13</v>
      </c>
      <c r="D747" s="3">
        <v>5.34</v>
      </c>
      <c r="E747" s="3">
        <v>5</v>
      </c>
      <c r="F747" s="3">
        <v>5.34</v>
      </c>
      <c r="G747" s="3">
        <v>373730</v>
      </c>
      <c r="H747" s="8">
        <f t="shared" si="67"/>
        <v>4.6816479400749067</v>
      </c>
      <c r="I747">
        <f t="shared" si="68"/>
        <v>5.476</v>
      </c>
      <c r="J747" s="6" cm="1">
        <f t="array" ref="J747">_xlfn.STDEV.S(IF($A:$A=A747, $F:$F))</f>
        <v>0.10737783756436896</v>
      </c>
      <c r="P747" s="8">
        <f t="shared" si="69"/>
        <v>4.6816479400749067</v>
      </c>
      <c r="Q747" s="8">
        <f t="shared" si="70"/>
        <v>4.6816479400749067</v>
      </c>
      <c r="R747" s="8">
        <f t="shared" si="71"/>
        <v>4.6816479400749067</v>
      </c>
    </row>
    <row r="748" spans="1:18" x14ac:dyDescent="0.25">
      <c r="A748" s="7">
        <f t="shared" si="66"/>
        <v>150</v>
      </c>
      <c r="B748" s="2">
        <v>44014</v>
      </c>
      <c r="C748" s="3">
        <v>5.48</v>
      </c>
      <c r="D748" s="3">
        <v>5.56</v>
      </c>
      <c r="E748" s="3">
        <v>5.39</v>
      </c>
      <c r="F748" s="3">
        <v>5.42</v>
      </c>
      <c r="G748" s="3">
        <v>275590</v>
      </c>
      <c r="H748" s="8">
        <f t="shared" si="67"/>
        <v>4.6816479400749067</v>
      </c>
      <c r="I748">
        <f t="shared" si="68"/>
        <v>5.476</v>
      </c>
      <c r="J748" s="6" cm="1">
        <f t="array" ref="J748">_xlfn.STDEV.S(IF($A:$A=A748, $F:$F))</f>
        <v>0.10737783756436896</v>
      </c>
      <c r="P748" s="8">
        <f t="shared" si="69"/>
        <v>4.6816479400749067</v>
      </c>
      <c r="Q748" s="8">
        <f t="shared" si="70"/>
        <v>4.6816479400749067</v>
      </c>
      <c r="R748" s="8">
        <f t="shared" si="71"/>
        <v>4.6816479400749067</v>
      </c>
    </row>
    <row r="749" spans="1:18" x14ac:dyDescent="0.25">
      <c r="A749" s="7">
        <f t="shared" si="66"/>
        <v>150</v>
      </c>
      <c r="B749" s="2">
        <v>44015</v>
      </c>
      <c r="C749" s="3">
        <v>5.49</v>
      </c>
      <c r="D749" s="3">
        <v>5.49</v>
      </c>
      <c r="E749" s="3">
        <v>5.38</v>
      </c>
      <c r="F749" s="3">
        <v>5.45</v>
      </c>
      <c r="G749" s="3">
        <v>425360</v>
      </c>
      <c r="H749" s="8">
        <f t="shared" si="67"/>
        <v>4.6816479400749067</v>
      </c>
      <c r="I749">
        <f t="shared" si="68"/>
        <v>5.476</v>
      </c>
      <c r="J749" s="6" cm="1">
        <f t="array" ref="J749">_xlfn.STDEV.S(IF($A:$A=A749, $F:$F))</f>
        <v>0.10737783756436896</v>
      </c>
      <c r="P749" s="8">
        <f t="shared" si="69"/>
        <v>4.6816479400749067</v>
      </c>
      <c r="Q749" s="8">
        <f t="shared" si="70"/>
        <v>4.6816479400749067</v>
      </c>
      <c r="R749" s="8">
        <f t="shared" si="71"/>
        <v>4.6816479400749067</v>
      </c>
    </row>
    <row r="750" spans="1:18" x14ac:dyDescent="0.25">
      <c r="A750" s="7">
        <f t="shared" si="66"/>
        <v>150</v>
      </c>
      <c r="B750" s="2">
        <v>44018</v>
      </c>
      <c r="C750" s="3">
        <v>5.59</v>
      </c>
      <c r="D750" s="3">
        <v>5.59</v>
      </c>
      <c r="E750" s="3">
        <v>5.47</v>
      </c>
      <c r="F750" s="3">
        <v>5.58</v>
      </c>
      <c r="G750" s="3">
        <v>328790</v>
      </c>
      <c r="H750" s="8">
        <f t="shared" si="67"/>
        <v>4.6816479400749067</v>
      </c>
      <c r="I750">
        <f t="shared" si="68"/>
        <v>5.476</v>
      </c>
      <c r="J750" s="6" cm="1">
        <f t="array" ref="J750">_xlfn.STDEV.S(IF($A:$A=A750, $F:$F))</f>
        <v>0.10737783756436896</v>
      </c>
      <c r="P750" s="8">
        <f t="shared" si="69"/>
        <v>4.6816479400749067</v>
      </c>
      <c r="Q750" s="8">
        <f t="shared" si="70"/>
        <v>4.6816479400749067</v>
      </c>
      <c r="R750" s="8">
        <f t="shared" si="71"/>
        <v>4.6816479400749067</v>
      </c>
    </row>
    <row r="751" spans="1:18" x14ac:dyDescent="0.25">
      <c r="A751" s="7">
        <f t="shared" si="66"/>
        <v>150</v>
      </c>
      <c r="B751" s="2">
        <v>44019</v>
      </c>
      <c r="C751" s="3">
        <v>5.71</v>
      </c>
      <c r="D751" s="3">
        <v>5.76</v>
      </c>
      <c r="E751" s="3">
        <v>5.59</v>
      </c>
      <c r="F751" s="3">
        <v>5.59</v>
      </c>
      <c r="G751" s="3">
        <v>911110</v>
      </c>
      <c r="H751" s="8">
        <f t="shared" si="67"/>
        <v>4.6816479400749067</v>
      </c>
      <c r="I751">
        <f t="shared" si="68"/>
        <v>5.476</v>
      </c>
      <c r="J751" s="6" cm="1">
        <f t="array" ref="J751">_xlfn.STDEV.S(IF($A:$A=A751, $F:$F))</f>
        <v>0.10737783756436896</v>
      </c>
      <c r="P751" s="8">
        <f t="shared" si="69"/>
        <v>4.6816479400749067</v>
      </c>
      <c r="Q751" s="8">
        <f t="shared" si="70"/>
        <v>4.6816479400749067</v>
      </c>
      <c r="R751" s="8">
        <f t="shared" si="71"/>
        <v>4.6816479400749067</v>
      </c>
    </row>
    <row r="752" spans="1:18" x14ac:dyDescent="0.25">
      <c r="A752" s="7">
        <f t="shared" si="66"/>
        <v>151</v>
      </c>
      <c r="B752" s="2">
        <v>44020</v>
      </c>
      <c r="C752" s="3">
        <v>5.59</v>
      </c>
      <c r="D752" s="3">
        <v>5.8</v>
      </c>
      <c r="E752" s="3">
        <v>5.54</v>
      </c>
      <c r="F752" s="3">
        <v>5.78</v>
      </c>
      <c r="G752" s="3">
        <v>681070</v>
      </c>
      <c r="H752" s="8">
        <f t="shared" si="67"/>
        <v>5.7093425605536341</v>
      </c>
      <c r="I752">
        <f t="shared" si="68"/>
        <v>5.9739999999999993</v>
      </c>
      <c r="J752" s="6" cm="1">
        <f t="array" ref="J752">_xlfn.STDEV.S(IF($A:$A=A752, $F:$F))</f>
        <v>0.13538833036861045</v>
      </c>
      <c r="P752" s="8">
        <f t="shared" si="69"/>
        <v>5.7093425605536341</v>
      </c>
      <c r="Q752" s="8">
        <f t="shared" si="70"/>
        <v>5.7093425605536341</v>
      </c>
      <c r="R752" s="8">
        <f t="shared" si="71"/>
        <v>5.7093425605536341</v>
      </c>
    </row>
    <row r="753" spans="1:18" x14ac:dyDescent="0.25">
      <c r="A753" s="7">
        <f t="shared" si="66"/>
        <v>151</v>
      </c>
      <c r="B753" s="2">
        <v>44021</v>
      </c>
      <c r="C753" s="3">
        <v>5.83</v>
      </c>
      <c r="D753" s="3">
        <v>5.98</v>
      </c>
      <c r="E753" s="3">
        <v>5.82</v>
      </c>
      <c r="F753" s="3">
        <v>5.89</v>
      </c>
      <c r="G753" s="3">
        <v>911920</v>
      </c>
      <c r="H753" s="8">
        <f t="shared" si="67"/>
        <v>5.7093425605536341</v>
      </c>
      <c r="I753">
        <f t="shared" si="68"/>
        <v>5.9739999999999993</v>
      </c>
      <c r="J753" s="6" cm="1">
        <f t="array" ref="J753">_xlfn.STDEV.S(IF($A:$A=A753, $F:$F))</f>
        <v>0.13538833036861045</v>
      </c>
      <c r="P753" s="8">
        <f t="shared" si="69"/>
        <v>5.7093425605536341</v>
      </c>
      <c r="Q753" s="8">
        <f t="shared" si="70"/>
        <v>5.7093425605536341</v>
      </c>
      <c r="R753" s="8">
        <f t="shared" si="71"/>
        <v>5.7093425605536341</v>
      </c>
    </row>
    <row r="754" spans="1:18" x14ac:dyDescent="0.25">
      <c r="A754" s="7">
        <f t="shared" si="66"/>
        <v>151</v>
      </c>
      <c r="B754" s="2">
        <v>44022</v>
      </c>
      <c r="C754" s="3">
        <v>5.89</v>
      </c>
      <c r="D754" s="3">
        <v>6.2</v>
      </c>
      <c r="E754" s="3">
        <v>5.89</v>
      </c>
      <c r="F754" s="3">
        <v>6.05</v>
      </c>
      <c r="G754" s="3">
        <v>1770990</v>
      </c>
      <c r="H754" s="8">
        <f t="shared" si="67"/>
        <v>5.7093425605536341</v>
      </c>
      <c r="I754">
        <f t="shared" si="68"/>
        <v>5.9739999999999993</v>
      </c>
      <c r="J754" s="6" cm="1">
        <f t="array" ref="J754">_xlfn.STDEV.S(IF($A:$A=A754, $F:$F))</f>
        <v>0.13538833036861045</v>
      </c>
      <c r="P754" s="8">
        <f t="shared" si="69"/>
        <v>5.7093425605536341</v>
      </c>
      <c r="Q754" s="8">
        <f t="shared" si="70"/>
        <v>5.7093425605536341</v>
      </c>
      <c r="R754" s="8">
        <f t="shared" si="71"/>
        <v>5.7093425605536341</v>
      </c>
    </row>
    <row r="755" spans="1:18" x14ac:dyDescent="0.25">
      <c r="A755" s="7">
        <f t="shared" si="66"/>
        <v>151</v>
      </c>
      <c r="B755" s="2">
        <v>44025</v>
      </c>
      <c r="C755" s="3">
        <v>6.1</v>
      </c>
      <c r="D755" s="3">
        <v>6.1</v>
      </c>
      <c r="E755" s="3">
        <v>6</v>
      </c>
      <c r="F755" s="3">
        <v>6.04</v>
      </c>
      <c r="G755" s="3">
        <v>647150</v>
      </c>
      <c r="H755" s="8">
        <f t="shared" si="67"/>
        <v>5.7093425605536341</v>
      </c>
      <c r="I755">
        <f t="shared" si="68"/>
        <v>5.9739999999999993</v>
      </c>
      <c r="J755" s="6" cm="1">
        <f t="array" ref="J755">_xlfn.STDEV.S(IF($A:$A=A755, $F:$F))</f>
        <v>0.13538833036861045</v>
      </c>
      <c r="P755" s="8">
        <f t="shared" si="69"/>
        <v>5.7093425605536341</v>
      </c>
      <c r="Q755" s="8">
        <f t="shared" si="70"/>
        <v>5.7093425605536341</v>
      </c>
      <c r="R755" s="8">
        <f t="shared" si="71"/>
        <v>5.7093425605536341</v>
      </c>
    </row>
    <row r="756" spans="1:18" x14ac:dyDescent="0.25">
      <c r="A756" s="7">
        <f t="shared" si="66"/>
        <v>151</v>
      </c>
      <c r="B756" s="2">
        <v>44026</v>
      </c>
      <c r="C756" s="3">
        <v>6.04</v>
      </c>
      <c r="D756" s="3">
        <v>6.19</v>
      </c>
      <c r="E756" s="3">
        <v>5.93</v>
      </c>
      <c r="F756" s="3">
        <v>6.11</v>
      </c>
      <c r="G756" s="3">
        <v>780520</v>
      </c>
      <c r="H756" s="8">
        <f t="shared" si="67"/>
        <v>5.7093425605536341</v>
      </c>
      <c r="I756">
        <f t="shared" si="68"/>
        <v>5.9739999999999993</v>
      </c>
      <c r="J756" s="6" cm="1">
        <f t="array" ref="J756">_xlfn.STDEV.S(IF($A:$A=A756, $F:$F))</f>
        <v>0.13538833036861045</v>
      </c>
      <c r="P756" s="8">
        <f t="shared" si="69"/>
        <v>5.7093425605536341</v>
      </c>
      <c r="Q756" s="8">
        <f t="shared" si="70"/>
        <v>5.7093425605536341</v>
      </c>
      <c r="R756" s="8">
        <f t="shared" si="71"/>
        <v>5.7093425605536341</v>
      </c>
    </row>
    <row r="757" spans="1:18" x14ac:dyDescent="0.25">
      <c r="A757" s="7">
        <f t="shared" si="66"/>
        <v>152</v>
      </c>
      <c r="B757" s="2">
        <v>44027</v>
      </c>
      <c r="C757" s="3">
        <v>6.2</v>
      </c>
      <c r="D757" s="3">
        <v>6.21</v>
      </c>
      <c r="E757" s="3">
        <v>6.05</v>
      </c>
      <c r="F757" s="3">
        <v>6.08</v>
      </c>
      <c r="G757" s="3">
        <v>661280</v>
      </c>
      <c r="H757" s="8">
        <f t="shared" si="67"/>
        <v>-0.98684210526316596</v>
      </c>
      <c r="I757">
        <f t="shared" si="68"/>
        <v>6.0459999999999994</v>
      </c>
      <c r="J757" s="6" cm="1">
        <f t="array" ref="J757">_xlfn.STDEV.S(IF($A:$A=A757, $F:$F))</f>
        <v>2.9664793948382739E-2</v>
      </c>
      <c r="P757" s="8">
        <f t="shared" si="69"/>
        <v>-0.98684210526316596</v>
      </c>
      <c r="Q757" s="8">
        <f t="shared" si="70"/>
        <v>-0.98684210526316596</v>
      </c>
      <c r="R757" s="8">
        <f t="shared" si="71"/>
        <v>-0.98684210526316596</v>
      </c>
    </row>
    <row r="758" spans="1:18" x14ac:dyDescent="0.25">
      <c r="A758" s="7">
        <f t="shared" si="66"/>
        <v>152</v>
      </c>
      <c r="B758" s="2">
        <v>44028</v>
      </c>
      <c r="C758" s="3">
        <v>6.21</v>
      </c>
      <c r="D758" s="3">
        <v>6.21</v>
      </c>
      <c r="E758" s="3">
        <v>6.01</v>
      </c>
      <c r="F758" s="3">
        <v>6.06</v>
      </c>
      <c r="G758" s="3">
        <v>497370</v>
      </c>
      <c r="H758" s="8">
        <f t="shared" si="67"/>
        <v>-0.98684210526316596</v>
      </c>
      <c r="I758">
        <f t="shared" si="68"/>
        <v>6.0459999999999994</v>
      </c>
      <c r="J758" s="6" cm="1">
        <f t="array" ref="J758">_xlfn.STDEV.S(IF($A:$A=A758, $F:$F))</f>
        <v>2.9664793948382739E-2</v>
      </c>
      <c r="P758" s="8">
        <f t="shared" si="69"/>
        <v>-0.98684210526316596</v>
      </c>
      <c r="Q758" s="8">
        <f t="shared" si="70"/>
        <v>-0.98684210526316596</v>
      </c>
      <c r="R758" s="8">
        <f t="shared" si="71"/>
        <v>-0.98684210526316596</v>
      </c>
    </row>
    <row r="759" spans="1:18" x14ac:dyDescent="0.25">
      <c r="A759" s="7">
        <f t="shared" si="66"/>
        <v>152</v>
      </c>
      <c r="B759" s="2">
        <v>44029</v>
      </c>
      <c r="C759" s="3">
        <v>6.08</v>
      </c>
      <c r="D759" s="3">
        <v>6.08</v>
      </c>
      <c r="E759" s="3">
        <v>5.97</v>
      </c>
      <c r="F759" s="3">
        <v>6.01</v>
      </c>
      <c r="G759" s="3">
        <v>318800</v>
      </c>
      <c r="H759" s="8">
        <f t="shared" si="67"/>
        <v>-0.98684210526316596</v>
      </c>
      <c r="I759">
        <f t="shared" si="68"/>
        <v>6.0459999999999994</v>
      </c>
      <c r="J759" s="6" cm="1">
        <f t="array" ref="J759">_xlfn.STDEV.S(IF($A:$A=A759, $F:$F))</f>
        <v>2.9664793948382739E-2</v>
      </c>
      <c r="P759" s="8">
        <f t="shared" si="69"/>
        <v>-0.98684210526316596</v>
      </c>
      <c r="Q759" s="8">
        <f t="shared" si="70"/>
        <v>-0.98684210526316596</v>
      </c>
      <c r="R759" s="8">
        <f t="shared" si="71"/>
        <v>-0.98684210526316596</v>
      </c>
    </row>
    <row r="760" spans="1:18" x14ac:dyDescent="0.25">
      <c r="A760" s="7">
        <f t="shared" si="66"/>
        <v>152</v>
      </c>
      <c r="B760" s="2">
        <v>44032</v>
      </c>
      <c r="C760" s="3">
        <v>6.02</v>
      </c>
      <c r="D760" s="3">
        <v>6.13</v>
      </c>
      <c r="E760" s="3">
        <v>5.97</v>
      </c>
      <c r="F760" s="3">
        <v>6.06</v>
      </c>
      <c r="G760" s="3">
        <v>599990</v>
      </c>
      <c r="H760" s="8">
        <f t="shared" si="67"/>
        <v>-0.98684210526316596</v>
      </c>
      <c r="I760">
        <f t="shared" si="68"/>
        <v>6.0459999999999994</v>
      </c>
      <c r="J760" s="6" cm="1">
        <f t="array" ref="J760">_xlfn.STDEV.S(IF($A:$A=A760, $F:$F))</f>
        <v>2.9664793948382739E-2</v>
      </c>
      <c r="P760" s="8">
        <f t="shared" si="69"/>
        <v>-0.98684210526316596</v>
      </c>
      <c r="Q760" s="8">
        <f t="shared" si="70"/>
        <v>-0.98684210526316596</v>
      </c>
      <c r="R760" s="8">
        <f t="shared" si="71"/>
        <v>-0.98684210526316596</v>
      </c>
    </row>
    <row r="761" spans="1:18" x14ac:dyDescent="0.25">
      <c r="A761" s="7">
        <f t="shared" si="66"/>
        <v>152</v>
      </c>
      <c r="B761" s="2">
        <v>44033</v>
      </c>
      <c r="C761" s="3">
        <v>6.1</v>
      </c>
      <c r="D761" s="3">
        <v>6.1</v>
      </c>
      <c r="E761" s="3">
        <v>5.9</v>
      </c>
      <c r="F761" s="3">
        <v>6.02</v>
      </c>
      <c r="G761" s="3">
        <v>481600</v>
      </c>
      <c r="H761" s="8">
        <f t="shared" si="67"/>
        <v>-0.98684210526316596</v>
      </c>
      <c r="I761">
        <f t="shared" si="68"/>
        <v>6.0459999999999994</v>
      </c>
      <c r="J761" s="6" cm="1">
        <f t="array" ref="J761">_xlfn.STDEV.S(IF($A:$A=A761, $F:$F))</f>
        <v>2.9664793948382739E-2</v>
      </c>
      <c r="P761" s="8">
        <f t="shared" si="69"/>
        <v>-0.98684210526316596</v>
      </c>
      <c r="Q761" s="8">
        <f t="shared" si="70"/>
        <v>-0.98684210526316596</v>
      </c>
      <c r="R761" s="8">
        <f t="shared" si="71"/>
        <v>-0.98684210526316596</v>
      </c>
    </row>
    <row r="762" spans="1:18" x14ac:dyDescent="0.25">
      <c r="A762" s="7">
        <f t="shared" si="66"/>
        <v>153</v>
      </c>
      <c r="B762" s="2">
        <v>44034</v>
      </c>
      <c r="C762" s="3">
        <v>6.1</v>
      </c>
      <c r="D762" s="3">
        <v>6.1</v>
      </c>
      <c r="E762" s="3">
        <v>5.84</v>
      </c>
      <c r="F762" s="3">
        <v>5.87</v>
      </c>
      <c r="G762" s="3">
        <v>604490</v>
      </c>
      <c r="H762" s="8">
        <f t="shared" si="67"/>
        <v>-7.1550255536626901</v>
      </c>
      <c r="I762">
        <f t="shared" si="68"/>
        <v>5.5860000000000003</v>
      </c>
      <c r="J762" s="6" cm="1">
        <f t="array" ref="J762">_xlfn.STDEV.S(IF($A:$A=A762, $F:$F))</f>
        <v>0.28307242889409046</v>
      </c>
      <c r="P762" s="8">
        <f t="shared" si="69"/>
        <v>-7.1550255536626901</v>
      </c>
      <c r="Q762" s="8">
        <f t="shared" si="70"/>
        <v>-7.1550255536626901</v>
      </c>
      <c r="R762" s="8">
        <f t="shared" si="71"/>
        <v>-7.1550255536626901</v>
      </c>
    </row>
    <row r="763" spans="1:18" x14ac:dyDescent="0.25">
      <c r="A763" s="7">
        <f t="shared" si="66"/>
        <v>153</v>
      </c>
      <c r="B763" s="2">
        <v>44035</v>
      </c>
      <c r="C763" s="3">
        <v>5.8</v>
      </c>
      <c r="D763" s="3">
        <v>5.87</v>
      </c>
      <c r="E763" s="3">
        <v>5.7</v>
      </c>
      <c r="F763" s="3">
        <v>5.84</v>
      </c>
      <c r="G763" s="3">
        <v>672430</v>
      </c>
      <c r="H763" s="8">
        <f t="shared" si="67"/>
        <v>-7.1550255536626901</v>
      </c>
      <c r="I763">
        <f t="shared" si="68"/>
        <v>5.5860000000000003</v>
      </c>
      <c r="J763" s="6" cm="1">
        <f t="array" ref="J763">_xlfn.STDEV.S(IF($A:$A=A763, $F:$F))</f>
        <v>0.28307242889409046</v>
      </c>
      <c r="P763" s="8">
        <f t="shared" si="69"/>
        <v>-7.1550255536626901</v>
      </c>
      <c r="Q763" s="8">
        <f t="shared" si="70"/>
        <v>-7.1550255536626901</v>
      </c>
      <c r="R763" s="8">
        <f t="shared" si="71"/>
        <v>-7.1550255536626901</v>
      </c>
    </row>
    <row r="764" spans="1:18" x14ac:dyDescent="0.25">
      <c r="A764" s="7">
        <f t="shared" si="66"/>
        <v>153</v>
      </c>
      <c r="B764" s="2">
        <v>44036</v>
      </c>
      <c r="C764" s="3">
        <v>5.84</v>
      </c>
      <c r="D764" s="3">
        <v>5.84</v>
      </c>
      <c r="E764" s="3">
        <v>5.44</v>
      </c>
      <c r="F764" s="3">
        <v>5.58</v>
      </c>
      <c r="G764" s="3">
        <v>1533360</v>
      </c>
      <c r="H764" s="8">
        <f t="shared" si="67"/>
        <v>-7.1550255536626901</v>
      </c>
      <c r="I764">
        <f t="shared" si="68"/>
        <v>5.5860000000000003</v>
      </c>
      <c r="J764" s="6" cm="1">
        <f t="array" ref="J764">_xlfn.STDEV.S(IF($A:$A=A764, $F:$F))</f>
        <v>0.28307242889409046</v>
      </c>
      <c r="P764" s="8">
        <f t="shared" si="69"/>
        <v>-7.1550255536626901</v>
      </c>
      <c r="Q764" s="8">
        <f t="shared" si="70"/>
        <v>-7.1550255536626901</v>
      </c>
      <c r="R764" s="8">
        <f t="shared" si="71"/>
        <v>-7.1550255536626901</v>
      </c>
    </row>
    <row r="765" spans="1:18" x14ac:dyDescent="0.25">
      <c r="A765" s="7">
        <f t="shared" si="66"/>
        <v>153</v>
      </c>
      <c r="B765" s="2">
        <v>44039</v>
      </c>
      <c r="C765" s="3">
        <v>5.27</v>
      </c>
      <c r="D765" s="3">
        <v>5.44</v>
      </c>
      <c r="E765" s="3">
        <v>5.19</v>
      </c>
      <c r="F765" s="3">
        <v>5.19</v>
      </c>
      <c r="G765" s="3">
        <v>1595680</v>
      </c>
      <c r="H765" s="8">
        <f t="shared" si="67"/>
        <v>-7.1550255536626901</v>
      </c>
      <c r="I765">
        <f t="shared" si="68"/>
        <v>5.5860000000000003</v>
      </c>
      <c r="J765" s="6" cm="1">
        <f t="array" ref="J765">_xlfn.STDEV.S(IF($A:$A=A765, $F:$F))</f>
        <v>0.28307242889409046</v>
      </c>
      <c r="P765" s="8">
        <f t="shared" si="69"/>
        <v>-7.1550255536626901</v>
      </c>
      <c r="Q765" s="8">
        <f t="shared" si="70"/>
        <v>-7.1550255536626901</v>
      </c>
      <c r="R765" s="8">
        <f t="shared" si="71"/>
        <v>-7.1550255536626901</v>
      </c>
    </row>
    <row r="766" spans="1:18" x14ac:dyDescent="0.25">
      <c r="A766" s="7">
        <f t="shared" si="66"/>
        <v>153</v>
      </c>
      <c r="B766" s="2">
        <v>44040</v>
      </c>
      <c r="C766" s="3">
        <v>5.19</v>
      </c>
      <c r="D766" s="3">
        <v>5.45</v>
      </c>
      <c r="E766" s="3">
        <v>5.17</v>
      </c>
      <c r="F766" s="3">
        <v>5.45</v>
      </c>
      <c r="G766" s="3">
        <v>713060</v>
      </c>
      <c r="H766" s="8">
        <f t="shared" si="67"/>
        <v>-7.1550255536626901</v>
      </c>
      <c r="I766">
        <f t="shared" si="68"/>
        <v>5.5860000000000003</v>
      </c>
      <c r="J766" s="6" cm="1">
        <f t="array" ref="J766">_xlfn.STDEV.S(IF($A:$A=A766, $F:$F))</f>
        <v>0.28307242889409046</v>
      </c>
      <c r="P766" s="8">
        <f t="shared" si="69"/>
        <v>-7.1550255536626901</v>
      </c>
      <c r="Q766" s="8">
        <f t="shared" si="70"/>
        <v>-7.1550255536626901</v>
      </c>
      <c r="R766" s="8">
        <f t="shared" si="71"/>
        <v>-7.1550255536626901</v>
      </c>
    </row>
    <row r="767" spans="1:18" x14ac:dyDescent="0.25">
      <c r="A767" s="7">
        <f t="shared" si="66"/>
        <v>154</v>
      </c>
      <c r="B767" s="2">
        <v>44041</v>
      </c>
      <c r="C767" s="3">
        <v>5.27</v>
      </c>
      <c r="D767" s="3">
        <v>5.4</v>
      </c>
      <c r="E767" s="3">
        <v>5.13</v>
      </c>
      <c r="F767" s="3">
        <v>5.31</v>
      </c>
      <c r="G767" s="3">
        <v>761760</v>
      </c>
      <c r="H767" s="8">
        <f t="shared" si="67"/>
        <v>4.7080979284369118</v>
      </c>
      <c r="I767">
        <f t="shared" si="68"/>
        <v>5.3659999999999997</v>
      </c>
      <c r="J767" s="6" cm="1">
        <f t="array" ref="J767">_xlfn.STDEV.S(IF($A:$A=A767, $F:$F))</f>
        <v>0.13575713609236165</v>
      </c>
      <c r="P767" s="8">
        <f t="shared" si="69"/>
        <v>4.7080979284369118</v>
      </c>
      <c r="Q767" s="8">
        <f t="shared" si="70"/>
        <v>4.7080979284369118</v>
      </c>
      <c r="R767" s="8">
        <f t="shared" si="71"/>
        <v>4.7080979284369118</v>
      </c>
    </row>
    <row r="768" spans="1:18" x14ac:dyDescent="0.25">
      <c r="A768" s="7">
        <f t="shared" si="66"/>
        <v>154</v>
      </c>
      <c r="B768" s="2">
        <v>44042</v>
      </c>
      <c r="C768" s="3">
        <v>5.4</v>
      </c>
      <c r="D768" s="3">
        <v>5.52</v>
      </c>
      <c r="E768" s="3">
        <v>5.31</v>
      </c>
      <c r="F768" s="3">
        <v>5.31</v>
      </c>
      <c r="G768" s="3">
        <v>313810</v>
      </c>
      <c r="H768" s="8">
        <f t="shared" si="67"/>
        <v>4.7080979284369118</v>
      </c>
      <c r="I768">
        <f t="shared" si="68"/>
        <v>5.3659999999999997</v>
      </c>
      <c r="J768" s="6" cm="1">
        <f t="array" ref="J768">_xlfn.STDEV.S(IF($A:$A=A768, $F:$F))</f>
        <v>0.13575713609236165</v>
      </c>
      <c r="P768" s="8">
        <f t="shared" si="69"/>
        <v>4.7080979284369118</v>
      </c>
      <c r="Q768" s="8">
        <f t="shared" si="70"/>
        <v>4.7080979284369118</v>
      </c>
      <c r="R768" s="8">
        <f t="shared" si="71"/>
        <v>4.7080979284369118</v>
      </c>
    </row>
    <row r="769" spans="1:18" x14ac:dyDescent="0.25">
      <c r="A769" s="7">
        <f t="shared" si="66"/>
        <v>154</v>
      </c>
      <c r="B769" s="2">
        <v>44043</v>
      </c>
      <c r="C769" s="3">
        <v>5.17</v>
      </c>
      <c r="D769" s="3">
        <v>5.38</v>
      </c>
      <c r="E769" s="3">
        <v>5.17</v>
      </c>
      <c r="F769" s="3">
        <v>5.21</v>
      </c>
      <c r="G769" s="3">
        <v>257670</v>
      </c>
      <c r="H769" s="8">
        <f t="shared" si="67"/>
        <v>4.7080979284369118</v>
      </c>
      <c r="I769">
        <f t="shared" si="68"/>
        <v>5.3659999999999997</v>
      </c>
      <c r="J769" s="6" cm="1">
        <f t="array" ref="J769">_xlfn.STDEV.S(IF($A:$A=A769, $F:$F))</f>
        <v>0.13575713609236165</v>
      </c>
      <c r="P769" s="8">
        <f t="shared" si="69"/>
        <v>4.7080979284369118</v>
      </c>
      <c r="Q769" s="8">
        <f t="shared" si="70"/>
        <v>4.7080979284369118</v>
      </c>
      <c r="R769" s="8">
        <f t="shared" si="71"/>
        <v>4.7080979284369118</v>
      </c>
    </row>
    <row r="770" spans="1:18" x14ac:dyDescent="0.25">
      <c r="A770" s="7">
        <f t="shared" si="66"/>
        <v>154</v>
      </c>
      <c r="B770" s="2">
        <v>44046</v>
      </c>
      <c r="C770" s="3">
        <v>5.31</v>
      </c>
      <c r="D770" s="3">
        <v>5.44</v>
      </c>
      <c r="E770" s="3">
        <v>5.22</v>
      </c>
      <c r="F770" s="3">
        <v>5.44</v>
      </c>
      <c r="G770" s="3">
        <v>303080</v>
      </c>
      <c r="H770" s="8">
        <f t="shared" si="67"/>
        <v>4.7080979284369118</v>
      </c>
      <c r="I770">
        <f t="shared" si="68"/>
        <v>5.3659999999999997</v>
      </c>
      <c r="J770" s="6" cm="1">
        <f t="array" ref="J770">_xlfn.STDEV.S(IF($A:$A=A770, $F:$F))</f>
        <v>0.13575713609236165</v>
      </c>
      <c r="P770" s="8">
        <f t="shared" si="69"/>
        <v>4.7080979284369118</v>
      </c>
      <c r="Q770" s="8">
        <f t="shared" si="70"/>
        <v>4.7080979284369118</v>
      </c>
      <c r="R770" s="8">
        <f t="shared" si="71"/>
        <v>4.7080979284369118</v>
      </c>
    </row>
    <row r="771" spans="1:18" x14ac:dyDescent="0.25">
      <c r="A771" s="7">
        <f t="shared" ref="A771:A834" si="72">INT((ROW(A771)-ROW($A$2))/5) + 1</f>
        <v>154</v>
      </c>
      <c r="B771" s="2">
        <v>44047</v>
      </c>
      <c r="C771" s="3">
        <v>5.51</v>
      </c>
      <c r="D771" s="3">
        <v>5.65</v>
      </c>
      <c r="E771" s="3">
        <v>5.51</v>
      </c>
      <c r="F771" s="3">
        <v>5.56</v>
      </c>
      <c r="G771" s="3">
        <v>316050</v>
      </c>
      <c r="H771" s="8">
        <f t="shared" ref="H771:H834" si="73">IF(A771=A770, H770, (F775-F771)/F771*100)</f>
        <v>4.7080979284369118</v>
      </c>
      <c r="I771">
        <f t="shared" ref="I771:I834" si="74">AVERAGEIF($A:$A, A771, $F:$F)</f>
        <v>5.3659999999999997</v>
      </c>
      <c r="J771" s="6" cm="1">
        <f t="array" ref="J771">_xlfn.STDEV.S(IF($A:$A=A771, $F:$F))</f>
        <v>0.13575713609236165</v>
      </c>
      <c r="P771" s="8">
        <f t="shared" ref="P771:P834" si="75">IF(A771=A770,P770,(F775-F771)/F771*100)</f>
        <v>4.7080979284369118</v>
      </c>
      <c r="Q771" s="8">
        <f t="shared" ref="Q771:Q834" si="76">IF(A771=A770,Q770,(F775-F771)/F771*100)</f>
        <v>4.7080979284369118</v>
      </c>
      <c r="R771" s="8">
        <f t="shared" ref="R771:R834" si="77">IF(A771=A770,R770,(F775-F771)/F771*100)</f>
        <v>4.7080979284369118</v>
      </c>
    </row>
    <row r="772" spans="1:18" x14ac:dyDescent="0.25">
      <c r="A772" s="7">
        <f t="shared" si="72"/>
        <v>155</v>
      </c>
      <c r="B772" s="2">
        <v>44048</v>
      </c>
      <c r="C772" s="3">
        <v>5.58</v>
      </c>
      <c r="D772" s="3">
        <v>5.64</v>
      </c>
      <c r="E772" s="3">
        <v>5.45</v>
      </c>
      <c r="F772" s="3">
        <v>5.6</v>
      </c>
      <c r="G772" s="3">
        <v>316960</v>
      </c>
      <c r="H772" s="8">
        <f t="shared" si="73"/>
        <v>1.9642857142857202</v>
      </c>
      <c r="I772">
        <f t="shared" si="74"/>
        <v>5.5939999999999994</v>
      </c>
      <c r="J772" s="6" cm="1">
        <f t="array" ref="J772">_xlfn.STDEV.S(IF($A:$A=A772, $F:$F))</f>
        <v>6.8410525505948339E-2</v>
      </c>
      <c r="P772" s="8">
        <f t="shared" si="75"/>
        <v>1.9642857142857202</v>
      </c>
      <c r="Q772" s="8">
        <f t="shared" si="76"/>
        <v>1.9642857142857202</v>
      </c>
      <c r="R772" s="8">
        <f t="shared" si="77"/>
        <v>1.9642857142857202</v>
      </c>
    </row>
    <row r="773" spans="1:18" x14ac:dyDescent="0.25">
      <c r="A773" s="7">
        <f t="shared" si="72"/>
        <v>155</v>
      </c>
      <c r="B773" s="2">
        <v>44049</v>
      </c>
      <c r="C773" s="3">
        <v>5.61</v>
      </c>
      <c r="D773" s="3">
        <v>5.66</v>
      </c>
      <c r="E773" s="3">
        <v>5.52</v>
      </c>
      <c r="F773" s="3">
        <v>5.54</v>
      </c>
      <c r="G773" s="3">
        <v>362070</v>
      </c>
      <c r="H773" s="8">
        <f t="shared" si="73"/>
        <v>1.9642857142857202</v>
      </c>
      <c r="I773">
        <f t="shared" si="74"/>
        <v>5.5939999999999994</v>
      </c>
      <c r="J773" s="6" cm="1">
        <f t="array" ref="J773">_xlfn.STDEV.S(IF($A:$A=A773, $F:$F))</f>
        <v>6.8410525505948339E-2</v>
      </c>
      <c r="P773" s="8">
        <f t="shared" si="75"/>
        <v>1.9642857142857202</v>
      </c>
      <c r="Q773" s="8">
        <f t="shared" si="76"/>
        <v>1.9642857142857202</v>
      </c>
      <c r="R773" s="8">
        <f t="shared" si="77"/>
        <v>1.9642857142857202</v>
      </c>
    </row>
    <row r="774" spans="1:18" x14ac:dyDescent="0.25">
      <c r="A774" s="7">
        <f t="shared" si="72"/>
        <v>155</v>
      </c>
      <c r="B774" s="2">
        <v>44050</v>
      </c>
      <c r="C774" s="3">
        <v>5.54</v>
      </c>
      <c r="D774" s="3">
        <v>5.58</v>
      </c>
      <c r="E774" s="3">
        <v>5.51</v>
      </c>
      <c r="F774" s="3">
        <v>5.56</v>
      </c>
      <c r="G774" s="3">
        <v>150520</v>
      </c>
      <c r="H774" s="8">
        <f t="shared" si="73"/>
        <v>1.9642857142857202</v>
      </c>
      <c r="I774">
        <f t="shared" si="74"/>
        <v>5.5939999999999994</v>
      </c>
      <c r="J774" s="6" cm="1">
        <f t="array" ref="J774">_xlfn.STDEV.S(IF($A:$A=A774, $F:$F))</f>
        <v>6.8410525505948339E-2</v>
      </c>
      <c r="P774" s="8">
        <f t="shared" si="75"/>
        <v>1.9642857142857202</v>
      </c>
      <c r="Q774" s="8">
        <f t="shared" si="76"/>
        <v>1.9642857142857202</v>
      </c>
      <c r="R774" s="8">
        <f t="shared" si="77"/>
        <v>1.9642857142857202</v>
      </c>
    </row>
    <row r="775" spans="1:18" x14ac:dyDescent="0.25">
      <c r="A775" s="7">
        <f t="shared" si="72"/>
        <v>155</v>
      </c>
      <c r="B775" s="2">
        <v>44053</v>
      </c>
      <c r="C775" s="3">
        <v>5.56</v>
      </c>
      <c r="D775" s="3">
        <v>5.62</v>
      </c>
      <c r="E775" s="3">
        <v>5.54</v>
      </c>
      <c r="F775" s="3">
        <v>5.56</v>
      </c>
      <c r="G775" s="3">
        <v>410500</v>
      </c>
      <c r="H775" s="8">
        <f t="shared" si="73"/>
        <v>1.9642857142857202</v>
      </c>
      <c r="I775">
        <f t="shared" si="74"/>
        <v>5.5939999999999994</v>
      </c>
      <c r="J775" s="6" cm="1">
        <f t="array" ref="J775">_xlfn.STDEV.S(IF($A:$A=A775, $F:$F))</f>
        <v>6.8410525505948339E-2</v>
      </c>
      <c r="P775" s="8">
        <f t="shared" si="75"/>
        <v>1.9642857142857202</v>
      </c>
      <c r="Q775" s="8">
        <f t="shared" si="76"/>
        <v>1.9642857142857202</v>
      </c>
      <c r="R775" s="8">
        <f t="shared" si="77"/>
        <v>1.9642857142857202</v>
      </c>
    </row>
    <row r="776" spans="1:18" x14ac:dyDescent="0.25">
      <c r="A776" s="7">
        <f t="shared" si="72"/>
        <v>155</v>
      </c>
      <c r="B776" s="2">
        <v>44054</v>
      </c>
      <c r="C776" s="3">
        <v>5.61</v>
      </c>
      <c r="D776" s="3">
        <v>5.82</v>
      </c>
      <c r="E776" s="3">
        <v>5.53</v>
      </c>
      <c r="F776" s="3">
        <v>5.71</v>
      </c>
      <c r="G776" s="3">
        <v>618790</v>
      </c>
      <c r="H776" s="8">
        <f t="shared" si="73"/>
        <v>1.9642857142857202</v>
      </c>
      <c r="I776">
        <f t="shared" si="74"/>
        <v>5.5939999999999994</v>
      </c>
      <c r="J776" s="6" cm="1">
        <f t="array" ref="J776">_xlfn.STDEV.S(IF($A:$A=A776, $F:$F))</f>
        <v>6.8410525505948339E-2</v>
      </c>
      <c r="P776" s="8">
        <f t="shared" si="75"/>
        <v>1.9642857142857202</v>
      </c>
      <c r="Q776" s="8">
        <f t="shared" si="76"/>
        <v>1.9642857142857202</v>
      </c>
      <c r="R776" s="8">
        <f t="shared" si="77"/>
        <v>1.9642857142857202</v>
      </c>
    </row>
    <row r="777" spans="1:18" x14ac:dyDescent="0.25">
      <c r="A777" s="7">
        <f t="shared" si="72"/>
        <v>156</v>
      </c>
      <c r="B777" s="2">
        <v>44055</v>
      </c>
      <c r="C777" s="3">
        <v>5.71</v>
      </c>
      <c r="D777" s="3">
        <v>5.83</v>
      </c>
      <c r="E777" s="3">
        <v>5.66</v>
      </c>
      <c r="F777" s="3">
        <v>5.79</v>
      </c>
      <c r="G777" s="3">
        <v>353450</v>
      </c>
      <c r="H777" s="8">
        <f t="shared" si="73"/>
        <v>-3.1088082901554355</v>
      </c>
      <c r="I777">
        <f t="shared" si="74"/>
        <v>5.718</v>
      </c>
      <c r="J777" s="6" cm="1">
        <f t="array" ref="J777">_xlfn.STDEV.S(IF($A:$A=A777, $F:$F))</f>
        <v>9.1487704091861508E-2</v>
      </c>
      <c r="P777" s="8">
        <f t="shared" si="75"/>
        <v>-3.1088082901554355</v>
      </c>
      <c r="Q777" s="8">
        <f t="shared" si="76"/>
        <v>-3.1088082901554355</v>
      </c>
      <c r="R777" s="8">
        <f t="shared" si="77"/>
        <v>-3.1088082901554355</v>
      </c>
    </row>
    <row r="778" spans="1:18" x14ac:dyDescent="0.25">
      <c r="A778" s="7">
        <f t="shared" si="72"/>
        <v>156</v>
      </c>
      <c r="B778" s="2">
        <v>44056</v>
      </c>
      <c r="C778" s="3">
        <v>5.82</v>
      </c>
      <c r="D778" s="3">
        <v>5.92</v>
      </c>
      <c r="E778" s="3">
        <v>5.77</v>
      </c>
      <c r="F778" s="3">
        <v>5.82</v>
      </c>
      <c r="G778" s="3">
        <v>365050</v>
      </c>
      <c r="H778" s="8">
        <f t="shared" si="73"/>
        <v>-3.1088082901554355</v>
      </c>
      <c r="I778">
        <f t="shared" si="74"/>
        <v>5.718</v>
      </c>
      <c r="J778" s="6" cm="1">
        <f t="array" ref="J778">_xlfn.STDEV.S(IF($A:$A=A778, $F:$F))</f>
        <v>9.1487704091861508E-2</v>
      </c>
      <c r="P778" s="8">
        <f t="shared" si="75"/>
        <v>-3.1088082901554355</v>
      </c>
      <c r="Q778" s="8">
        <f t="shared" si="76"/>
        <v>-3.1088082901554355</v>
      </c>
      <c r="R778" s="8">
        <f t="shared" si="77"/>
        <v>-3.1088082901554355</v>
      </c>
    </row>
    <row r="779" spans="1:18" x14ac:dyDescent="0.25">
      <c r="A779" s="7">
        <f t="shared" si="72"/>
        <v>156</v>
      </c>
      <c r="B779" s="2">
        <v>44057</v>
      </c>
      <c r="C779" s="3">
        <v>5.83</v>
      </c>
      <c r="D779" s="3">
        <v>5.87</v>
      </c>
      <c r="E779" s="3">
        <v>5.66</v>
      </c>
      <c r="F779" s="3">
        <v>5.73</v>
      </c>
      <c r="G779" s="3">
        <v>471190</v>
      </c>
      <c r="H779" s="8">
        <f t="shared" si="73"/>
        <v>-3.1088082901554355</v>
      </c>
      <c r="I779">
        <f t="shared" si="74"/>
        <v>5.718</v>
      </c>
      <c r="J779" s="6" cm="1">
        <f t="array" ref="J779">_xlfn.STDEV.S(IF($A:$A=A779, $F:$F))</f>
        <v>9.1487704091861508E-2</v>
      </c>
      <c r="P779" s="8">
        <f t="shared" si="75"/>
        <v>-3.1088082901554355</v>
      </c>
      <c r="Q779" s="8">
        <f t="shared" si="76"/>
        <v>-3.1088082901554355</v>
      </c>
      <c r="R779" s="8">
        <f t="shared" si="77"/>
        <v>-3.1088082901554355</v>
      </c>
    </row>
    <row r="780" spans="1:18" x14ac:dyDescent="0.25">
      <c r="A780" s="7">
        <f t="shared" si="72"/>
        <v>156</v>
      </c>
      <c r="B780" s="2">
        <v>44060</v>
      </c>
      <c r="C780" s="3">
        <v>5.67</v>
      </c>
      <c r="D780" s="3">
        <v>5.75</v>
      </c>
      <c r="E780" s="3">
        <v>5.57</v>
      </c>
      <c r="F780" s="3">
        <v>5.64</v>
      </c>
      <c r="G780" s="3">
        <v>245960</v>
      </c>
      <c r="H780" s="8">
        <f t="shared" si="73"/>
        <v>-3.1088082901554355</v>
      </c>
      <c r="I780">
        <f t="shared" si="74"/>
        <v>5.718</v>
      </c>
      <c r="J780" s="6" cm="1">
        <f t="array" ref="J780">_xlfn.STDEV.S(IF($A:$A=A780, $F:$F))</f>
        <v>9.1487704091861508E-2</v>
      </c>
      <c r="P780" s="8">
        <f t="shared" si="75"/>
        <v>-3.1088082901554355</v>
      </c>
      <c r="Q780" s="8">
        <f t="shared" si="76"/>
        <v>-3.1088082901554355</v>
      </c>
      <c r="R780" s="8">
        <f t="shared" si="77"/>
        <v>-3.1088082901554355</v>
      </c>
    </row>
    <row r="781" spans="1:18" x14ac:dyDescent="0.25">
      <c r="A781" s="7">
        <f t="shared" si="72"/>
        <v>156</v>
      </c>
      <c r="B781" s="2">
        <v>44061</v>
      </c>
      <c r="C781" s="3">
        <v>5.64</v>
      </c>
      <c r="D781" s="3">
        <v>5.7</v>
      </c>
      <c r="E781" s="3">
        <v>5.54</v>
      </c>
      <c r="F781" s="3">
        <v>5.61</v>
      </c>
      <c r="G781" s="3">
        <v>301990</v>
      </c>
      <c r="H781" s="8">
        <f t="shared" si="73"/>
        <v>-3.1088082901554355</v>
      </c>
      <c r="I781">
        <f t="shared" si="74"/>
        <v>5.718</v>
      </c>
      <c r="J781" s="6" cm="1">
        <f t="array" ref="J781">_xlfn.STDEV.S(IF($A:$A=A781, $F:$F))</f>
        <v>9.1487704091861508E-2</v>
      </c>
      <c r="P781" s="8">
        <f t="shared" si="75"/>
        <v>-3.1088082901554355</v>
      </c>
      <c r="Q781" s="8">
        <f t="shared" si="76"/>
        <v>-3.1088082901554355</v>
      </c>
      <c r="R781" s="8">
        <f t="shared" si="77"/>
        <v>-3.1088082901554355</v>
      </c>
    </row>
    <row r="782" spans="1:18" x14ac:dyDescent="0.25">
      <c r="A782" s="7">
        <f t="shared" si="72"/>
        <v>157</v>
      </c>
      <c r="B782" s="2">
        <v>44062</v>
      </c>
      <c r="C782" s="3">
        <v>5.57</v>
      </c>
      <c r="D782" s="3">
        <v>5.79</v>
      </c>
      <c r="E782" s="3">
        <v>5.56</v>
      </c>
      <c r="F782" s="3">
        <v>5.78</v>
      </c>
      <c r="G782" s="3">
        <v>526020</v>
      </c>
      <c r="H782" s="8">
        <f t="shared" si="73"/>
        <v>4.6712802768166011</v>
      </c>
      <c r="I782">
        <f t="shared" si="74"/>
        <v>5.9420000000000002</v>
      </c>
      <c r="J782" s="6" cm="1">
        <f t="array" ref="J782">_xlfn.STDEV.S(IF($A:$A=A782, $F:$F))</f>
        <v>0.16843396332094057</v>
      </c>
      <c r="P782" s="8">
        <f t="shared" si="75"/>
        <v>4.6712802768166011</v>
      </c>
      <c r="Q782" s="8">
        <f t="shared" si="76"/>
        <v>4.6712802768166011</v>
      </c>
      <c r="R782" s="8">
        <f t="shared" si="77"/>
        <v>4.6712802768166011</v>
      </c>
    </row>
    <row r="783" spans="1:18" x14ac:dyDescent="0.25">
      <c r="A783" s="7">
        <f t="shared" si="72"/>
        <v>157</v>
      </c>
      <c r="B783" s="2">
        <v>44063</v>
      </c>
      <c r="C783" s="3">
        <v>5.73</v>
      </c>
      <c r="D783" s="3">
        <v>5.83</v>
      </c>
      <c r="E783" s="3">
        <v>5.69</v>
      </c>
      <c r="F783" s="3">
        <v>5.75</v>
      </c>
      <c r="G783" s="3">
        <v>618180</v>
      </c>
      <c r="H783" s="8">
        <f t="shared" si="73"/>
        <v>4.6712802768166011</v>
      </c>
      <c r="I783">
        <f t="shared" si="74"/>
        <v>5.9420000000000002</v>
      </c>
      <c r="J783" s="6" cm="1">
        <f t="array" ref="J783">_xlfn.STDEV.S(IF($A:$A=A783, $F:$F))</f>
        <v>0.16843396332094057</v>
      </c>
      <c r="P783" s="8">
        <f t="shared" si="75"/>
        <v>4.6712802768166011</v>
      </c>
      <c r="Q783" s="8">
        <f t="shared" si="76"/>
        <v>4.6712802768166011</v>
      </c>
      <c r="R783" s="8">
        <f t="shared" si="77"/>
        <v>4.6712802768166011</v>
      </c>
    </row>
    <row r="784" spans="1:18" x14ac:dyDescent="0.25">
      <c r="A784" s="7">
        <f t="shared" si="72"/>
        <v>157</v>
      </c>
      <c r="B784" s="2">
        <v>44064</v>
      </c>
      <c r="C784" s="3">
        <v>5.75</v>
      </c>
      <c r="D784" s="3">
        <v>6.04</v>
      </c>
      <c r="E784" s="3">
        <v>5.75</v>
      </c>
      <c r="F784" s="3">
        <v>6</v>
      </c>
      <c r="G784" s="3">
        <v>1395340</v>
      </c>
      <c r="H784" s="8">
        <f t="shared" si="73"/>
        <v>4.6712802768166011</v>
      </c>
      <c r="I784">
        <f t="shared" si="74"/>
        <v>5.9420000000000002</v>
      </c>
      <c r="J784" s="6" cm="1">
        <f t="array" ref="J784">_xlfn.STDEV.S(IF($A:$A=A784, $F:$F))</f>
        <v>0.16843396332094057</v>
      </c>
      <c r="P784" s="8">
        <f t="shared" si="75"/>
        <v>4.6712802768166011</v>
      </c>
      <c r="Q784" s="8">
        <f t="shared" si="76"/>
        <v>4.6712802768166011</v>
      </c>
      <c r="R784" s="8">
        <f t="shared" si="77"/>
        <v>4.6712802768166011</v>
      </c>
    </row>
    <row r="785" spans="1:18" x14ac:dyDescent="0.25">
      <c r="A785" s="7">
        <f t="shared" si="72"/>
        <v>157</v>
      </c>
      <c r="B785" s="2">
        <v>44067</v>
      </c>
      <c r="C785" s="3">
        <v>6.15</v>
      </c>
      <c r="D785" s="3">
        <v>6.15</v>
      </c>
      <c r="E785" s="3">
        <v>6.05</v>
      </c>
      <c r="F785" s="3">
        <v>6.13</v>
      </c>
      <c r="G785" s="3">
        <v>698810</v>
      </c>
      <c r="H785" s="8">
        <f t="shared" si="73"/>
        <v>4.6712802768166011</v>
      </c>
      <c r="I785">
        <f t="shared" si="74"/>
        <v>5.9420000000000002</v>
      </c>
      <c r="J785" s="6" cm="1">
        <f t="array" ref="J785">_xlfn.STDEV.S(IF($A:$A=A785, $F:$F))</f>
        <v>0.16843396332094057</v>
      </c>
      <c r="P785" s="8">
        <f t="shared" si="75"/>
        <v>4.6712802768166011</v>
      </c>
      <c r="Q785" s="8">
        <f t="shared" si="76"/>
        <v>4.6712802768166011</v>
      </c>
      <c r="R785" s="8">
        <f t="shared" si="77"/>
        <v>4.6712802768166011</v>
      </c>
    </row>
    <row r="786" spans="1:18" x14ac:dyDescent="0.25">
      <c r="A786" s="7">
        <f t="shared" si="72"/>
        <v>157</v>
      </c>
      <c r="B786" s="2">
        <v>44068</v>
      </c>
      <c r="C786" s="3">
        <v>6.13</v>
      </c>
      <c r="D786" s="3">
        <v>6.18</v>
      </c>
      <c r="E786" s="3">
        <v>6.05</v>
      </c>
      <c r="F786" s="3">
        <v>6.05</v>
      </c>
      <c r="G786" s="3">
        <v>736340</v>
      </c>
      <c r="H786" s="8">
        <f t="shared" si="73"/>
        <v>4.6712802768166011</v>
      </c>
      <c r="I786">
        <f t="shared" si="74"/>
        <v>5.9420000000000002</v>
      </c>
      <c r="J786" s="6" cm="1">
        <f t="array" ref="J786">_xlfn.STDEV.S(IF($A:$A=A786, $F:$F))</f>
        <v>0.16843396332094057</v>
      </c>
      <c r="P786" s="8">
        <f t="shared" si="75"/>
        <v>4.6712802768166011</v>
      </c>
      <c r="Q786" s="8">
        <f t="shared" si="76"/>
        <v>4.6712802768166011</v>
      </c>
      <c r="R786" s="8">
        <f t="shared" si="77"/>
        <v>4.6712802768166011</v>
      </c>
    </row>
    <row r="787" spans="1:18" x14ac:dyDescent="0.25">
      <c r="A787" s="7">
        <f t="shared" si="72"/>
        <v>158</v>
      </c>
      <c r="B787" s="2">
        <v>44069</v>
      </c>
      <c r="C787" s="3">
        <v>6.04</v>
      </c>
      <c r="D787" s="3">
        <v>6.41</v>
      </c>
      <c r="E787" s="3">
        <v>5.97</v>
      </c>
      <c r="F787" s="3">
        <v>6.32</v>
      </c>
      <c r="G787" s="3">
        <v>1740420</v>
      </c>
      <c r="H787" s="8">
        <f t="shared" si="73"/>
        <v>6.6455696202531627</v>
      </c>
      <c r="I787">
        <f t="shared" si="74"/>
        <v>6.5980000000000008</v>
      </c>
      <c r="J787" s="6" cm="1">
        <f t="array" ref="J787">_xlfn.STDEV.S(IF($A:$A=A787, $F:$F))</f>
        <v>0.18088670487352004</v>
      </c>
      <c r="P787" s="8">
        <f t="shared" si="75"/>
        <v>6.6455696202531627</v>
      </c>
      <c r="Q787" s="8">
        <f t="shared" si="76"/>
        <v>6.6455696202531627</v>
      </c>
      <c r="R787" s="8">
        <f t="shared" si="77"/>
        <v>6.6455696202531627</v>
      </c>
    </row>
    <row r="788" spans="1:18" x14ac:dyDescent="0.25">
      <c r="A788" s="7">
        <f t="shared" si="72"/>
        <v>158</v>
      </c>
      <c r="B788" s="2">
        <v>44070</v>
      </c>
      <c r="C788" s="3">
        <v>6.34</v>
      </c>
      <c r="D788" s="3">
        <v>6.77</v>
      </c>
      <c r="E788" s="3">
        <v>6.32</v>
      </c>
      <c r="F788" s="3">
        <v>6.77</v>
      </c>
      <c r="G788" s="3">
        <v>2281980</v>
      </c>
      <c r="H788" s="8">
        <f t="shared" si="73"/>
        <v>6.6455696202531627</v>
      </c>
      <c r="I788">
        <f t="shared" si="74"/>
        <v>6.5980000000000008</v>
      </c>
      <c r="J788" s="6" cm="1">
        <f t="array" ref="J788">_xlfn.STDEV.S(IF($A:$A=A788, $F:$F))</f>
        <v>0.18088670487352004</v>
      </c>
      <c r="P788" s="8">
        <f t="shared" si="75"/>
        <v>6.6455696202531627</v>
      </c>
      <c r="Q788" s="8">
        <f t="shared" si="76"/>
        <v>6.6455696202531627</v>
      </c>
      <c r="R788" s="8">
        <f t="shared" si="77"/>
        <v>6.6455696202531627</v>
      </c>
    </row>
    <row r="789" spans="1:18" x14ac:dyDescent="0.25">
      <c r="A789" s="7">
        <f t="shared" si="72"/>
        <v>158</v>
      </c>
      <c r="B789" s="2">
        <v>44071</v>
      </c>
      <c r="C789" s="3">
        <v>6.74</v>
      </c>
      <c r="D789" s="3">
        <v>6.88</v>
      </c>
      <c r="E789" s="3">
        <v>6.62</v>
      </c>
      <c r="F789" s="3">
        <v>6.62</v>
      </c>
      <c r="G789" s="3">
        <v>679200</v>
      </c>
      <c r="H789" s="8">
        <f t="shared" si="73"/>
        <v>6.6455696202531627</v>
      </c>
      <c r="I789">
        <f t="shared" si="74"/>
        <v>6.5980000000000008</v>
      </c>
      <c r="J789" s="6" cm="1">
        <f t="array" ref="J789">_xlfn.STDEV.S(IF($A:$A=A789, $F:$F))</f>
        <v>0.18088670487352004</v>
      </c>
      <c r="P789" s="8">
        <f t="shared" si="75"/>
        <v>6.6455696202531627</v>
      </c>
      <c r="Q789" s="8">
        <f t="shared" si="76"/>
        <v>6.6455696202531627</v>
      </c>
      <c r="R789" s="8">
        <f t="shared" si="77"/>
        <v>6.6455696202531627</v>
      </c>
    </row>
    <row r="790" spans="1:18" x14ac:dyDescent="0.25">
      <c r="A790" s="7">
        <f t="shared" si="72"/>
        <v>158</v>
      </c>
      <c r="B790" s="2">
        <v>44074</v>
      </c>
      <c r="C790" s="3">
        <v>6.65</v>
      </c>
      <c r="D790" s="3">
        <v>6.86</v>
      </c>
      <c r="E790" s="3">
        <v>6.54</v>
      </c>
      <c r="F790" s="3">
        <v>6.54</v>
      </c>
      <c r="G790" s="3">
        <v>1269250</v>
      </c>
      <c r="H790" s="8">
        <f t="shared" si="73"/>
        <v>6.6455696202531627</v>
      </c>
      <c r="I790">
        <f t="shared" si="74"/>
        <v>6.5980000000000008</v>
      </c>
      <c r="J790" s="6" cm="1">
        <f t="array" ref="J790">_xlfn.STDEV.S(IF($A:$A=A790, $F:$F))</f>
        <v>0.18088670487352004</v>
      </c>
      <c r="P790" s="8">
        <f t="shared" si="75"/>
        <v>6.6455696202531627</v>
      </c>
      <c r="Q790" s="8">
        <f t="shared" si="76"/>
        <v>6.6455696202531627</v>
      </c>
      <c r="R790" s="8">
        <f t="shared" si="77"/>
        <v>6.6455696202531627</v>
      </c>
    </row>
    <row r="791" spans="1:18" x14ac:dyDescent="0.25">
      <c r="A791" s="7">
        <f t="shared" si="72"/>
        <v>158</v>
      </c>
      <c r="B791" s="2">
        <v>44075</v>
      </c>
      <c r="C791" s="3">
        <v>6.57</v>
      </c>
      <c r="D791" s="3">
        <v>6.84</v>
      </c>
      <c r="E791" s="3">
        <v>6.57</v>
      </c>
      <c r="F791" s="3">
        <v>6.74</v>
      </c>
      <c r="G791" s="3">
        <v>729470</v>
      </c>
      <c r="H791" s="8">
        <f t="shared" si="73"/>
        <v>6.6455696202531627</v>
      </c>
      <c r="I791">
        <f t="shared" si="74"/>
        <v>6.5980000000000008</v>
      </c>
      <c r="J791" s="6" cm="1">
        <f t="array" ref="J791">_xlfn.STDEV.S(IF($A:$A=A791, $F:$F))</f>
        <v>0.18088670487352004</v>
      </c>
      <c r="P791" s="8">
        <f t="shared" si="75"/>
        <v>6.6455696202531627</v>
      </c>
      <c r="Q791" s="8">
        <f t="shared" si="76"/>
        <v>6.6455696202531627</v>
      </c>
      <c r="R791" s="8">
        <f t="shared" si="77"/>
        <v>6.6455696202531627</v>
      </c>
    </row>
    <row r="792" spans="1:18" x14ac:dyDescent="0.25">
      <c r="A792" s="7">
        <f t="shared" si="72"/>
        <v>159</v>
      </c>
      <c r="B792" s="2">
        <v>44077</v>
      </c>
      <c r="C792" s="3">
        <v>6.78</v>
      </c>
      <c r="D792" s="3">
        <v>6.95</v>
      </c>
      <c r="E792" s="3">
        <v>6.74</v>
      </c>
      <c r="F792" s="3">
        <v>6.93</v>
      </c>
      <c r="G792" s="3">
        <v>1046200</v>
      </c>
      <c r="H792" s="8">
        <f t="shared" si="73"/>
        <v>5.050505050505059</v>
      </c>
      <c r="I792">
        <f t="shared" si="74"/>
        <v>7.0860000000000003</v>
      </c>
      <c r="J792" s="6" cm="1">
        <f t="array" ref="J792">_xlfn.STDEV.S(IF($A:$A=A792, $F:$F))</f>
        <v>0.1757270610919105</v>
      </c>
      <c r="P792" s="8">
        <f t="shared" si="75"/>
        <v>5.050505050505059</v>
      </c>
      <c r="Q792" s="8">
        <f t="shared" si="76"/>
        <v>5.050505050505059</v>
      </c>
      <c r="R792" s="8">
        <f t="shared" si="77"/>
        <v>5.050505050505059</v>
      </c>
    </row>
    <row r="793" spans="1:18" x14ac:dyDescent="0.25">
      <c r="A793" s="7">
        <f t="shared" si="72"/>
        <v>159</v>
      </c>
      <c r="B793" s="2">
        <v>44078</v>
      </c>
      <c r="C793" s="3">
        <v>6.8</v>
      </c>
      <c r="D793" s="3">
        <v>7.38</v>
      </c>
      <c r="E793" s="3">
        <v>6.74</v>
      </c>
      <c r="F793" s="3">
        <v>7.22</v>
      </c>
      <c r="G793" s="3">
        <v>1926100</v>
      </c>
      <c r="H793" s="8">
        <f t="shared" si="73"/>
        <v>5.050505050505059</v>
      </c>
      <c r="I793">
        <f t="shared" si="74"/>
        <v>7.0860000000000003</v>
      </c>
      <c r="J793" s="6" cm="1">
        <f t="array" ref="J793">_xlfn.STDEV.S(IF($A:$A=A793, $F:$F))</f>
        <v>0.1757270610919105</v>
      </c>
      <c r="P793" s="8">
        <f t="shared" si="75"/>
        <v>5.050505050505059</v>
      </c>
      <c r="Q793" s="8">
        <f t="shared" si="76"/>
        <v>5.050505050505059</v>
      </c>
      <c r="R793" s="8">
        <f t="shared" si="77"/>
        <v>5.050505050505059</v>
      </c>
    </row>
    <row r="794" spans="1:18" x14ac:dyDescent="0.25">
      <c r="A794" s="7">
        <f t="shared" si="72"/>
        <v>159</v>
      </c>
      <c r="B794" s="2">
        <v>44081</v>
      </c>
      <c r="C794" s="3">
        <v>7.27</v>
      </c>
      <c r="D794" s="3">
        <v>7.39</v>
      </c>
      <c r="E794" s="3">
        <v>6.88</v>
      </c>
      <c r="F794" s="3">
        <v>6.88</v>
      </c>
      <c r="G794" s="3">
        <v>1523250</v>
      </c>
      <c r="H794" s="8">
        <f t="shared" si="73"/>
        <v>5.050505050505059</v>
      </c>
      <c r="I794">
        <f t="shared" si="74"/>
        <v>7.0860000000000003</v>
      </c>
      <c r="J794" s="6" cm="1">
        <f t="array" ref="J794">_xlfn.STDEV.S(IF($A:$A=A794, $F:$F))</f>
        <v>0.1757270610919105</v>
      </c>
      <c r="P794" s="8">
        <f t="shared" si="75"/>
        <v>5.050505050505059</v>
      </c>
      <c r="Q794" s="8">
        <f t="shared" si="76"/>
        <v>5.050505050505059</v>
      </c>
      <c r="R794" s="8">
        <f t="shared" si="77"/>
        <v>5.050505050505059</v>
      </c>
    </row>
    <row r="795" spans="1:18" x14ac:dyDescent="0.25">
      <c r="A795" s="7">
        <f t="shared" si="72"/>
        <v>159</v>
      </c>
      <c r="B795" s="2">
        <v>44082</v>
      </c>
      <c r="C795" s="3">
        <v>6.92</v>
      </c>
      <c r="D795" s="3">
        <v>7.12</v>
      </c>
      <c r="E795" s="3">
        <v>6.88</v>
      </c>
      <c r="F795" s="3">
        <v>7.12</v>
      </c>
      <c r="G795" s="3">
        <v>1324370</v>
      </c>
      <c r="H795" s="8">
        <f t="shared" si="73"/>
        <v>5.050505050505059</v>
      </c>
      <c r="I795">
        <f t="shared" si="74"/>
        <v>7.0860000000000003</v>
      </c>
      <c r="J795" s="6" cm="1">
        <f t="array" ref="J795">_xlfn.STDEV.S(IF($A:$A=A795, $F:$F))</f>
        <v>0.1757270610919105</v>
      </c>
      <c r="P795" s="8">
        <f t="shared" si="75"/>
        <v>5.050505050505059</v>
      </c>
      <c r="Q795" s="8">
        <f t="shared" si="76"/>
        <v>5.050505050505059</v>
      </c>
      <c r="R795" s="8">
        <f t="shared" si="77"/>
        <v>5.050505050505059</v>
      </c>
    </row>
    <row r="796" spans="1:18" x14ac:dyDescent="0.25">
      <c r="A796" s="7">
        <f t="shared" si="72"/>
        <v>159</v>
      </c>
      <c r="B796" s="2">
        <v>44083</v>
      </c>
      <c r="C796" s="3">
        <v>7.01</v>
      </c>
      <c r="D796" s="3">
        <v>7.28</v>
      </c>
      <c r="E796" s="3">
        <v>6.99</v>
      </c>
      <c r="F796" s="3">
        <v>7.28</v>
      </c>
      <c r="G796" s="3">
        <v>1413500</v>
      </c>
      <c r="H796" s="8">
        <f t="shared" si="73"/>
        <v>5.050505050505059</v>
      </c>
      <c r="I796">
        <f t="shared" si="74"/>
        <v>7.0860000000000003</v>
      </c>
      <c r="J796" s="6" cm="1">
        <f t="array" ref="J796">_xlfn.STDEV.S(IF($A:$A=A796, $F:$F))</f>
        <v>0.1757270610919105</v>
      </c>
      <c r="P796" s="8">
        <f t="shared" si="75"/>
        <v>5.050505050505059</v>
      </c>
      <c r="Q796" s="8">
        <f t="shared" si="76"/>
        <v>5.050505050505059</v>
      </c>
      <c r="R796" s="8">
        <f t="shared" si="77"/>
        <v>5.050505050505059</v>
      </c>
    </row>
    <row r="797" spans="1:18" x14ac:dyDescent="0.25">
      <c r="A797" s="7">
        <f t="shared" si="72"/>
        <v>160</v>
      </c>
      <c r="B797" s="2">
        <v>44084</v>
      </c>
      <c r="C797" s="3">
        <v>7.4</v>
      </c>
      <c r="D797" s="3">
        <v>7.4</v>
      </c>
      <c r="E797" s="3">
        <v>7.17</v>
      </c>
      <c r="F797" s="3">
        <v>7.22</v>
      </c>
      <c r="G797" s="3">
        <v>702560</v>
      </c>
      <c r="H797" s="8">
        <f t="shared" si="73"/>
        <v>3.0470914127423914</v>
      </c>
      <c r="I797">
        <f t="shared" si="74"/>
        <v>7.2939999999999996</v>
      </c>
      <c r="J797" s="6" cm="1">
        <f t="array" ref="J797">_xlfn.STDEV.S(IF($A:$A=A797, $F:$F))</f>
        <v>9.154233993076677E-2</v>
      </c>
      <c r="P797" s="8">
        <f t="shared" si="75"/>
        <v>3.0470914127423914</v>
      </c>
      <c r="Q797" s="8">
        <f t="shared" si="76"/>
        <v>3.0470914127423914</v>
      </c>
      <c r="R797" s="8">
        <f t="shared" si="77"/>
        <v>3.0470914127423914</v>
      </c>
    </row>
    <row r="798" spans="1:18" x14ac:dyDescent="0.25">
      <c r="A798" s="7">
        <f t="shared" si="72"/>
        <v>160</v>
      </c>
      <c r="B798" s="2">
        <v>44085</v>
      </c>
      <c r="C798" s="3">
        <v>7.22</v>
      </c>
      <c r="D798" s="3">
        <v>7.3</v>
      </c>
      <c r="E798" s="3">
        <v>7.14</v>
      </c>
      <c r="F798" s="3">
        <v>7.22</v>
      </c>
      <c r="G798" s="3">
        <v>577610</v>
      </c>
      <c r="H798" s="8">
        <f t="shared" si="73"/>
        <v>3.0470914127423914</v>
      </c>
      <c r="I798">
        <f t="shared" si="74"/>
        <v>7.2939999999999996</v>
      </c>
      <c r="J798" s="6" cm="1">
        <f t="array" ref="J798">_xlfn.STDEV.S(IF($A:$A=A798, $F:$F))</f>
        <v>9.154233993076677E-2</v>
      </c>
      <c r="P798" s="8">
        <f t="shared" si="75"/>
        <v>3.0470914127423914</v>
      </c>
      <c r="Q798" s="8">
        <f t="shared" si="76"/>
        <v>3.0470914127423914</v>
      </c>
      <c r="R798" s="8">
        <f t="shared" si="77"/>
        <v>3.0470914127423914</v>
      </c>
    </row>
    <row r="799" spans="1:18" x14ac:dyDescent="0.25">
      <c r="A799" s="7">
        <f t="shared" si="72"/>
        <v>160</v>
      </c>
      <c r="B799" s="2">
        <v>44088</v>
      </c>
      <c r="C799" s="3">
        <v>7.22</v>
      </c>
      <c r="D799" s="3">
        <v>7.32</v>
      </c>
      <c r="E799" s="3">
        <v>7.22</v>
      </c>
      <c r="F799" s="3">
        <v>7.27</v>
      </c>
      <c r="G799" s="3">
        <v>753650</v>
      </c>
      <c r="H799" s="8">
        <f t="shared" si="73"/>
        <v>3.0470914127423914</v>
      </c>
      <c r="I799">
        <f t="shared" si="74"/>
        <v>7.2939999999999996</v>
      </c>
      <c r="J799" s="6" cm="1">
        <f t="array" ref="J799">_xlfn.STDEV.S(IF($A:$A=A799, $F:$F))</f>
        <v>9.154233993076677E-2</v>
      </c>
      <c r="P799" s="8">
        <f t="shared" si="75"/>
        <v>3.0470914127423914</v>
      </c>
      <c r="Q799" s="8">
        <f t="shared" si="76"/>
        <v>3.0470914127423914</v>
      </c>
      <c r="R799" s="8">
        <f t="shared" si="77"/>
        <v>3.0470914127423914</v>
      </c>
    </row>
    <row r="800" spans="1:18" x14ac:dyDescent="0.25">
      <c r="A800" s="7">
        <f t="shared" si="72"/>
        <v>160</v>
      </c>
      <c r="B800" s="2">
        <v>44089</v>
      </c>
      <c r="C800" s="3">
        <v>7.32</v>
      </c>
      <c r="D800" s="3">
        <v>7.51</v>
      </c>
      <c r="E800" s="3">
        <v>7.22</v>
      </c>
      <c r="F800" s="3">
        <v>7.32</v>
      </c>
      <c r="G800" s="3">
        <v>907220</v>
      </c>
      <c r="H800" s="8">
        <f t="shared" si="73"/>
        <v>3.0470914127423914</v>
      </c>
      <c r="I800">
        <f t="shared" si="74"/>
        <v>7.2939999999999996</v>
      </c>
      <c r="J800" s="6" cm="1">
        <f t="array" ref="J800">_xlfn.STDEV.S(IF($A:$A=A800, $F:$F))</f>
        <v>9.154233993076677E-2</v>
      </c>
      <c r="P800" s="8">
        <f t="shared" si="75"/>
        <v>3.0470914127423914</v>
      </c>
      <c r="Q800" s="8">
        <f t="shared" si="76"/>
        <v>3.0470914127423914</v>
      </c>
      <c r="R800" s="8">
        <f t="shared" si="77"/>
        <v>3.0470914127423914</v>
      </c>
    </row>
    <row r="801" spans="1:18" x14ac:dyDescent="0.25">
      <c r="A801" s="7">
        <f t="shared" si="72"/>
        <v>160</v>
      </c>
      <c r="B801" s="2">
        <v>44090</v>
      </c>
      <c r="C801" s="3">
        <v>7.34</v>
      </c>
      <c r="D801" s="3">
        <v>7.48</v>
      </c>
      <c r="E801" s="3">
        <v>7.3</v>
      </c>
      <c r="F801" s="3">
        <v>7.44</v>
      </c>
      <c r="G801" s="3">
        <v>585860</v>
      </c>
      <c r="H801" s="8">
        <f t="shared" si="73"/>
        <v>3.0470914127423914</v>
      </c>
      <c r="I801">
        <f t="shared" si="74"/>
        <v>7.2939999999999996</v>
      </c>
      <c r="J801" s="6" cm="1">
        <f t="array" ref="J801">_xlfn.STDEV.S(IF($A:$A=A801, $F:$F))</f>
        <v>9.154233993076677E-2</v>
      </c>
      <c r="P801" s="8">
        <f t="shared" si="75"/>
        <v>3.0470914127423914</v>
      </c>
      <c r="Q801" s="8">
        <f t="shared" si="76"/>
        <v>3.0470914127423914</v>
      </c>
      <c r="R801" s="8">
        <f t="shared" si="77"/>
        <v>3.0470914127423914</v>
      </c>
    </row>
    <row r="802" spans="1:18" x14ac:dyDescent="0.25">
      <c r="A802" s="7">
        <f t="shared" si="72"/>
        <v>161</v>
      </c>
      <c r="B802" s="2">
        <v>44091</v>
      </c>
      <c r="C802" s="3">
        <v>7.44</v>
      </c>
      <c r="D802" s="3">
        <v>7.44</v>
      </c>
      <c r="E802" s="3">
        <v>7.22</v>
      </c>
      <c r="F802" s="3">
        <v>7.38</v>
      </c>
      <c r="G802" s="3">
        <v>708300</v>
      </c>
      <c r="H802" s="8">
        <f t="shared" si="73"/>
        <v>3.1165311653116587</v>
      </c>
      <c r="I802">
        <f t="shared" si="74"/>
        <v>7.5860000000000003</v>
      </c>
      <c r="J802" s="6" cm="1">
        <f t="array" ref="J802">_xlfn.STDEV.S(IF($A:$A=A802, $F:$F))</f>
        <v>0.11970797801316348</v>
      </c>
      <c r="P802" s="8">
        <f t="shared" si="75"/>
        <v>3.1165311653116587</v>
      </c>
      <c r="Q802" s="8">
        <f t="shared" si="76"/>
        <v>3.1165311653116587</v>
      </c>
      <c r="R802" s="8">
        <f t="shared" si="77"/>
        <v>3.1165311653116587</v>
      </c>
    </row>
    <row r="803" spans="1:18" x14ac:dyDescent="0.25">
      <c r="A803" s="7">
        <f t="shared" si="72"/>
        <v>161</v>
      </c>
      <c r="B803" s="2">
        <v>44092</v>
      </c>
      <c r="C803" s="3">
        <v>7.38</v>
      </c>
      <c r="D803" s="3">
        <v>7.66</v>
      </c>
      <c r="E803" s="3">
        <v>7.32</v>
      </c>
      <c r="F803" s="3">
        <v>7.61</v>
      </c>
      <c r="G803" s="3">
        <v>760340</v>
      </c>
      <c r="H803" s="8">
        <f t="shared" si="73"/>
        <v>3.1165311653116587</v>
      </c>
      <c r="I803">
        <f t="shared" si="74"/>
        <v>7.5860000000000003</v>
      </c>
      <c r="J803" s="6" cm="1">
        <f t="array" ref="J803">_xlfn.STDEV.S(IF($A:$A=A803, $F:$F))</f>
        <v>0.11970797801316348</v>
      </c>
      <c r="P803" s="8">
        <f t="shared" si="75"/>
        <v>3.1165311653116587</v>
      </c>
      <c r="Q803" s="8">
        <f t="shared" si="76"/>
        <v>3.1165311653116587</v>
      </c>
      <c r="R803" s="8">
        <f t="shared" si="77"/>
        <v>3.1165311653116587</v>
      </c>
    </row>
    <row r="804" spans="1:18" x14ac:dyDescent="0.25">
      <c r="A804" s="7">
        <f t="shared" si="72"/>
        <v>161</v>
      </c>
      <c r="B804" s="2">
        <v>44095</v>
      </c>
      <c r="C804" s="3">
        <v>7.58</v>
      </c>
      <c r="D804" s="3">
        <v>7.74</v>
      </c>
      <c r="E804" s="3">
        <v>7.58</v>
      </c>
      <c r="F804" s="3">
        <v>7.69</v>
      </c>
      <c r="G804" s="3">
        <v>593370</v>
      </c>
      <c r="H804" s="8">
        <f t="shared" si="73"/>
        <v>3.1165311653116587</v>
      </c>
      <c r="I804">
        <f t="shared" si="74"/>
        <v>7.5860000000000003</v>
      </c>
      <c r="J804" s="6" cm="1">
        <f t="array" ref="J804">_xlfn.STDEV.S(IF($A:$A=A804, $F:$F))</f>
        <v>0.11970797801316348</v>
      </c>
      <c r="P804" s="8">
        <f t="shared" si="75"/>
        <v>3.1165311653116587</v>
      </c>
      <c r="Q804" s="8">
        <f t="shared" si="76"/>
        <v>3.1165311653116587</v>
      </c>
      <c r="R804" s="8">
        <f t="shared" si="77"/>
        <v>3.1165311653116587</v>
      </c>
    </row>
    <row r="805" spans="1:18" x14ac:dyDescent="0.25">
      <c r="A805" s="7">
        <f t="shared" si="72"/>
        <v>161</v>
      </c>
      <c r="B805" s="2">
        <v>44096</v>
      </c>
      <c r="C805" s="3">
        <v>7.62</v>
      </c>
      <c r="D805" s="3">
        <v>7.67</v>
      </c>
      <c r="E805" s="3">
        <v>7.56</v>
      </c>
      <c r="F805" s="3">
        <v>7.64</v>
      </c>
      <c r="G805" s="3">
        <v>439670</v>
      </c>
      <c r="H805" s="8">
        <f t="shared" si="73"/>
        <v>3.1165311653116587</v>
      </c>
      <c r="I805">
        <f t="shared" si="74"/>
        <v>7.5860000000000003</v>
      </c>
      <c r="J805" s="6" cm="1">
        <f t="array" ref="J805">_xlfn.STDEV.S(IF($A:$A=A805, $F:$F))</f>
        <v>0.11970797801316348</v>
      </c>
      <c r="P805" s="8">
        <f t="shared" si="75"/>
        <v>3.1165311653116587</v>
      </c>
      <c r="Q805" s="8">
        <f t="shared" si="76"/>
        <v>3.1165311653116587</v>
      </c>
      <c r="R805" s="8">
        <f t="shared" si="77"/>
        <v>3.1165311653116587</v>
      </c>
    </row>
    <row r="806" spans="1:18" x14ac:dyDescent="0.25">
      <c r="A806" s="7">
        <f t="shared" si="72"/>
        <v>161</v>
      </c>
      <c r="B806" s="2">
        <v>44097</v>
      </c>
      <c r="C806" s="3">
        <v>7.66</v>
      </c>
      <c r="D806" s="3">
        <v>7.71</v>
      </c>
      <c r="E806" s="3">
        <v>7.58</v>
      </c>
      <c r="F806" s="3">
        <v>7.61</v>
      </c>
      <c r="G806" s="3">
        <v>517710</v>
      </c>
      <c r="H806" s="8">
        <f t="shared" si="73"/>
        <v>3.1165311653116587</v>
      </c>
      <c r="I806">
        <f t="shared" si="74"/>
        <v>7.5860000000000003</v>
      </c>
      <c r="J806" s="6" cm="1">
        <f t="array" ref="J806">_xlfn.STDEV.S(IF($A:$A=A806, $F:$F))</f>
        <v>0.11970797801316348</v>
      </c>
      <c r="P806" s="8">
        <f t="shared" si="75"/>
        <v>3.1165311653116587</v>
      </c>
      <c r="Q806" s="8">
        <f t="shared" si="76"/>
        <v>3.1165311653116587</v>
      </c>
      <c r="R806" s="8">
        <f t="shared" si="77"/>
        <v>3.1165311653116587</v>
      </c>
    </row>
    <row r="807" spans="1:18" x14ac:dyDescent="0.25">
      <c r="A807" s="7">
        <f t="shared" si="72"/>
        <v>162</v>
      </c>
      <c r="B807" s="2">
        <v>44098</v>
      </c>
      <c r="C807" s="3">
        <v>7.53</v>
      </c>
      <c r="D807" s="3">
        <v>7.57</v>
      </c>
      <c r="E807" s="3">
        <v>7.31</v>
      </c>
      <c r="F807" s="3">
        <v>7.35</v>
      </c>
      <c r="G807" s="3">
        <v>1058850</v>
      </c>
      <c r="H807" s="8">
        <f t="shared" si="73"/>
        <v>1.7687074829932079</v>
      </c>
      <c r="I807">
        <f t="shared" si="74"/>
        <v>7.418000000000001</v>
      </c>
      <c r="J807" s="6" cm="1">
        <f t="array" ref="J807">_xlfn.STDEV.S(IF($A:$A=A807, $F:$F))</f>
        <v>6.5345237010818541E-2</v>
      </c>
      <c r="P807" s="8">
        <f t="shared" si="75"/>
        <v>1.7687074829932079</v>
      </c>
      <c r="Q807" s="8">
        <f t="shared" si="76"/>
        <v>1.7687074829932079</v>
      </c>
      <c r="R807" s="8">
        <f t="shared" si="77"/>
        <v>1.7687074829932079</v>
      </c>
    </row>
    <row r="808" spans="1:18" x14ac:dyDescent="0.25">
      <c r="A808" s="7">
        <f t="shared" si="72"/>
        <v>162</v>
      </c>
      <c r="B808" s="2">
        <v>44099</v>
      </c>
      <c r="C808" s="3">
        <v>7.35</v>
      </c>
      <c r="D808" s="3">
        <v>7.43</v>
      </c>
      <c r="E808" s="3">
        <v>7.22</v>
      </c>
      <c r="F808" s="3">
        <v>7.35</v>
      </c>
      <c r="G808" s="3">
        <v>754920</v>
      </c>
      <c r="H808" s="8">
        <f t="shared" si="73"/>
        <v>1.7687074829932079</v>
      </c>
      <c r="I808">
        <f t="shared" si="74"/>
        <v>7.418000000000001</v>
      </c>
      <c r="J808" s="6" cm="1">
        <f t="array" ref="J808">_xlfn.STDEV.S(IF($A:$A=A808, $F:$F))</f>
        <v>6.5345237010818541E-2</v>
      </c>
      <c r="P808" s="8">
        <f t="shared" si="75"/>
        <v>1.7687074829932079</v>
      </c>
      <c r="Q808" s="8">
        <f t="shared" si="76"/>
        <v>1.7687074829932079</v>
      </c>
      <c r="R808" s="8">
        <f t="shared" si="77"/>
        <v>1.7687074829932079</v>
      </c>
    </row>
    <row r="809" spans="1:18" x14ac:dyDescent="0.25">
      <c r="A809" s="7">
        <f t="shared" si="72"/>
        <v>162</v>
      </c>
      <c r="B809" s="2">
        <v>44102</v>
      </c>
      <c r="C809" s="3">
        <v>7.38</v>
      </c>
      <c r="D809" s="3">
        <v>7.48</v>
      </c>
      <c r="E809" s="3">
        <v>7.34</v>
      </c>
      <c r="F809" s="3">
        <v>7.48</v>
      </c>
      <c r="G809" s="3">
        <v>761250</v>
      </c>
      <c r="H809" s="8">
        <f t="shared" si="73"/>
        <v>1.7687074829932079</v>
      </c>
      <c r="I809">
        <f t="shared" si="74"/>
        <v>7.418000000000001</v>
      </c>
      <c r="J809" s="6" cm="1">
        <f t="array" ref="J809">_xlfn.STDEV.S(IF($A:$A=A809, $F:$F))</f>
        <v>6.5345237010818541E-2</v>
      </c>
      <c r="P809" s="8">
        <f t="shared" si="75"/>
        <v>1.7687074829932079</v>
      </c>
      <c r="Q809" s="8">
        <f t="shared" si="76"/>
        <v>1.7687074829932079</v>
      </c>
      <c r="R809" s="8">
        <f t="shared" si="77"/>
        <v>1.7687074829932079</v>
      </c>
    </row>
    <row r="810" spans="1:18" x14ac:dyDescent="0.25">
      <c r="A810" s="7">
        <f t="shared" si="72"/>
        <v>162</v>
      </c>
      <c r="B810" s="2">
        <v>44103</v>
      </c>
      <c r="C810" s="3">
        <v>7.49</v>
      </c>
      <c r="D810" s="3">
        <v>7.62</v>
      </c>
      <c r="E810" s="3">
        <v>7.43</v>
      </c>
      <c r="F810" s="3">
        <v>7.43</v>
      </c>
      <c r="G810" s="3">
        <v>783580</v>
      </c>
      <c r="H810" s="8">
        <f t="shared" si="73"/>
        <v>1.7687074829932079</v>
      </c>
      <c r="I810">
        <f t="shared" si="74"/>
        <v>7.418000000000001</v>
      </c>
      <c r="J810" s="6" cm="1">
        <f t="array" ref="J810">_xlfn.STDEV.S(IF($A:$A=A810, $F:$F))</f>
        <v>6.5345237010818541E-2</v>
      </c>
      <c r="P810" s="8">
        <f t="shared" si="75"/>
        <v>1.7687074829932079</v>
      </c>
      <c r="Q810" s="8">
        <f t="shared" si="76"/>
        <v>1.7687074829932079</v>
      </c>
      <c r="R810" s="8">
        <f t="shared" si="77"/>
        <v>1.7687074829932079</v>
      </c>
    </row>
    <row r="811" spans="1:18" x14ac:dyDescent="0.25">
      <c r="A811" s="7">
        <f t="shared" si="72"/>
        <v>162</v>
      </c>
      <c r="B811" s="2">
        <v>44104</v>
      </c>
      <c r="C811" s="3">
        <v>7.4</v>
      </c>
      <c r="D811" s="3">
        <v>7.53</v>
      </c>
      <c r="E811" s="3">
        <v>7.32</v>
      </c>
      <c r="F811" s="3">
        <v>7.48</v>
      </c>
      <c r="G811" s="3">
        <v>390350</v>
      </c>
      <c r="H811" s="8">
        <f t="shared" si="73"/>
        <v>1.7687074829932079</v>
      </c>
      <c r="I811">
        <f t="shared" si="74"/>
        <v>7.418000000000001</v>
      </c>
      <c r="J811" s="6" cm="1">
        <f t="array" ref="J811">_xlfn.STDEV.S(IF($A:$A=A811, $F:$F))</f>
        <v>6.5345237010818541E-2</v>
      </c>
      <c r="P811" s="8">
        <f t="shared" si="75"/>
        <v>1.7687074829932079</v>
      </c>
      <c r="Q811" s="8">
        <f t="shared" si="76"/>
        <v>1.7687074829932079</v>
      </c>
      <c r="R811" s="8">
        <f t="shared" si="77"/>
        <v>1.7687074829932079</v>
      </c>
    </row>
    <row r="812" spans="1:18" x14ac:dyDescent="0.25">
      <c r="A812" s="7">
        <f t="shared" si="72"/>
        <v>163</v>
      </c>
      <c r="B812" s="2">
        <v>44105</v>
      </c>
      <c r="C812" s="3">
        <v>7.58</v>
      </c>
      <c r="D812" s="3">
        <v>8</v>
      </c>
      <c r="E812" s="3">
        <v>7.58</v>
      </c>
      <c r="F812" s="3">
        <v>8</v>
      </c>
      <c r="G812" s="3">
        <v>2148460</v>
      </c>
      <c r="H812" s="8">
        <f t="shared" si="73"/>
        <v>2.750000000000008</v>
      </c>
      <c r="I812">
        <f t="shared" si="74"/>
        <v>8.2140000000000004</v>
      </c>
      <c r="J812" s="6" cm="1">
        <f t="array" ref="J812">_xlfn.STDEV.S(IF($A:$A=A812, $F:$F))</f>
        <v>0.13921206844235881</v>
      </c>
      <c r="P812" s="8">
        <f t="shared" si="75"/>
        <v>2.750000000000008</v>
      </c>
      <c r="Q812" s="8">
        <f t="shared" si="76"/>
        <v>2.750000000000008</v>
      </c>
      <c r="R812" s="8">
        <f t="shared" si="77"/>
        <v>2.750000000000008</v>
      </c>
    </row>
    <row r="813" spans="1:18" x14ac:dyDescent="0.25">
      <c r="A813" s="7">
        <f t="shared" si="72"/>
        <v>163</v>
      </c>
      <c r="B813" s="2">
        <v>44106</v>
      </c>
      <c r="C813" s="3">
        <v>8.0500000000000007</v>
      </c>
      <c r="D813" s="3">
        <v>8.23</v>
      </c>
      <c r="E813" s="3">
        <v>7.84</v>
      </c>
      <c r="F813" s="3">
        <v>8.18</v>
      </c>
      <c r="G813" s="3">
        <v>1158330</v>
      </c>
      <c r="H813" s="8">
        <f t="shared" si="73"/>
        <v>2.750000000000008</v>
      </c>
      <c r="I813">
        <f t="shared" si="74"/>
        <v>8.2140000000000004</v>
      </c>
      <c r="J813" s="6" cm="1">
        <f t="array" ref="J813">_xlfn.STDEV.S(IF($A:$A=A813, $F:$F))</f>
        <v>0.13921206844235881</v>
      </c>
      <c r="P813" s="8">
        <f t="shared" si="75"/>
        <v>2.750000000000008</v>
      </c>
      <c r="Q813" s="8">
        <f t="shared" si="76"/>
        <v>2.750000000000008</v>
      </c>
      <c r="R813" s="8">
        <f t="shared" si="77"/>
        <v>2.750000000000008</v>
      </c>
    </row>
    <row r="814" spans="1:18" x14ac:dyDescent="0.25">
      <c r="A814" s="7">
        <f t="shared" si="72"/>
        <v>163</v>
      </c>
      <c r="B814" s="2">
        <v>44109</v>
      </c>
      <c r="C814" s="3">
        <v>8.52</v>
      </c>
      <c r="D814" s="3">
        <v>8.52</v>
      </c>
      <c r="E814" s="3">
        <v>8.2799999999999994</v>
      </c>
      <c r="F814" s="3">
        <v>8.36</v>
      </c>
      <c r="G814" s="3">
        <v>780330</v>
      </c>
      <c r="H814" s="8">
        <f t="shared" si="73"/>
        <v>2.750000000000008</v>
      </c>
      <c r="I814">
        <f t="shared" si="74"/>
        <v>8.2140000000000004</v>
      </c>
      <c r="J814" s="6" cm="1">
        <f t="array" ref="J814">_xlfn.STDEV.S(IF($A:$A=A814, $F:$F))</f>
        <v>0.13921206844235881</v>
      </c>
      <c r="P814" s="8">
        <f t="shared" si="75"/>
        <v>2.750000000000008</v>
      </c>
      <c r="Q814" s="8">
        <f t="shared" si="76"/>
        <v>2.750000000000008</v>
      </c>
      <c r="R814" s="8">
        <f t="shared" si="77"/>
        <v>2.750000000000008</v>
      </c>
    </row>
    <row r="815" spans="1:18" x14ac:dyDescent="0.25">
      <c r="A815" s="7">
        <f t="shared" si="72"/>
        <v>163</v>
      </c>
      <c r="B815" s="2">
        <v>44110</v>
      </c>
      <c r="C815" s="3">
        <v>8.36</v>
      </c>
      <c r="D815" s="3">
        <v>8.43</v>
      </c>
      <c r="E815" s="3">
        <v>8.1300000000000008</v>
      </c>
      <c r="F815" s="3">
        <v>8.31</v>
      </c>
      <c r="G815" s="3">
        <v>1143460</v>
      </c>
      <c r="H815" s="8">
        <f t="shared" si="73"/>
        <v>2.750000000000008</v>
      </c>
      <c r="I815">
        <f t="shared" si="74"/>
        <v>8.2140000000000004</v>
      </c>
      <c r="J815" s="6" cm="1">
        <f t="array" ref="J815">_xlfn.STDEV.S(IF($A:$A=A815, $F:$F))</f>
        <v>0.13921206844235881</v>
      </c>
      <c r="P815" s="8">
        <f t="shared" si="75"/>
        <v>2.750000000000008</v>
      </c>
      <c r="Q815" s="8">
        <f t="shared" si="76"/>
        <v>2.750000000000008</v>
      </c>
      <c r="R815" s="8">
        <f t="shared" si="77"/>
        <v>2.750000000000008</v>
      </c>
    </row>
    <row r="816" spans="1:18" x14ac:dyDescent="0.25">
      <c r="A816" s="7">
        <f t="shared" si="72"/>
        <v>163</v>
      </c>
      <c r="B816" s="2">
        <v>44111</v>
      </c>
      <c r="C816" s="3">
        <v>8.2100000000000009</v>
      </c>
      <c r="D816" s="3">
        <v>8.4499999999999993</v>
      </c>
      <c r="E816" s="3">
        <v>8.18</v>
      </c>
      <c r="F816" s="3">
        <v>8.2200000000000006</v>
      </c>
      <c r="G816" s="3">
        <v>841750</v>
      </c>
      <c r="H816" s="8">
        <f t="shared" si="73"/>
        <v>2.750000000000008</v>
      </c>
      <c r="I816">
        <f t="shared" si="74"/>
        <v>8.2140000000000004</v>
      </c>
      <c r="J816" s="6" cm="1">
        <f t="array" ref="J816">_xlfn.STDEV.S(IF($A:$A=A816, $F:$F))</f>
        <v>0.13921206844235881</v>
      </c>
      <c r="P816" s="8">
        <f t="shared" si="75"/>
        <v>2.750000000000008</v>
      </c>
      <c r="Q816" s="8">
        <f t="shared" si="76"/>
        <v>2.750000000000008</v>
      </c>
      <c r="R816" s="8">
        <f t="shared" si="77"/>
        <v>2.750000000000008</v>
      </c>
    </row>
    <row r="817" spans="1:18" x14ac:dyDescent="0.25">
      <c r="A817" s="7">
        <f t="shared" si="72"/>
        <v>164</v>
      </c>
      <c r="B817" s="2">
        <v>44112</v>
      </c>
      <c r="C817" s="3">
        <v>8.23</v>
      </c>
      <c r="D817" s="3">
        <v>8.4499999999999993</v>
      </c>
      <c r="E817" s="3">
        <v>8.2100000000000009</v>
      </c>
      <c r="F817" s="3">
        <v>8.44</v>
      </c>
      <c r="G817" s="3">
        <v>841930</v>
      </c>
      <c r="H817" s="8">
        <f t="shared" si="73"/>
        <v>12.559241706161146</v>
      </c>
      <c r="I817">
        <f t="shared" si="74"/>
        <v>8.9539999999999988</v>
      </c>
      <c r="J817" s="6" cm="1">
        <f t="array" ref="J817">_xlfn.STDEV.S(IF($A:$A=A817, $F:$F))</f>
        <v>0.38669109118261324</v>
      </c>
      <c r="P817" s="8">
        <f t="shared" si="75"/>
        <v>12.559241706161146</v>
      </c>
      <c r="Q817" s="8">
        <f t="shared" si="76"/>
        <v>12.559241706161146</v>
      </c>
      <c r="R817" s="10">
        <f t="shared" si="77"/>
        <v>12.559241706161146</v>
      </c>
    </row>
    <row r="818" spans="1:18" x14ac:dyDescent="0.25">
      <c r="A818" s="7">
        <f t="shared" si="72"/>
        <v>164</v>
      </c>
      <c r="B818" s="2">
        <v>44113</v>
      </c>
      <c r="C818" s="3">
        <v>8.4700000000000006</v>
      </c>
      <c r="D818" s="3">
        <v>8.83</v>
      </c>
      <c r="E818" s="3">
        <v>8.41</v>
      </c>
      <c r="F818" s="3">
        <v>8.83</v>
      </c>
      <c r="G818" s="3">
        <v>1385850</v>
      </c>
      <c r="H818" s="8">
        <f t="shared" si="73"/>
        <v>12.559241706161146</v>
      </c>
      <c r="I818">
        <f t="shared" si="74"/>
        <v>8.9539999999999988</v>
      </c>
      <c r="J818" s="6" cm="1">
        <f t="array" ref="J818">_xlfn.STDEV.S(IF($A:$A=A818, $F:$F))</f>
        <v>0.38669109118261324</v>
      </c>
      <c r="P818" s="8">
        <f t="shared" si="75"/>
        <v>12.559241706161146</v>
      </c>
      <c r="Q818" s="8">
        <f t="shared" si="76"/>
        <v>12.559241706161146</v>
      </c>
      <c r="R818" s="10">
        <f t="shared" si="77"/>
        <v>12.559241706161146</v>
      </c>
    </row>
    <row r="819" spans="1:18" x14ac:dyDescent="0.25">
      <c r="A819" s="7">
        <f t="shared" si="72"/>
        <v>164</v>
      </c>
      <c r="B819" s="2">
        <v>44116</v>
      </c>
      <c r="C819" s="3">
        <v>8.9600000000000009</v>
      </c>
      <c r="D819" s="3">
        <v>9.2200000000000006</v>
      </c>
      <c r="E819" s="3">
        <v>8.83</v>
      </c>
      <c r="F819" s="3">
        <v>9.09</v>
      </c>
      <c r="G819" s="3">
        <v>1153290</v>
      </c>
      <c r="H819" s="8">
        <f t="shared" si="73"/>
        <v>12.559241706161146</v>
      </c>
      <c r="I819">
        <f t="shared" si="74"/>
        <v>8.9539999999999988</v>
      </c>
      <c r="J819" s="6" cm="1">
        <f t="array" ref="J819">_xlfn.STDEV.S(IF($A:$A=A819, $F:$F))</f>
        <v>0.38669109118261324</v>
      </c>
      <c r="P819" s="8">
        <f t="shared" si="75"/>
        <v>12.559241706161146</v>
      </c>
      <c r="Q819" s="8">
        <f t="shared" si="76"/>
        <v>12.559241706161146</v>
      </c>
      <c r="R819" s="10">
        <f t="shared" si="77"/>
        <v>12.559241706161146</v>
      </c>
    </row>
    <row r="820" spans="1:18" x14ac:dyDescent="0.25">
      <c r="A820" s="7">
        <f t="shared" si="72"/>
        <v>164</v>
      </c>
      <c r="B820" s="2">
        <v>44117</v>
      </c>
      <c r="C820" s="3">
        <v>9.09</v>
      </c>
      <c r="D820" s="3">
        <v>9.14</v>
      </c>
      <c r="E820" s="3">
        <v>8.91</v>
      </c>
      <c r="F820" s="3">
        <v>8.91</v>
      </c>
      <c r="G820" s="3">
        <v>688030</v>
      </c>
      <c r="H820" s="8">
        <f t="shared" si="73"/>
        <v>12.559241706161146</v>
      </c>
      <c r="I820">
        <f t="shared" si="74"/>
        <v>8.9539999999999988</v>
      </c>
      <c r="J820" s="6" cm="1">
        <f t="array" ref="J820">_xlfn.STDEV.S(IF($A:$A=A820, $F:$F))</f>
        <v>0.38669109118261324</v>
      </c>
      <c r="P820" s="8">
        <f t="shared" si="75"/>
        <v>12.559241706161146</v>
      </c>
      <c r="Q820" s="8">
        <f t="shared" si="76"/>
        <v>12.559241706161146</v>
      </c>
      <c r="R820" s="10">
        <f t="shared" si="77"/>
        <v>12.559241706161146</v>
      </c>
    </row>
    <row r="821" spans="1:18" x14ac:dyDescent="0.25">
      <c r="A821" s="7">
        <f t="shared" si="72"/>
        <v>164</v>
      </c>
      <c r="B821" s="2">
        <v>44118</v>
      </c>
      <c r="C821" s="3">
        <v>8.91</v>
      </c>
      <c r="D821" s="3">
        <v>9.5299999999999994</v>
      </c>
      <c r="E821" s="3">
        <v>8.84</v>
      </c>
      <c r="F821" s="3">
        <v>9.5</v>
      </c>
      <c r="G821" s="3">
        <v>1435810</v>
      </c>
      <c r="H821" s="8">
        <f t="shared" si="73"/>
        <v>12.559241706161146</v>
      </c>
      <c r="I821">
        <f t="shared" si="74"/>
        <v>8.9539999999999988</v>
      </c>
      <c r="J821" s="6" cm="1">
        <f t="array" ref="J821">_xlfn.STDEV.S(IF($A:$A=A821, $F:$F))</f>
        <v>0.38669109118261324</v>
      </c>
      <c r="P821" s="8">
        <f t="shared" si="75"/>
        <v>12.559241706161146</v>
      </c>
      <c r="Q821" s="8">
        <f t="shared" si="76"/>
        <v>12.559241706161146</v>
      </c>
      <c r="R821" s="10">
        <f t="shared" si="77"/>
        <v>12.559241706161146</v>
      </c>
    </row>
    <row r="822" spans="1:18" x14ac:dyDescent="0.25">
      <c r="A822" s="7">
        <f t="shared" si="72"/>
        <v>165</v>
      </c>
      <c r="B822" s="2">
        <v>44119</v>
      </c>
      <c r="C822" s="3">
        <v>9.58</v>
      </c>
      <c r="D822" s="3">
        <v>10.17</v>
      </c>
      <c r="E822" s="3">
        <v>9.5299999999999994</v>
      </c>
      <c r="F822" s="3">
        <v>10.17</v>
      </c>
      <c r="G822" s="3">
        <v>1386260</v>
      </c>
      <c r="H822" s="8">
        <f t="shared" si="73"/>
        <v>-5.0147492625368706</v>
      </c>
      <c r="I822">
        <f t="shared" si="74"/>
        <v>10.138</v>
      </c>
      <c r="J822" s="6" cm="1">
        <f t="array" ref="J822">_xlfn.STDEV.S(IF($A:$A=A822, $F:$F))</f>
        <v>0.32491537359749562</v>
      </c>
      <c r="P822" s="8">
        <f t="shared" si="75"/>
        <v>-5.0147492625368706</v>
      </c>
      <c r="Q822" s="8">
        <f t="shared" si="76"/>
        <v>-5.0147492625368706</v>
      </c>
      <c r="R822" s="8">
        <f t="shared" si="77"/>
        <v>-5.0147492625368706</v>
      </c>
    </row>
    <row r="823" spans="1:18" x14ac:dyDescent="0.25">
      <c r="A823" s="7">
        <f t="shared" si="72"/>
        <v>165</v>
      </c>
      <c r="B823" s="2">
        <v>44120</v>
      </c>
      <c r="C823" s="3">
        <v>10.52</v>
      </c>
      <c r="D823" s="3">
        <v>10.87</v>
      </c>
      <c r="E823" s="3">
        <v>10.15</v>
      </c>
      <c r="F823" s="3">
        <v>10.47</v>
      </c>
      <c r="G823" s="3">
        <v>1534360</v>
      </c>
      <c r="H823" s="8">
        <f t="shared" si="73"/>
        <v>-5.0147492625368706</v>
      </c>
      <c r="I823">
        <f t="shared" si="74"/>
        <v>10.138</v>
      </c>
      <c r="J823" s="6" cm="1">
        <f t="array" ref="J823">_xlfn.STDEV.S(IF($A:$A=A823, $F:$F))</f>
        <v>0.32491537359749562</v>
      </c>
      <c r="P823" s="8">
        <f t="shared" si="75"/>
        <v>-5.0147492625368706</v>
      </c>
      <c r="Q823" s="8">
        <f t="shared" si="76"/>
        <v>-5.0147492625368706</v>
      </c>
      <c r="R823" s="8">
        <f t="shared" si="77"/>
        <v>-5.0147492625368706</v>
      </c>
    </row>
    <row r="824" spans="1:18" x14ac:dyDescent="0.25">
      <c r="A824" s="7">
        <f t="shared" si="72"/>
        <v>165</v>
      </c>
      <c r="B824" s="2">
        <v>44123</v>
      </c>
      <c r="C824" s="3">
        <v>10.39</v>
      </c>
      <c r="D824" s="3">
        <v>10.52</v>
      </c>
      <c r="E824" s="3">
        <v>10</v>
      </c>
      <c r="F824" s="3">
        <v>10</v>
      </c>
      <c r="G824" s="3">
        <v>1551380</v>
      </c>
      <c r="H824" s="8">
        <f t="shared" si="73"/>
        <v>-5.0147492625368706</v>
      </c>
      <c r="I824">
        <f t="shared" si="74"/>
        <v>10.138</v>
      </c>
      <c r="J824" s="6" cm="1">
        <f t="array" ref="J824">_xlfn.STDEV.S(IF($A:$A=A824, $F:$F))</f>
        <v>0.32491537359749562</v>
      </c>
      <c r="P824" s="8">
        <f t="shared" si="75"/>
        <v>-5.0147492625368706</v>
      </c>
      <c r="Q824" s="8">
        <f t="shared" si="76"/>
        <v>-5.0147492625368706</v>
      </c>
      <c r="R824" s="8">
        <f t="shared" si="77"/>
        <v>-5.0147492625368706</v>
      </c>
    </row>
    <row r="825" spans="1:18" x14ac:dyDescent="0.25">
      <c r="A825" s="7">
        <f t="shared" si="72"/>
        <v>165</v>
      </c>
      <c r="B825" s="2">
        <v>44124</v>
      </c>
      <c r="C825" s="3">
        <v>10</v>
      </c>
      <c r="D825" s="3">
        <v>10.39</v>
      </c>
      <c r="E825" s="3">
        <v>10</v>
      </c>
      <c r="F825" s="3">
        <v>10.39</v>
      </c>
      <c r="G825" s="3">
        <v>823840</v>
      </c>
      <c r="H825" s="8">
        <f t="shared" si="73"/>
        <v>-5.0147492625368706</v>
      </c>
      <c r="I825">
        <f t="shared" si="74"/>
        <v>10.138</v>
      </c>
      <c r="J825" s="6" cm="1">
        <f t="array" ref="J825">_xlfn.STDEV.S(IF($A:$A=A825, $F:$F))</f>
        <v>0.32491537359749562</v>
      </c>
      <c r="P825" s="8">
        <f t="shared" si="75"/>
        <v>-5.0147492625368706</v>
      </c>
      <c r="Q825" s="8">
        <f t="shared" si="76"/>
        <v>-5.0147492625368706</v>
      </c>
      <c r="R825" s="8">
        <f t="shared" si="77"/>
        <v>-5.0147492625368706</v>
      </c>
    </row>
    <row r="826" spans="1:18" x14ac:dyDescent="0.25">
      <c r="A826" s="7">
        <f t="shared" si="72"/>
        <v>165</v>
      </c>
      <c r="B826" s="2">
        <v>44125</v>
      </c>
      <c r="C826" s="3">
        <v>10.130000000000001</v>
      </c>
      <c r="D826" s="3">
        <v>10.36</v>
      </c>
      <c r="E826" s="3">
        <v>9.66</v>
      </c>
      <c r="F826" s="3">
        <v>9.66</v>
      </c>
      <c r="G826" s="3">
        <v>2092670</v>
      </c>
      <c r="H826" s="8">
        <f t="shared" si="73"/>
        <v>-5.0147492625368706</v>
      </c>
      <c r="I826">
        <f t="shared" si="74"/>
        <v>10.138</v>
      </c>
      <c r="J826" s="6" cm="1">
        <f t="array" ref="J826">_xlfn.STDEV.S(IF($A:$A=A826, $F:$F))</f>
        <v>0.32491537359749562</v>
      </c>
      <c r="P826" s="8">
        <f t="shared" si="75"/>
        <v>-5.0147492625368706</v>
      </c>
      <c r="Q826" s="8">
        <f t="shared" si="76"/>
        <v>-5.0147492625368706</v>
      </c>
      <c r="R826" s="8">
        <f t="shared" si="77"/>
        <v>-5.0147492625368706</v>
      </c>
    </row>
    <row r="827" spans="1:18" x14ac:dyDescent="0.25">
      <c r="A827" s="7">
        <f t="shared" si="72"/>
        <v>166</v>
      </c>
      <c r="B827" s="2">
        <v>44126</v>
      </c>
      <c r="C827" s="3">
        <v>9.6199999999999992</v>
      </c>
      <c r="D827" s="3">
        <v>10</v>
      </c>
      <c r="E827" s="3">
        <v>9.25</v>
      </c>
      <c r="F827" s="3">
        <v>10</v>
      </c>
      <c r="G827" s="3">
        <v>1493090</v>
      </c>
      <c r="H827" s="8">
        <f t="shared" si="73"/>
        <v>-10</v>
      </c>
      <c r="I827">
        <f t="shared" si="74"/>
        <v>9.4520000000000017</v>
      </c>
      <c r="J827" s="6" cm="1">
        <f t="array" ref="J827">_xlfn.STDEV.S(IF($A:$A=A827, $F:$F))</f>
        <v>0.49751381890355589</v>
      </c>
      <c r="P827" s="8">
        <f t="shared" si="75"/>
        <v>-10</v>
      </c>
      <c r="Q827" s="8">
        <f t="shared" si="76"/>
        <v>-10</v>
      </c>
      <c r="R827" s="11">
        <f t="shared" si="77"/>
        <v>-10</v>
      </c>
    </row>
    <row r="828" spans="1:18" x14ac:dyDescent="0.25">
      <c r="A828" s="7">
        <f t="shared" si="72"/>
        <v>166</v>
      </c>
      <c r="B828" s="2">
        <v>44127</v>
      </c>
      <c r="C828" s="3">
        <v>10.28</v>
      </c>
      <c r="D828" s="3">
        <v>10.3</v>
      </c>
      <c r="E828" s="3">
        <v>9.9499999999999993</v>
      </c>
      <c r="F828" s="3">
        <v>9.9600000000000009</v>
      </c>
      <c r="G828" s="3">
        <v>638890</v>
      </c>
      <c r="H828" s="8">
        <f t="shared" si="73"/>
        <v>-10</v>
      </c>
      <c r="I828">
        <f t="shared" si="74"/>
        <v>9.4520000000000017</v>
      </c>
      <c r="J828" s="6" cm="1">
        <f t="array" ref="J828">_xlfn.STDEV.S(IF($A:$A=A828, $F:$F))</f>
        <v>0.49751381890355589</v>
      </c>
      <c r="P828" s="8">
        <f t="shared" si="75"/>
        <v>-10</v>
      </c>
      <c r="Q828" s="8">
        <f t="shared" si="76"/>
        <v>-10</v>
      </c>
      <c r="R828" s="11">
        <f t="shared" si="77"/>
        <v>-10</v>
      </c>
    </row>
    <row r="829" spans="1:18" x14ac:dyDescent="0.25">
      <c r="A829" s="7">
        <f t="shared" si="72"/>
        <v>166</v>
      </c>
      <c r="B829" s="2">
        <v>44130</v>
      </c>
      <c r="C829" s="3">
        <v>10</v>
      </c>
      <c r="D829" s="3">
        <v>10</v>
      </c>
      <c r="E829" s="3">
        <v>9.3000000000000007</v>
      </c>
      <c r="F829" s="3">
        <v>9.3000000000000007</v>
      </c>
      <c r="G829" s="3">
        <v>1140160</v>
      </c>
      <c r="H829" s="8">
        <f t="shared" si="73"/>
        <v>-10</v>
      </c>
      <c r="I829">
        <f t="shared" si="74"/>
        <v>9.4520000000000017</v>
      </c>
      <c r="J829" s="6" cm="1">
        <f t="array" ref="J829">_xlfn.STDEV.S(IF($A:$A=A829, $F:$F))</f>
        <v>0.49751381890355589</v>
      </c>
      <c r="P829" s="8">
        <f t="shared" si="75"/>
        <v>-10</v>
      </c>
      <c r="Q829" s="8">
        <f t="shared" si="76"/>
        <v>-10</v>
      </c>
      <c r="R829" s="11">
        <f t="shared" si="77"/>
        <v>-10</v>
      </c>
    </row>
    <row r="830" spans="1:18" x14ac:dyDescent="0.25">
      <c r="A830" s="7">
        <f t="shared" si="72"/>
        <v>166</v>
      </c>
      <c r="B830" s="2">
        <v>44131</v>
      </c>
      <c r="C830" s="3">
        <v>9.35</v>
      </c>
      <c r="D830" s="3">
        <v>9.4499999999999993</v>
      </c>
      <c r="E830" s="3">
        <v>8.8800000000000008</v>
      </c>
      <c r="F830" s="3">
        <v>9</v>
      </c>
      <c r="G830" s="3">
        <v>1382920</v>
      </c>
      <c r="H830" s="8">
        <f t="shared" si="73"/>
        <v>-10</v>
      </c>
      <c r="I830">
        <f t="shared" si="74"/>
        <v>9.4520000000000017</v>
      </c>
      <c r="J830" s="6" cm="1">
        <f t="array" ref="J830">_xlfn.STDEV.S(IF($A:$A=A830, $F:$F))</f>
        <v>0.49751381890355589</v>
      </c>
      <c r="P830" s="8">
        <f t="shared" si="75"/>
        <v>-10</v>
      </c>
      <c r="Q830" s="8">
        <f t="shared" si="76"/>
        <v>-10</v>
      </c>
      <c r="R830" s="11">
        <f t="shared" si="77"/>
        <v>-10</v>
      </c>
    </row>
    <row r="831" spans="1:18" x14ac:dyDescent="0.25">
      <c r="A831" s="7">
        <f t="shared" si="72"/>
        <v>166</v>
      </c>
      <c r="B831" s="2">
        <v>44132</v>
      </c>
      <c r="C831" s="3">
        <v>8.8800000000000008</v>
      </c>
      <c r="D831" s="3">
        <v>9.3000000000000007</v>
      </c>
      <c r="E831" s="3">
        <v>8.84</v>
      </c>
      <c r="F831" s="3">
        <v>9</v>
      </c>
      <c r="G831" s="3">
        <v>979310</v>
      </c>
      <c r="H831" s="8">
        <f t="shared" si="73"/>
        <v>-10</v>
      </c>
      <c r="I831">
        <f t="shared" si="74"/>
        <v>9.4520000000000017</v>
      </c>
      <c r="J831" s="6" cm="1">
        <f t="array" ref="J831">_xlfn.STDEV.S(IF($A:$A=A831, $F:$F))</f>
        <v>0.49751381890355589</v>
      </c>
      <c r="P831" s="8">
        <f t="shared" si="75"/>
        <v>-10</v>
      </c>
      <c r="Q831" s="8">
        <f t="shared" si="76"/>
        <v>-10</v>
      </c>
      <c r="R831" s="11">
        <f t="shared" si="77"/>
        <v>-10</v>
      </c>
    </row>
    <row r="832" spans="1:18" x14ac:dyDescent="0.25">
      <c r="A832" s="7">
        <f t="shared" si="72"/>
        <v>167</v>
      </c>
      <c r="B832" s="2">
        <v>44133</v>
      </c>
      <c r="C832" s="3">
        <v>9.35</v>
      </c>
      <c r="D832" s="3">
        <v>9.5299999999999994</v>
      </c>
      <c r="E832" s="3">
        <v>9.09</v>
      </c>
      <c r="F832" s="3">
        <v>9.3000000000000007</v>
      </c>
      <c r="G832" s="3">
        <v>866190</v>
      </c>
      <c r="H832" s="8">
        <f t="shared" si="73"/>
        <v>8.6021505376343974</v>
      </c>
      <c r="I832">
        <f t="shared" si="74"/>
        <v>9.772000000000002</v>
      </c>
      <c r="J832" s="6" cm="1">
        <f t="array" ref="J832">_xlfn.STDEV.S(IF($A:$A=A832, $F:$F))</f>
        <v>0.32820725159569497</v>
      </c>
      <c r="P832" s="8">
        <f t="shared" si="75"/>
        <v>8.6021505376343974</v>
      </c>
      <c r="Q832" s="8">
        <f t="shared" si="76"/>
        <v>8.6021505376343974</v>
      </c>
      <c r="R832" s="8">
        <f t="shared" si="77"/>
        <v>8.6021505376343974</v>
      </c>
    </row>
    <row r="833" spans="1:18" x14ac:dyDescent="0.25">
      <c r="A833" s="7">
        <f t="shared" si="72"/>
        <v>167</v>
      </c>
      <c r="B833" s="2">
        <v>44134</v>
      </c>
      <c r="C833" s="3">
        <v>9.3000000000000007</v>
      </c>
      <c r="D833" s="3">
        <v>9.66</v>
      </c>
      <c r="E833" s="3">
        <v>9.3000000000000007</v>
      </c>
      <c r="F833" s="3">
        <v>9.58</v>
      </c>
      <c r="G833" s="3">
        <v>849500</v>
      </c>
      <c r="H833" s="8">
        <f t="shared" si="73"/>
        <v>8.6021505376343974</v>
      </c>
      <c r="I833">
        <f t="shared" si="74"/>
        <v>9.772000000000002</v>
      </c>
      <c r="J833" s="6" cm="1">
        <f t="array" ref="J833">_xlfn.STDEV.S(IF($A:$A=A833, $F:$F))</f>
        <v>0.32820725159569497</v>
      </c>
      <c r="P833" s="8">
        <f t="shared" si="75"/>
        <v>8.6021505376343974</v>
      </c>
      <c r="Q833" s="8">
        <f t="shared" si="76"/>
        <v>8.6021505376343974</v>
      </c>
      <c r="R833" s="8">
        <f t="shared" si="77"/>
        <v>8.6021505376343974</v>
      </c>
    </row>
    <row r="834" spans="1:18" x14ac:dyDescent="0.25">
      <c r="A834" s="7">
        <f t="shared" si="72"/>
        <v>167</v>
      </c>
      <c r="B834" s="2">
        <v>44137</v>
      </c>
      <c r="C834" s="3">
        <v>9.65</v>
      </c>
      <c r="D834" s="3">
        <v>10.08</v>
      </c>
      <c r="E834" s="3">
        <v>9.61</v>
      </c>
      <c r="F834" s="3">
        <v>10</v>
      </c>
      <c r="G834" s="3">
        <v>842750</v>
      </c>
      <c r="H834" s="8">
        <f t="shared" si="73"/>
        <v>8.6021505376343974</v>
      </c>
      <c r="I834">
        <f t="shared" si="74"/>
        <v>9.772000000000002</v>
      </c>
      <c r="J834" s="6" cm="1">
        <f t="array" ref="J834">_xlfn.STDEV.S(IF($A:$A=A834, $F:$F))</f>
        <v>0.32820725159569497</v>
      </c>
      <c r="P834" s="8">
        <f t="shared" si="75"/>
        <v>8.6021505376343974</v>
      </c>
      <c r="Q834" s="8">
        <f t="shared" si="76"/>
        <v>8.6021505376343974</v>
      </c>
      <c r="R834" s="8">
        <f t="shared" si="77"/>
        <v>8.6021505376343974</v>
      </c>
    </row>
    <row r="835" spans="1:18" x14ac:dyDescent="0.25">
      <c r="A835" s="7">
        <f t="shared" ref="A835:A898" si="78">INT((ROW(A835)-ROW($A$2))/5) + 1</f>
        <v>167</v>
      </c>
      <c r="B835" s="2">
        <v>44138</v>
      </c>
      <c r="C835" s="3">
        <v>10.1</v>
      </c>
      <c r="D835" s="3">
        <v>10.15</v>
      </c>
      <c r="E835" s="3">
        <v>9.83</v>
      </c>
      <c r="F835" s="3">
        <v>9.8800000000000008</v>
      </c>
      <c r="G835" s="3">
        <v>571870</v>
      </c>
      <c r="H835" s="8">
        <f t="shared" ref="H835:H898" si="79">IF(A835=A834, H834, (F839-F835)/F835*100)</f>
        <v>8.6021505376343974</v>
      </c>
      <c r="I835">
        <f t="shared" ref="I835:I898" si="80">AVERAGEIF($A:$A, A835, $F:$F)</f>
        <v>9.772000000000002</v>
      </c>
      <c r="J835" s="6" cm="1">
        <f t="array" ref="J835">_xlfn.STDEV.S(IF($A:$A=A835, $F:$F))</f>
        <v>0.32820725159569497</v>
      </c>
      <c r="P835" s="8">
        <f t="shared" ref="P835:P898" si="81">IF(A835=A834,P834,(F839-F835)/F835*100)</f>
        <v>8.6021505376343974</v>
      </c>
      <c r="Q835" s="8">
        <f t="shared" ref="Q835:Q898" si="82">IF(A835=A834,Q834,(F839-F835)/F835*100)</f>
        <v>8.6021505376343974</v>
      </c>
      <c r="R835" s="8">
        <f t="shared" ref="R835:R898" si="83">IF(A835=A834,R834,(F839-F835)/F835*100)</f>
        <v>8.6021505376343974</v>
      </c>
    </row>
    <row r="836" spans="1:18" x14ac:dyDescent="0.25">
      <c r="A836" s="7">
        <f t="shared" si="78"/>
        <v>167</v>
      </c>
      <c r="B836" s="2">
        <v>44139</v>
      </c>
      <c r="C836" s="3">
        <v>10</v>
      </c>
      <c r="D836" s="3">
        <v>10.210000000000001</v>
      </c>
      <c r="E836" s="3">
        <v>9.93</v>
      </c>
      <c r="F836" s="3">
        <v>10.1</v>
      </c>
      <c r="G836" s="3">
        <v>935280</v>
      </c>
      <c r="H836" s="8">
        <f t="shared" si="79"/>
        <v>8.6021505376343974</v>
      </c>
      <c r="I836">
        <f t="shared" si="80"/>
        <v>9.772000000000002</v>
      </c>
      <c r="J836" s="6" cm="1">
        <f t="array" ref="J836">_xlfn.STDEV.S(IF($A:$A=A836, $F:$F))</f>
        <v>0.32820725159569497</v>
      </c>
      <c r="P836" s="8">
        <f t="shared" si="81"/>
        <v>8.6021505376343974</v>
      </c>
      <c r="Q836" s="8">
        <f t="shared" si="82"/>
        <v>8.6021505376343974</v>
      </c>
      <c r="R836" s="8">
        <f t="shared" si="83"/>
        <v>8.6021505376343974</v>
      </c>
    </row>
    <row r="837" spans="1:18" x14ac:dyDescent="0.25">
      <c r="A837" s="7">
        <f t="shared" si="78"/>
        <v>168</v>
      </c>
      <c r="B837" s="2">
        <v>44140</v>
      </c>
      <c r="C837" s="3">
        <v>10.1</v>
      </c>
      <c r="D837" s="3">
        <v>10.25</v>
      </c>
      <c r="E837" s="3">
        <v>10</v>
      </c>
      <c r="F837" s="3">
        <v>10.1</v>
      </c>
      <c r="G837" s="3">
        <v>874250</v>
      </c>
      <c r="H837" s="8">
        <f t="shared" si="79"/>
        <v>6.4356435643564396</v>
      </c>
      <c r="I837">
        <f t="shared" si="80"/>
        <v>10.282</v>
      </c>
      <c r="J837" s="6" cm="1">
        <f t="array" ref="J837">_xlfn.STDEV.S(IF($A:$A=A837, $F:$F))</f>
        <v>0.33394610343586895</v>
      </c>
      <c r="P837" s="8">
        <f t="shared" si="81"/>
        <v>6.4356435643564396</v>
      </c>
      <c r="Q837" s="8">
        <f t="shared" si="82"/>
        <v>6.4356435643564396</v>
      </c>
      <c r="R837" s="8">
        <f t="shared" si="83"/>
        <v>6.4356435643564396</v>
      </c>
    </row>
    <row r="838" spans="1:18" x14ac:dyDescent="0.25">
      <c r="A838" s="7">
        <f t="shared" si="78"/>
        <v>168</v>
      </c>
      <c r="B838" s="2">
        <v>44141</v>
      </c>
      <c r="C838" s="3">
        <v>10.210000000000001</v>
      </c>
      <c r="D838" s="3">
        <v>10.210000000000001</v>
      </c>
      <c r="E838" s="3">
        <v>9.8699999999999992</v>
      </c>
      <c r="F838" s="3">
        <v>10.02</v>
      </c>
      <c r="G838" s="3">
        <v>681830</v>
      </c>
      <c r="H838" s="8">
        <f t="shared" si="79"/>
        <v>6.4356435643564396</v>
      </c>
      <c r="I838">
        <f t="shared" si="80"/>
        <v>10.282</v>
      </c>
      <c r="J838" s="6" cm="1">
        <f t="array" ref="J838">_xlfn.STDEV.S(IF($A:$A=A838, $F:$F))</f>
        <v>0.33394610343586895</v>
      </c>
      <c r="P838" s="8">
        <f t="shared" si="81"/>
        <v>6.4356435643564396</v>
      </c>
      <c r="Q838" s="8">
        <f t="shared" si="82"/>
        <v>6.4356435643564396</v>
      </c>
      <c r="R838" s="8">
        <f t="shared" si="83"/>
        <v>6.4356435643564396</v>
      </c>
    </row>
    <row r="839" spans="1:18" x14ac:dyDescent="0.25">
      <c r="A839" s="7">
        <f t="shared" si="78"/>
        <v>168</v>
      </c>
      <c r="B839" s="2">
        <v>44144</v>
      </c>
      <c r="C839" s="3">
        <v>10</v>
      </c>
      <c r="D839" s="3">
        <v>10.1</v>
      </c>
      <c r="E839" s="3">
        <v>9.9600000000000009</v>
      </c>
      <c r="F839" s="3">
        <v>10.02</v>
      </c>
      <c r="G839" s="3">
        <v>446200</v>
      </c>
      <c r="H839" s="8">
        <f t="shared" si="79"/>
        <v>6.4356435643564396</v>
      </c>
      <c r="I839">
        <f t="shared" si="80"/>
        <v>10.282</v>
      </c>
      <c r="J839" s="6" cm="1">
        <f t="array" ref="J839">_xlfn.STDEV.S(IF($A:$A=A839, $F:$F))</f>
        <v>0.33394610343586895</v>
      </c>
      <c r="P839" s="8">
        <f t="shared" si="81"/>
        <v>6.4356435643564396</v>
      </c>
      <c r="Q839" s="8">
        <f t="shared" si="82"/>
        <v>6.4356435643564396</v>
      </c>
      <c r="R839" s="8">
        <f t="shared" si="83"/>
        <v>6.4356435643564396</v>
      </c>
    </row>
    <row r="840" spans="1:18" x14ac:dyDescent="0.25">
      <c r="A840" s="7">
        <f t="shared" si="78"/>
        <v>168</v>
      </c>
      <c r="B840" s="2">
        <v>44145</v>
      </c>
      <c r="C840" s="3">
        <v>10.210000000000001</v>
      </c>
      <c r="D840" s="3">
        <v>10.73</v>
      </c>
      <c r="E840" s="3">
        <v>10.050000000000001</v>
      </c>
      <c r="F840" s="3">
        <v>10.52</v>
      </c>
      <c r="G840" s="3">
        <v>3325140</v>
      </c>
      <c r="H840" s="8">
        <f t="shared" si="79"/>
        <v>6.4356435643564396</v>
      </c>
      <c r="I840">
        <f t="shared" si="80"/>
        <v>10.282</v>
      </c>
      <c r="J840" s="6" cm="1">
        <f t="array" ref="J840">_xlfn.STDEV.S(IF($A:$A=A840, $F:$F))</f>
        <v>0.33394610343586895</v>
      </c>
      <c r="P840" s="8">
        <f t="shared" si="81"/>
        <v>6.4356435643564396</v>
      </c>
      <c r="Q840" s="8">
        <f t="shared" si="82"/>
        <v>6.4356435643564396</v>
      </c>
      <c r="R840" s="8">
        <f t="shared" si="83"/>
        <v>6.4356435643564396</v>
      </c>
    </row>
    <row r="841" spans="1:18" x14ac:dyDescent="0.25">
      <c r="A841" s="7">
        <f t="shared" si="78"/>
        <v>168</v>
      </c>
      <c r="B841" s="2">
        <v>44146</v>
      </c>
      <c r="C841" s="3">
        <v>10.65</v>
      </c>
      <c r="D841" s="3">
        <v>10.91</v>
      </c>
      <c r="E841" s="3">
        <v>10.62</v>
      </c>
      <c r="F841" s="3">
        <v>10.75</v>
      </c>
      <c r="G841" s="3">
        <v>786280</v>
      </c>
      <c r="H841" s="8">
        <f t="shared" si="79"/>
        <v>6.4356435643564396</v>
      </c>
      <c r="I841">
        <f t="shared" si="80"/>
        <v>10.282</v>
      </c>
      <c r="J841" s="6" cm="1">
        <f t="array" ref="J841">_xlfn.STDEV.S(IF($A:$A=A841, $F:$F))</f>
        <v>0.33394610343586895</v>
      </c>
      <c r="P841" s="8">
        <f t="shared" si="81"/>
        <v>6.4356435643564396</v>
      </c>
      <c r="Q841" s="8">
        <f t="shared" si="82"/>
        <v>6.4356435643564396</v>
      </c>
      <c r="R841" s="8">
        <f t="shared" si="83"/>
        <v>6.4356435643564396</v>
      </c>
    </row>
    <row r="842" spans="1:18" x14ac:dyDescent="0.25">
      <c r="A842" s="7">
        <f t="shared" si="78"/>
        <v>169</v>
      </c>
      <c r="B842" s="2">
        <v>44147</v>
      </c>
      <c r="C842" s="3">
        <v>10.74</v>
      </c>
      <c r="D842" s="3">
        <v>11.17</v>
      </c>
      <c r="E842" s="3">
        <v>10.73</v>
      </c>
      <c r="F842" s="3">
        <v>11.04</v>
      </c>
      <c r="G842" s="3">
        <v>713760</v>
      </c>
      <c r="H842" s="8">
        <f t="shared" si="79"/>
        <v>1.2681159420289907</v>
      </c>
      <c r="I842">
        <f t="shared" si="80"/>
        <v>11.056000000000001</v>
      </c>
      <c r="J842" s="6" cm="1">
        <f t="array" ref="J842">_xlfn.STDEV.S(IF($A:$A=A842, $F:$F))</f>
        <v>0.1035857133006286</v>
      </c>
      <c r="P842" s="8">
        <f t="shared" si="81"/>
        <v>1.2681159420289907</v>
      </c>
      <c r="Q842" s="8">
        <f t="shared" si="82"/>
        <v>1.2681159420289907</v>
      </c>
      <c r="R842" s="8">
        <f t="shared" si="83"/>
        <v>1.2681159420289907</v>
      </c>
    </row>
    <row r="843" spans="1:18" x14ac:dyDescent="0.25">
      <c r="A843" s="7">
        <f t="shared" si="78"/>
        <v>169</v>
      </c>
      <c r="B843" s="2">
        <v>44148</v>
      </c>
      <c r="C843" s="3">
        <v>11.06</v>
      </c>
      <c r="D843" s="3">
        <v>11.09</v>
      </c>
      <c r="E843" s="3">
        <v>10.86</v>
      </c>
      <c r="F843" s="3">
        <v>10.93</v>
      </c>
      <c r="G843" s="3">
        <v>870020</v>
      </c>
      <c r="H843" s="8">
        <f t="shared" si="79"/>
        <v>1.2681159420289907</v>
      </c>
      <c r="I843">
        <f t="shared" si="80"/>
        <v>11.056000000000001</v>
      </c>
      <c r="J843" s="6" cm="1">
        <f t="array" ref="J843">_xlfn.STDEV.S(IF($A:$A=A843, $F:$F))</f>
        <v>0.1035857133006286</v>
      </c>
      <c r="P843" s="8">
        <f t="shared" si="81"/>
        <v>1.2681159420289907</v>
      </c>
      <c r="Q843" s="8">
        <f t="shared" si="82"/>
        <v>1.2681159420289907</v>
      </c>
      <c r="R843" s="8">
        <f t="shared" si="83"/>
        <v>1.2681159420289907</v>
      </c>
    </row>
    <row r="844" spans="1:18" x14ac:dyDescent="0.25">
      <c r="A844" s="7">
        <f t="shared" si="78"/>
        <v>169</v>
      </c>
      <c r="B844" s="2">
        <v>44151</v>
      </c>
      <c r="C844" s="3">
        <v>11.04</v>
      </c>
      <c r="D844" s="3">
        <v>11.27</v>
      </c>
      <c r="E844" s="3">
        <v>10.91</v>
      </c>
      <c r="F844" s="3">
        <v>10.99</v>
      </c>
      <c r="G844" s="3">
        <v>1224250</v>
      </c>
      <c r="H844" s="8">
        <f t="shared" si="79"/>
        <v>1.2681159420289907</v>
      </c>
      <c r="I844">
        <f t="shared" si="80"/>
        <v>11.056000000000001</v>
      </c>
      <c r="J844" s="6" cm="1">
        <f t="array" ref="J844">_xlfn.STDEV.S(IF($A:$A=A844, $F:$F))</f>
        <v>0.1035857133006286</v>
      </c>
      <c r="P844" s="8">
        <f t="shared" si="81"/>
        <v>1.2681159420289907</v>
      </c>
      <c r="Q844" s="8">
        <f t="shared" si="82"/>
        <v>1.2681159420289907</v>
      </c>
      <c r="R844" s="8">
        <f t="shared" si="83"/>
        <v>1.2681159420289907</v>
      </c>
    </row>
    <row r="845" spans="1:18" x14ac:dyDescent="0.25">
      <c r="A845" s="7">
        <f t="shared" si="78"/>
        <v>169</v>
      </c>
      <c r="B845" s="2">
        <v>44152</v>
      </c>
      <c r="C845" s="3">
        <v>10.99</v>
      </c>
      <c r="D845" s="3">
        <v>11.17</v>
      </c>
      <c r="E845" s="3">
        <v>10.96</v>
      </c>
      <c r="F845" s="3">
        <v>11.14</v>
      </c>
      <c r="G845" s="3">
        <v>838030</v>
      </c>
      <c r="H845" s="8">
        <f t="shared" si="79"/>
        <v>1.2681159420289907</v>
      </c>
      <c r="I845">
        <f t="shared" si="80"/>
        <v>11.056000000000001</v>
      </c>
      <c r="J845" s="6" cm="1">
        <f t="array" ref="J845">_xlfn.STDEV.S(IF($A:$A=A845, $F:$F))</f>
        <v>0.1035857133006286</v>
      </c>
      <c r="P845" s="8">
        <f t="shared" si="81"/>
        <v>1.2681159420289907</v>
      </c>
      <c r="Q845" s="8">
        <f t="shared" si="82"/>
        <v>1.2681159420289907</v>
      </c>
      <c r="R845" s="8">
        <f t="shared" si="83"/>
        <v>1.2681159420289907</v>
      </c>
    </row>
    <row r="846" spans="1:18" x14ac:dyDescent="0.25">
      <c r="A846" s="7">
        <f t="shared" si="78"/>
        <v>169</v>
      </c>
      <c r="B846" s="2">
        <v>44153</v>
      </c>
      <c r="C846" s="3">
        <v>11.14</v>
      </c>
      <c r="D846" s="3">
        <v>11.35</v>
      </c>
      <c r="E846" s="3">
        <v>11.09</v>
      </c>
      <c r="F846" s="3">
        <v>11.18</v>
      </c>
      <c r="G846" s="3">
        <v>561710</v>
      </c>
      <c r="H846" s="8">
        <f t="shared" si="79"/>
        <v>1.2681159420289907</v>
      </c>
      <c r="I846">
        <f t="shared" si="80"/>
        <v>11.056000000000001</v>
      </c>
      <c r="J846" s="6" cm="1">
        <f t="array" ref="J846">_xlfn.STDEV.S(IF($A:$A=A846, $F:$F))</f>
        <v>0.1035857133006286</v>
      </c>
      <c r="P846" s="8">
        <f t="shared" si="81"/>
        <v>1.2681159420289907</v>
      </c>
      <c r="Q846" s="8">
        <f t="shared" si="82"/>
        <v>1.2681159420289907</v>
      </c>
      <c r="R846" s="8">
        <f t="shared" si="83"/>
        <v>1.2681159420289907</v>
      </c>
    </row>
    <row r="847" spans="1:18" x14ac:dyDescent="0.25">
      <c r="A847" s="7">
        <f t="shared" si="78"/>
        <v>170</v>
      </c>
      <c r="B847" s="2">
        <v>44154</v>
      </c>
      <c r="C847" s="3">
        <v>11.17</v>
      </c>
      <c r="D847" s="3">
        <v>11.17</v>
      </c>
      <c r="E847" s="3">
        <v>10.52</v>
      </c>
      <c r="F847" s="3">
        <v>10.6</v>
      </c>
      <c r="G847" s="3">
        <v>2263060</v>
      </c>
      <c r="H847" s="8">
        <f t="shared" si="79"/>
        <v>2.1698113207547212</v>
      </c>
      <c r="I847">
        <f t="shared" si="80"/>
        <v>10.719999999999999</v>
      </c>
      <c r="J847" s="6" cm="1">
        <f t="array" ref="J847">_xlfn.STDEV.S(IF($A:$A=A847, $F:$F))</f>
        <v>0.14662878298615187</v>
      </c>
      <c r="P847" s="8">
        <f t="shared" si="81"/>
        <v>2.1698113207547212</v>
      </c>
      <c r="Q847" s="8">
        <f t="shared" si="82"/>
        <v>2.1698113207547212</v>
      </c>
      <c r="R847" s="8">
        <f t="shared" si="83"/>
        <v>2.1698113207547212</v>
      </c>
    </row>
    <row r="848" spans="1:18" x14ac:dyDescent="0.25">
      <c r="A848" s="7">
        <f t="shared" si="78"/>
        <v>170</v>
      </c>
      <c r="B848" s="2">
        <v>44155</v>
      </c>
      <c r="C848" s="3">
        <v>10.65</v>
      </c>
      <c r="D848" s="3">
        <v>10.8</v>
      </c>
      <c r="E848" s="3">
        <v>10.52</v>
      </c>
      <c r="F848" s="3">
        <v>10.57</v>
      </c>
      <c r="G848" s="3">
        <v>1079310</v>
      </c>
      <c r="H848" s="8">
        <f t="shared" si="79"/>
        <v>2.1698113207547212</v>
      </c>
      <c r="I848">
        <f t="shared" si="80"/>
        <v>10.719999999999999</v>
      </c>
      <c r="J848" s="6" cm="1">
        <f t="array" ref="J848">_xlfn.STDEV.S(IF($A:$A=A848, $F:$F))</f>
        <v>0.14662878298615187</v>
      </c>
      <c r="P848" s="8">
        <f t="shared" si="81"/>
        <v>2.1698113207547212</v>
      </c>
      <c r="Q848" s="8">
        <f t="shared" si="82"/>
        <v>2.1698113207547212</v>
      </c>
      <c r="R848" s="8">
        <f t="shared" si="83"/>
        <v>2.1698113207547212</v>
      </c>
    </row>
    <row r="849" spans="1:18" x14ac:dyDescent="0.25">
      <c r="A849" s="7">
        <f t="shared" si="78"/>
        <v>170</v>
      </c>
      <c r="B849" s="2">
        <v>44158</v>
      </c>
      <c r="C849" s="3">
        <v>10.57</v>
      </c>
      <c r="D849" s="3">
        <v>10.87</v>
      </c>
      <c r="E849" s="3">
        <v>10.56</v>
      </c>
      <c r="F849" s="3">
        <v>10.69</v>
      </c>
      <c r="G849" s="3">
        <v>811810</v>
      </c>
      <c r="H849" s="8">
        <f t="shared" si="79"/>
        <v>2.1698113207547212</v>
      </c>
      <c r="I849">
        <f t="shared" si="80"/>
        <v>10.719999999999999</v>
      </c>
      <c r="J849" s="6" cm="1">
        <f t="array" ref="J849">_xlfn.STDEV.S(IF($A:$A=A849, $F:$F))</f>
        <v>0.14662878298615187</v>
      </c>
      <c r="P849" s="8">
        <f t="shared" si="81"/>
        <v>2.1698113207547212</v>
      </c>
      <c r="Q849" s="8">
        <f t="shared" si="82"/>
        <v>2.1698113207547212</v>
      </c>
      <c r="R849" s="8">
        <f t="shared" si="83"/>
        <v>2.1698113207547212</v>
      </c>
    </row>
    <row r="850" spans="1:18" x14ac:dyDescent="0.25">
      <c r="A850" s="7">
        <f t="shared" si="78"/>
        <v>170</v>
      </c>
      <c r="B850" s="2">
        <v>44159</v>
      </c>
      <c r="C850" s="3">
        <v>10.7</v>
      </c>
      <c r="D850" s="3">
        <v>10.93</v>
      </c>
      <c r="E850" s="3">
        <v>10.6</v>
      </c>
      <c r="F850" s="3">
        <v>10.91</v>
      </c>
      <c r="G850" s="3">
        <v>967480</v>
      </c>
      <c r="H850" s="8">
        <f t="shared" si="79"/>
        <v>2.1698113207547212</v>
      </c>
      <c r="I850">
        <f t="shared" si="80"/>
        <v>10.719999999999999</v>
      </c>
      <c r="J850" s="6" cm="1">
        <f t="array" ref="J850">_xlfn.STDEV.S(IF($A:$A=A850, $F:$F))</f>
        <v>0.14662878298615187</v>
      </c>
      <c r="P850" s="8">
        <f t="shared" si="81"/>
        <v>2.1698113207547212</v>
      </c>
      <c r="Q850" s="8">
        <f t="shared" si="82"/>
        <v>2.1698113207547212</v>
      </c>
      <c r="R850" s="8">
        <f t="shared" si="83"/>
        <v>2.1698113207547212</v>
      </c>
    </row>
    <row r="851" spans="1:18" x14ac:dyDescent="0.25">
      <c r="A851" s="7">
        <f t="shared" si="78"/>
        <v>170</v>
      </c>
      <c r="B851" s="2">
        <v>44160</v>
      </c>
      <c r="C851" s="3">
        <v>10.97</v>
      </c>
      <c r="D851" s="3">
        <v>11.15</v>
      </c>
      <c r="E851" s="3">
        <v>10.78</v>
      </c>
      <c r="F851" s="3">
        <v>10.83</v>
      </c>
      <c r="G851" s="3">
        <v>891260</v>
      </c>
      <c r="H851" s="8">
        <f t="shared" si="79"/>
        <v>2.1698113207547212</v>
      </c>
      <c r="I851">
        <f t="shared" si="80"/>
        <v>10.719999999999999</v>
      </c>
      <c r="J851" s="6" cm="1">
        <f t="array" ref="J851">_xlfn.STDEV.S(IF($A:$A=A851, $F:$F))</f>
        <v>0.14662878298615187</v>
      </c>
      <c r="P851" s="8">
        <f t="shared" si="81"/>
        <v>2.1698113207547212</v>
      </c>
      <c r="Q851" s="8">
        <f t="shared" si="82"/>
        <v>2.1698113207547212</v>
      </c>
      <c r="R851" s="8">
        <f t="shared" si="83"/>
        <v>2.1698113207547212</v>
      </c>
    </row>
    <row r="852" spans="1:18" x14ac:dyDescent="0.25">
      <c r="A852" s="7">
        <f t="shared" si="78"/>
        <v>171</v>
      </c>
      <c r="B852" s="2">
        <v>44161</v>
      </c>
      <c r="C852" s="3">
        <v>10.8</v>
      </c>
      <c r="D852" s="3">
        <v>10.91</v>
      </c>
      <c r="E852" s="3">
        <v>10.63</v>
      </c>
      <c r="F852" s="3">
        <v>10.83</v>
      </c>
      <c r="G852" s="3">
        <v>491340</v>
      </c>
      <c r="H852" s="8">
        <f t="shared" si="79"/>
        <v>5.9095106186518986</v>
      </c>
      <c r="I852">
        <f t="shared" si="80"/>
        <v>11.042</v>
      </c>
      <c r="J852" s="6" cm="1">
        <f t="array" ref="J852">_xlfn.STDEV.S(IF($A:$A=A852, $F:$F))</f>
        <v>0.26366645596283217</v>
      </c>
      <c r="P852" s="8">
        <f t="shared" si="81"/>
        <v>5.9095106186518986</v>
      </c>
      <c r="Q852" s="8">
        <f t="shared" si="82"/>
        <v>5.9095106186518986</v>
      </c>
      <c r="R852" s="8">
        <f t="shared" si="83"/>
        <v>5.9095106186518986</v>
      </c>
    </row>
    <row r="853" spans="1:18" x14ac:dyDescent="0.25">
      <c r="A853" s="7">
        <f t="shared" si="78"/>
        <v>171</v>
      </c>
      <c r="B853" s="2">
        <v>44162</v>
      </c>
      <c r="C853" s="3">
        <v>10.91</v>
      </c>
      <c r="D853" s="3">
        <v>11.12</v>
      </c>
      <c r="E853" s="3">
        <v>10.78</v>
      </c>
      <c r="F853" s="3">
        <v>11.09</v>
      </c>
      <c r="G853" s="3">
        <v>1017610</v>
      </c>
      <c r="H853" s="8">
        <f t="shared" si="79"/>
        <v>5.9095106186518986</v>
      </c>
      <c r="I853">
        <f t="shared" si="80"/>
        <v>11.042</v>
      </c>
      <c r="J853" s="6" cm="1">
        <f t="array" ref="J853">_xlfn.STDEV.S(IF($A:$A=A853, $F:$F))</f>
        <v>0.26366645596283217</v>
      </c>
      <c r="P853" s="8">
        <f t="shared" si="81"/>
        <v>5.9095106186518986</v>
      </c>
      <c r="Q853" s="8">
        <f t="shared" si="82"/>
        <v>5.9095106186518986</v>
      </c>
      <c r="R853" s="8">
        <f t="shared" si="83"/>
        <v>5.9095106186518986</v>
      </c>
    </row>
    <row r="854" spans="1:18" x14ac:dyDescent="0.25">
      <c r="A854" s="7">
        <f t="shared" si="78"/>
        <v>171</v>
      </c>
      <c r="B854" s="2">
        <v>44165</v>
      </c>
      <c r="C854" s="3">
        <v>11.09</v>
      </c>
      <c r="D854" s="3">
        <v>11.12</v>
      </c>
      <c r="E854" s="3">
        <v>10.83</v>
      </c>
      <c r="F854" s="3">
        <v>10.83</v>
      </c>
      <c r="G854" s="3">
        <v>811240</v>
      </c>
      <c r="H854" s="8">
        <f t="shared" si="79"/>
        <v>5.9095106186518986</v>
      </c>
      <c r="I854">
        <f t="shared" si="80"/>
        <v>11.042</v>
      </c>
      <c r="J854" s="6" cm="1">
        <f t="array" ref="J854">_xlfn.STDEV.S(IF($A:$A=A854, $F:$F))</f>
        <v>0.26366645596283217</v>
      </c>
      <c r="P854" s="8">
        <f t="shared" si="81"/>
        <v>5.9095106186518986</v>
      </c>
      <c r="Q854" s="8">
        <f t="shared" si="82"/>
        <v>5.9095106186518986</v>
      </c>
      <c r="R854" s="8">
        <f t="shared" si="83"/>
        <v>5.9095106186518986</v>
      </c>
    </row>
    <row r="855" spans="1:18" x14ac:dyDescent="0.25">
      <c r="A855" s="7">
        <f t="shared" si="78"/>
        <v>171</v>
      </c>
      <c r="B855" s="2">
        <v>44166</v>
      </c>
      <c r="C855" s="3">
        <v>10.73</v>
      </c>
      <c r="D855" s="3">
        <v>11.04</v>
      </c>
      <c r="E855" s="3">
        <v>10.61</v>
      </c>
      <c r="F855" s="3">
        <v>10.99</v>
      </c>
      <c r="G855" s="3">
        <v>900090</v>
      </c>
      <c r="H855" s="8">
        <f t="shared" si="79"/>
        <v>5.9095106186518986</v>
      </c>
      <c r="I855">
        <f t="shared" si="80"/>
        <v>11.042</v>
      </c>
      <c r="J855" s="6" cm="1">
        <f t="array" ref="J855">_xlfn.STDEV.S(IF($A:$A=A855, $F:$F))</f>
        <v>0.26366645596283217</v>
      </c>
      <c r="P855" s="8">
        <f t="shared" si="81"/>
        <v>5.9095106186518986</v>
      </c>
      <c r="Q855" s="8">
        <f t="shared" si="82"/>
        <v>5.9095106186518986</v>
      </c>
      <c r="R855" s="8">
        <f t="shared" si="83"/>
        <v>5.9095106186518986</v>
      </c>
    </row>
    <row r="856" spans="1:18" x14ac:dyDescent="0.25">
      <c r="A856" s="7">
        <f t="shared" si="78"/>
        <v>171</v>
      </c>
      <c r="B856" s="2">
        <v>44167</v>
      </c>
      <c r="C856" s="3">
        <v>11.04</v>
      </c>
      <c r="D856" s="3">
        <v>11.69</v>
      </c>
      <c r="E856" s="3">
        <v>10.99</v>
      </c>
      <c r="F856" s="3">
        <v>11.47</v>
      </c>
      <c r="G856" s="3">
        <v>1692930</v>
      </c>
      <c r="H856" s="8">
        <f t="shared" si="79"/>
        <v>5.9095106186518986</v>
      </c>
      <c r="I856">
        <f t="shared" si="80"/>
        <v>11.042</v>
      </c>
      <c r="J856" s="6" cm="1">
        <f t="array" ref="J856">_xlfn.STDEV.S(IF($A:$A=A856, $F:$F))</f>
        <v>0.26366645596283217</v>
      </c>
      <c r="P856" s="8">
        <f t="shared" si="81"/>
        <v>5.9095106186518986</v>
      </c>
      <c r="Q856" s="8">
        <f t="shared" si="82"/>
        <v>5.9095106186518986</v>
      </c>
      <c r="R856" s="8">
        <f t="shared" si="83"/>
        <v>5.9095106186518986</v>
      </c>
    </row>
    <row r="857" spans="1:18" x14ac:dyDescent="0.25">
      <c r="A857" s="7">
        <f t="shared" si="78"/>
        <v>172</v>
      </c>
      <c r="B857" s="2">
        <v>44168</v>
      </c>
      <c r="C857" s="3">
        <v>11.48</v>
      </c>
      <c r="D857" s="3">
        <v>11.63</v>
      </c>
      <c r="E857" s="3">
        <v>11.22</v>
      </c>
      <c r="F857" s="3">
        <v>11.48</v>
      </c>
      <c r="G857" s="3">
        <v>806490</v>
      </c>
      <c r="H857" s="8">
        <f t="shared" si="79"/>
        <v>-0.60975609756097804</v>
      </c>
      <c r="I857">
        <f t="shared" si="80"/>
        <v>11.441999999999998</v>
      </c>
      <c r="J857" s="6" cm="1">
        <f t="array" ref="J857">_xlfn.STDEV.S(IF($A:$A=A857, $F:$F))</f>
        <v>0.10756393447619882</v>
      </c>
      <c r="P857" s="8">
        <f t="shared" si="81"/>
        <v>-0.60975609756097804</v>
      </c>
      <c r="Q857" s="8">
        <f t="shared" si="82"/>
        <v>-0.60975609756097804</v>
      </c>
      <c r="R857" s="8">
        <f t="shared" si="83"/>
        <v>-0.60975609756097804</v>
      </c>
    </row>
    <row r="858" spans="1:18" x14ac:dyDescent="0.25">
      <c r="A858" s="7">
        <f t="shared" si="78"/>
        <v>172</v>
      </c>
      <c r="B858" s="2">
        <v>44169</v>
      </c>
      <c r="C858" s="3">
        <v>11.37</v>
      </c>
      <c r="D858" s="3">
        <v>11.53</v>
      </c>
      <c r="E858" s="3">
        <v>11.34</v>
      </c>
      <c r="F858" s="3">
        <v>11.34</v>
      </c>
      <c r="G858" s="3">
        <v>819320</v>
      </c>
      <c r="H858" s="8">
        <f t="shared" si="79"/>
        <v>-0.60975609756097804</v>
      </c>
      <c r="I858">
        <f t="shared" si="80"/>
        <v>11.441999999999998</v>
      </c>
      <c r="J858" s="6" cm="1">
        <f t="array" ref="J858">_xlfn.STDEV.S(IF($A:$A=A858, $F:$F))</f>
        <v>0.10756393447619882</v>
      </c>
      <c r="P858" s="8">
        <f t="shared" si="81"/>
        <v>-0.60975609756097804</v>
      </c>
      <c r="Q858" s="8">
        <f t="shared" si="82"/>
        <v>-0.60975609756097804</v>
      </c>
      <c r="R858" s="8">
        <f t="shared" si="83"/>
        <v>-0.60975609756097804</v>
      </c>
    </row>
    <row r="859" spans="1:18" x14ac:dyDescent="0.25">
      <c r="A859" s="7">
        <f t="shared" si="78"/>
        <v>172</v>
      </c>
      <c r="B859" s="2">
        <v>44172</v>
      </c>
      <c r="C859" s="3">
        <v>11.35</v>
      </c>
      <c r="D859" s="3">
        <v>11.5</v>
      </c>
      <c r="E859" s="3">
        <v>11.27</v>
      </c>
      <c r="F859" s="3">
        <v>11.37</v>
      </c>
      <c r="G859" s="3">
        <v>725010</v>
      </c>
      <c r="H859" s="8">
        <f t="shared" si="79"/>
        <v>-0.60975609756097804</v>
      </c>
      <c r="I859">
        <f t="shared" si="80"/>
        <v>11.441999999999998</v>
      </c>
      <c r="J859" s="6" cm="1">
        <f t="array" ref="J859">_xlfn.STDEV.S(IF($A:$A=A859, $F:$F))</f>
        <v>0.10756393447619882</v>
      </c>
      <c r="P859" s="8">
        <f t="shared" si="81"/>
        <v>-0.60975609756097804</v>
      </c>
      <c r="Q859" s="8">
        <f t="shared" si="82"/>
        <v>-0.60975609756097804</v>
      </c>
      <c r="R859" s="8">
        <f t="shared" si="83"/>
        <v>-0.60975609756097804</v>
      </c>
    </row>
    <row r="860" spans="1:18" x14ac:dyDescent="0.25">
      <c r="A860" s="7">
        <f t="shared" si="78"/>
        <v>172</v>
      </c>
      <c r="B860" s="2">
        <v>44173</v>
      </c>
      <c r="C860" s="3">
        <v>11.37</v>
      </c>
      <c r="D860" s="3">
        <v>11.76</v>
      </c>
      <c r="E860" s="3">
        <v>11.35</v>
      </c>
      <c r="F860" s="3">
        <v>11.61</v>
      </c>
      <c r="G860" s="3">
        <v>1584210</v>
      </c>
      <c r="H860" s="8">
        <f t="shared" si="79"/>
        <v>-0.60975609756097804</v>
      </c>
      <c r="I860">
        <f t="shared" si="80"/>
        <v>11.441999999999998</v>
      </c>
      <c r="J860" s="6" cm="1">
        <f t="array" ref="J860">_xlfn.STDEV.S(IF($A:$A=A860, $F:$F))</f>
        <v>0.10756393447619882</v>
      </c>
      <c r="P860" s="8">
        <f t="shared" si="81"/>
        <v>-0.60975609756097804</v>
      </c>
      <c r="Q860" s="8">
        <f t="shared" si="82"/>
        <v>-0.60975609756097804</v>
      </c>
      <c r="R860" s="8">
        <f t="shared" si="83"/>
        <v>-0.60975609756097804</v>
      </c>
    </row>
    <row r="861" spans="1:18" x14ac:dyDescent="0.25">
      <c r="A861" s="7">
        <f t="shared" si="78"/>
        <v>172</v>
      </c>
      <c r="B861" s="2">
        <v>44174</v>
      </c>
      <c r="C861" s="3">
        <v>11.69</v>
      </c>
      <c r="D861" s="3">
        <v>11.76</v>
      </c>
      <c r="E861" s="3">
        <v>11.41</v>
      </c>
      <c r="F861" s="3">
        <v>11.41</v>
      </c>
      <c r="G861" s="3">
        <v>1743300</v>
      </c>
      <c r="H861" s="8">
        <f t="shared" si="79"/>
        <v>-0.60975609756097804</v>
      </c>
      <c r="I861">
        <f t="shared" si="80"/>
        <v>11.441999999999998</v>
      </c>
      <c r="J861" s="6" cm="1">
        <f t="array" ref="J861">_xlfn.STDEV.S(IF($A:$A=A861, $F:$F))</f>
        <v>0.10756393447619882</v>
      </c>
      <c r="P861" s="8">
        <f t="shared" si="81"/>
        <v>-0.60975609756097804</v>
      </c>
      <c r="Q861" s="8">
        <f t="shared" si="82"/>
        <v>-0.60975609756097804</v>
      </c>
      <c r="R861" s="8">
        <f t="shared" si="83"/>
        <v>-0.60975609756097804</v>
      </c>
    </row>
    <row r="862" spans="1:18" x14ac:dyDescent="0.25">
      <c r="A862" s="7">
        <f t="shared" si="78"/>
        <v>173</v>
      </c>
      <c r="B862" s="2">
        <v>44175</v>
      </c>
      <c r="C862" s="3">
        <v>11.43</v>
      </c>
      <c r="D862" s="3">
        <v>11.69</v>
      </c>
      <c r="E862" s="3">
        <v>11.17</v>
      </c>
      <c r="F862" s="3">
        <v>11.17</v>
      </c>
      <c r="G862" s="3">
        <v>1661160</v>
      </c>
      <c r="H862" s="8">
        <f t="shared" si="79"/>
        <v>4.297224709042081</v>
      </c>
      <c r="I862">
        <f t="shared" si="80"/>
        <v>11.513999999999999</v>
      </c>
      <c r="J862" s="6" cm="1">
        <f t="array" ref="J862">_xlfn.STDEV.S(IF($A:$A=A862, $F:$F))</f>
        <v>0.26330590574463009</v>
      </c>
      <c r="P862" s="8">
        <f t="shared" si="81"/>
        <v>4.297224709042081</v>
      </c>
      <c r="Q862" s="8">
        <f t="shared" si="82"/>
        <v>4.297224709042081</v>
      </c>
      <c r="R862" s="8">
        <f t="shared" si="83"/>
        <v>4.297224709042081</v>
      </c>
    </row>
    <row r="863" spans="1:18" x14ac:dyDescent="0.25">
      <c r="A863" s="7">
        <f t="shared" si="78"/>
        <v>173</v>
      </c>
      <c r="B863" s="2">
        <v>44176</v>
      </c>
      <c r="C863" s="3">
        <v>11.17</v>
      </c>
      <c r="D863" s="3">
        <v>11.35</v>
      </c>
      <c r="E863" s="3">
        <v>11.1</v>
      </c>
      <c r="F863" s="3">
        <v>11.32</v>
      </c>
      <c r="G863" s="3">
        <v>801940</v>
      </c>
      <c r="H863" s="8">
        <f t="shared" si="79"/>
        <v>4.297224709042081</v>
      </c>
      <c r="I863">
        <f t="shared" si="80"/>
        <v>11.513999999999999</v>
      </c>
      <c r="J863" s="6" cm="1">
        <f t="array" ref="J863">_xlfn.STDEV.S(IF($A:$A=A863, $F:$F))</f>
        <v>0.26330590574463009</v>
      </c>
      <c r="P863" s="8">
        <f t="shared" si="81"/>
        <v>4.297224709042081</v>
      </c>
      <c r="Q863" s="8">
        <f t="shared" si="82"/>
        <v>4.297224709042081</v>
      </c>
      <c r="R863" s="8">
        <f t="shared" si="83"/>
        <v>4.297224709042081</v>
      </c>
    </row>
    <row r="864" spans="1:18" x14ac:dyDescent="0.25">
      <c r="A864" s="7">
        <f t="shared" si="78"/>
        <v>173</v>
      </c>
      <c r="B864" s="2">
        <v>44179</v>
      </c>
      <c r="C864" s="3">
        <v>11.32</v>
      </c>
      <c r="D864" s="3">
        <v>11.92</v>
      </c>
      <c r="E864" s="3">
        <v>11.32</v>
      </c>
      <c r="F864" s="3">
        <v>11.82</v>
      </c>
      <c r="G864" s="3">
        <v>1292050</v>
      </c>
      <c r="H864" s="8">
        <f t="shared" si="79"/>
        <v>4.297224709042081</v>
      </c>
      <c r="I864">
        <f t="shared" si="80"/>
        <v>11.513999999999999</v>
      </c>
      <c r="J864" s="6" cm="1">
        <f t="array" ref="J864">_xlfn.STDEV.S(IF($A:$A=A864, $F:$F))</f>
        <v>0.26330590574463009</v>
      </c>
      <c r="P864" s="8">
        <f t="shared" si="81"/>
        <v>4.297224709042081</v>
      </c>
      <c r="Q864" s="8">
        <f t="shared" si="82"/>
        <v>4.297224709042081</v>
      </c>
      <c r="R864" s="8">
        <f t="shared" si="83"/>
        <v>4.297224709042081</v>
      </c>
    </row>
    <row r="865" spans="1:18" x14ac:dyDescent="0.25">
      <c r="A865" s="7">
        <f t="shared" si="78"/>
        <v>173</v>
      </c>
      <c r="B865" s="2">
        <v>44180</v>
      </c>
      <c r="C865" s="3">
        <v>11.82</v>
      </c>
      <c r="D865" s="3">
        <v>11.95</v>
      </c>
      <c r="E865" s="3">
        <v>11.56</v>
      </c>
      <c r="F865" s="3">
        <v>11.61</v>
      </c>
      <c r="G865" s="3">
        <v>1256310</v>
      </c>
      <c r="H865" s="8">
        <f t="shared" si="79"/>
        <v>4.297224709042081</v>
      </c>
      <c r="I865">
        <f t="shared" si="80"/>
        <v>11.513999999999999</v>
      </c>
      <c r="J865" s="6" cm="1">
        <f t="array" ref="J865">_xlfn.STDEV.S(IF($A:$A=A865, $F:$F))</f>
        <v>0.26330590574463009</v>
      </c>
      <c r="P865" s="8">
        <f t="shared" si="81"/>
        <v>4.297224709042081</v>
      </c>
      <c r="Q865" s="8">
        <f t="shared" si="82"/>
        <v>4.297224709042081</v>
      </c>
      <c r="R865" s="8">
        <f t="shared" si="83"/>
        <v>4.297224709042081</v>
      </c>
    </row>
    <row r="866" spans="1:18" x14ac:dyDescent="0.25">
      <c r="A866" s="7">
        <f t="shared" si="78"/>
        <v>173</v>
      </c>
      <c r="B866" s="2">
        <v>44181</v>
      </c>
      <c r="C866" s="3">
        <v>11.61</v>
      </c>
      <c r="D866" s="3">
        <v>11.88</v>
      </c>
      <c r="E866" s="3">
        <v>11.52</v>
      </c>
      <c r="F866" s="3">
        <v>11.65</v>
      </c>
      <c r="G866" s="3">
        <v>1053270</v>
      </c>
      <c r="H866" s="8">
        <f t="shared" si="79"/>
        <v>4.297224709042081</v>
      </c>
      <c r="I866">
        <f t="shared" si="80"/>
        <v>11.513999999999999</v>
      </c>
      <c r="J866" s="6" cm="1">
        <f t="array" ref="J866">_xlfn.STDEV.S(IF($A:$A=A866, $F:$F))</f>
        <v>0.26330590574463009</v>
      </c>
      <c r="P866" s="8">
        <f t="shared" si="81"/>
        <v>4.297224709042081</v>
      </c>
      <c r="Q866" s="8">
        <f t="shared" si="82"/>
        <v>4.297224709042081</v>
      </c>
      <c r="R866" s="8">
        <f t="shared" si="83"/>
        <v>4.297224709042081</v>
      </c>
    </row>
    <row r="867" spans="1:18" x14ac:dyDescent="0.25">
      <c r="A867" s="7">
        <f t="shared" si="78"/>
        <v>174</v>
      </c>
      <c r="B867" s="2">
        <v>44182</v>
      </c>
      <c r="C867" s="3">
        <v>11.63</v>
      </c>
      <c r="D867" s="3">
        <v>11.73</v>
      </c>
      <c r="E867" s="3">
        <v>11.4</v>
      </c>
      <c r="F867" s="3">
        <v>11.4</v>
      </c>
      <c r="G867" s="3">
        <v>1139680</v>
      </c>
      <c r="H867" s="8">
        <f t="shared" si="79"/>
        <v>17.105263157894729</v>
      </c>
      <c r="I867">
        <f t="shared" si="80"/>
        <v>12.745999999999999</v>
      </c>
      <c r="J867" s="6" cm="1">
        <f t="array" ref="J867">_xlfn.STDEV.S(IF($A:$A=A867, $F:$F))</f>
        <v>0.94606025178103725</v>
      </c>
      <c r="P867" s="8">
        <f t="shared" si="81"/>
        <v>17.105263157894729</v>
      </c>
      <c r="Q867" s="8">
        <f t="shared" si="82"/>
        <v>17.105263157894729</v>
      </c>
      <c r="R867" s="10">
        <f t="shared" si="83"/>
        <v>17.105263157894729</v>
      </c>
    </row>
    <row r="868" spans="1:18" x14ac:dyDescent="0.25">
      <c r="A868" s="7">
        <f t="shared" si="78"/>
        <v>174</v>
      </c>
      <c r="B868" s="2">
        <v>44183</v>
      </c>
      <c r="C868" s="3">
        <v>11.66</v>
      </c>
      <c r="D868" s="3">
        <v>12.19</v>
      </c>
      <c r="E868" s="3">
        <v>11.43</v>
      </c>
      <c r="F868" s="3">
        <v>12.19</v>
      </c>
      <c r="G868" s="3">
        <v>2493590</v>
      </c>
      <c r="H868" s="8">
        <f t="shared" si="79"/>
        <v>17.105263157894729</v>
      </c>
      <c r="I868">
        <f t="shared" si="80"/>
        <v>12.745999999999999</v>
      </c>
      <c r="J868" s="6" cm="1">
        <f t="array" ref="J868">_xlfn.STDEV.S(IF($A:$A=A868, $F:$F))</f>
        <v>0.94606025178103725</v>
      </c>
      <c r="P868" s="8">
        <f t="shared" si="81"/>
        <v>17.105263157894729</v>
      </c>
      <c r="Q868" s="8">
        <f t="shared" si="82"/>
        <v>17.105263157894729</v>
      </c>
      <c r="R868" s="10">
        <f t="shared" si="83"/>
        <v>17.105263157894729</v>
      </c>
    </row>
    <row r="869" spans="1:18" x14ac:dyDescent="0.25">
      <c r="A869" s="7">
        <f t="shared" si="78"/>
        <v>174</v>
      </c>
      <c r="B869" s="2">
        <v>44186</v>
      </c>
      <c r="C869" s="3">
        <v>12.6</v>
      </c>
      <c r="D869" s="3">
        <v>13.04</v>
      </c>
      <c r="E869" s="3">
        <v>12.21</v>
      </c>
      <c r="F869" s="3">
        <v>13.04</v>
      </c>
      <c r="G869" s="3">
        <v>2151210</v>
      </c>
      <c r="H869" s="8">
        <f t="shared" si="79"/>
        <v>17.105263157894729</v>
      </c>
      <c r="I869">
        <f t="shared" si="80"/>
        <v>12.745999999999999</v>
      </c>
      <c r="J869" s="6" cm="1">
        <f t="array" ref="J869">_xlfn.STDEV.S(IF($A:$A=A869, $F:$F))</f>
        <v>0.94606025178103725</v>
      </c>
      <c r="P869" s="8">
        <f t="shared" si="81"/>
        <v>17.105263157894729</v>
      </c>
      <c r="Q869" s="8">
        <f t="shared" si="82"/>
        <v>17.105263157894729</v>
      </c>
      <c r="R869" s="10">
        <f t="shared" si="83"/>
        <v>17.105263157894729</v>
      </c>
    </row>
    <row r="870" spans="1:18" x14ac:dyDescent="0.25">
      <c r="A870" s="7">
        <f t="shared" si="78"/>
        <v>174</v>
      </c>
      <c r="B870" s="2">
        <v>44187</v>
      </c>
      <c r="C870" s="3">
        <v>13.25</v>
      </c>
      <c r="D870" s="3">
        <v>13.78</v>
      </c>
      <c r="E870" s="3">
        <v>13.06</v>
      </c>
      <c r="F870" s="3">
        <v>13.75</v>
      </c>
      <c r="G870" s="3">
        <v>1807490</v>
      </c>
      <c r="H870" s="8">
        <f t="shared" si="79"/>
        <v>17.105263157894729</v>
      </c>
      <c r="I870">
        <f t="shared" si="80"/>
        <v>12.745999999999999</v>
      </c>
      <c r="J870" s="6" cm="1">
        <f t="array" ref="J870">_xlfn.STDEV.S(IF($A:$A=A870, $F:$F))</f>
        <v>0.94606025178103725</v>
      </c>
      <c r="P870" s="8">
        <f t="shared" si="81"/>
        <v>17.105263157894729</v>
      </c>
      <c r="Q870" s="8">
        <f t="shared" si="82"/>
        <v>17.105263157894729</v>
      </c>
      <c r="R870" s="10">
        <f t="shared" si="83"/>
        <v>17.105263157894729</v>
      </c>
    </row>
    <row r="871" spans="1:18" x14ac:dyDescent="0.25">
      <c r="A871" s="7">
        <f t="shared" si="78"/>
        <v>174</v>
      </c>
      <c r="B871" s="2">
        <v>44188</v>
      </c>
      <c r="C871" s="3">
        <v>13.75</v>
      </c>
      <c r="D871" s="3">
        <v>13.75</v>
      </c>
      <c r="E871" s="3">
        <v>13.25</v>
      </c>
      <c r="F871" s="3">
        <v>13.35</v>
      </c>
      <c r="G871" s="3">
        <v>1240100</v>
      </c>
      <c r="H871" s="8">
        <f t="shared" si="79"/>
        <v>17.105263157894729</v>
      </c>
      <c r="I871">
        <f t="shared" si="80"/>
        <v>12.745999999999999</v>
      </c>
      <c r="J871" s="6" cm="1">
        <f t="array" ref="J871">_xlfn.STDEV.S(IF($A:$A=A871, $F:$F))</f>
        <v>0.94606025178103725</v>
      </c>
      <c r="P871" s="8">
        <f t="shared" si="81"/>
        <v>17.105263157894729</v>
      </c>
      <c r="Q871" s="8">
        <f t="shared" si="82"/>
        <v>17.105263157894729</v>
      </c>
      <c r="R871" s="10">
        <f t="shared" si="83"/>
        <v>17.105263157894729</v>
      </c>
    </row>
    <row r="872" spans="1:18" x14ac:dyDescent="0.25">
      <c r="A872" s="7">
        <f t="shared" si="78"/>
        <v>175</v>
      </c>
      <c r="B872" s="2">
        <v>44189</v>
      </c>
      <c r="C872" s="3">
        <v>13.28</v>
      </c>
      <c r="D872" s="3">
        <v>13.65</v>
      </c>
      <c r="E872" s="3">
        <v>12.59</v>
      </c>
      <c r="F872" s="3">
        <v>13.59</v>
      </c>
      <c r="G872" s="3">
        <v>2426070</v>
      </c>
      <c r="H872" s="8">
        <f t="shared" si="79"/>
        <v>8.830022075055183</v>
      </c>
      <c r="I872">
        <f t="shared" si="80"/>
        <v>14.233999999999998</v>
      </c>
      <c r="J872" s="6" cm="1">
        <f t="array" ref="J872">_xlfn.STDEV.S(IF($A:$A=A872, $F:$F))</f>
        <v>0.47077595520587034</v>
      </c>
      <c r="P872" s="8">
        <f t="shared" si="81"/>
        <v>8.830022075055183</v>
      </c>
      <c r="Q872" s="8">
        <f t="shared" si="82"/>
        <v>8.830022075055183</v>
      </c>
      <c r="R872" s="8">
        <f t="shared" si="83"/>
        <v>8.830022075055183</v>
      </c>
    </row>
    <row r="873" spans="1:18" x14ac:dyDescent="0.25">
      <c r="A873" s="7">
        <f t="shared" si="78"/>
        <v>175</v>
      </c>
      <c r="B873" s="2">
        <v>44190</v>
      </c>
      <c r="C873" s="3">
        <v>13.51</v>
      </c>
      <c r="D873" s="3">
        <v>14.31</v>
      </c>
      <c r="E873" s="3">
        <v>13.38</v>
      </c>
      <c r="F873" s="3">
        <v>13.96</v>
      </c>
      <c r="G873" s="3">
        <v>1405810</v>
      </c>
      <c r="H873" s="8">
        <f t="shared" si="79"/>
        <v>8.830022075055183</v>
      </c>
      <c r="I873">
        <f t="shared" si="80"/>
        <v>14.233999999999998</v>
      </c>
      <c r="J873" s="6" cm="1">
        <f t="array" ref="J873">_xlfn.STDEV.S(IF($A:$A=A873, $F:$F))</f>
        <v>0.47077595520587034</v>
      </c>
      <c r="P873" s="8">
        <f t="shared" si="81"/>
        <v>8.830022075055183</v>
      </c>
      <c r="Q873" s="8">
        <f t="shared" si="82"/>
        <v>8.830022075055183</v>
      </c>
      <c r="R873" s="8">
        <f t="shared" si="83"/>
        <v>8.830022075055183</v>
      </c>
    </row>
    <row r="874" spans="1:18" x14ac:dyDescent="0.25">
      <c r="A874" s="7">
        <f t="shared" si="78"/>
        <v>175</v>
      </c>
      <c r="B874" s="2">
        <v>44193</v>
      </c>
      <c r="C874" s="3">
        <v>14.04</v>
      </c>
      <c r="D874" s="3">
        <v>14.84</v>
      </c>
      <c r="E874" s="3">
        <v>14.04</v>
      </c>
      <c r="F874" s="3">
        <v>14.31</v>
      </c>
      <c r="G874" s="3">
        <v>2035090</v>
      </c>
      <c r="H874" s="8">
        <f t="shared" si="79"/>
        <v>8.830022075055183</v>
      </c>
      <c r="I874">
        <f t="shared" si="80"/>
        <v>14.233999999999998</v>
      </c>
      <c r="J874" s="6" cm="1">
        <f t="array" ref="J874">_xlfn.STDEV.S(IF($A:$A=A874, $F:$F))</f>
        <v>0.47077595520587034</v>
      </c>
      <c r="P874" s="8">
        <f t="shared" si="81"/>
        <v>8.830022075055183</v>
      </c>
      <c r="Q874" s="8">
        <f t="shared" si="82"/>
        <v>8.830022075055183</v>
      </c>
      <c r="R874" s="8">
        <f t="shared" si="83"/>
        <v>8.830022075055183</v>
      </c>
    </row>
    <row r="875" spans="1:18" x14ac:dyDescent="0.25">
      <c r="A875" s="7">
        <f t="shared" si="78"/>
        <v>175</v>
      </c>
      <c r="B875" s="2">
        <v>44194</v>
      </c>
      <c r="C875" s="3">
        <v>14.31</v>
      </c>
      <c r="D875" s="3">
        <v>14.81</v>
      </c>
      <c r="E875" s="3">
        <v>14.12</v>
      </c>
      <c r="F875" s="3">
        <v>14.52</v>
      </c>
      <c r="G875" s="3">
        <v>1588850</v>
      </c>
      <c r="H875" s="8">
        <f t="shared" si="79"/>
        <v>8.830022075055183</v>
      </c>
      <c r="I875">
        <f t="shared" si="80"/>
        <v>14.233999999999998</v>
      </c>
      <c r="J875" s="6" cm="1">
        <f t="array" ref="J875">_xlfn.STDEV.S(IF($A:$A=A875, $F:$F))</f>
        <v>0.47077595520587034</v>
      </c>
      <c r="P875" s="8">
        <f t="shared" si="81"/>
        <v>8.830022075055183</v>
      </c>
      <c r="Q875" s="8">
        <f t="shared" si="82"/>
        <v>8.830022075055183</v>
      </c>
      <c r="R875" s="8">
        <f t="shared" si="83"/>
        <v>8.830022075055183</v>
      </c>
    </row>
    <row r="876" spans="1:18" x14ac:dyDescent="0.25">
      <c r="A876" s="7">
        <f t="shared" si="78"/>
        <v>175</v>
      </c>
      <c r="B876" s="2">
        <v>44195</v>
      </c>
      <c r="C876" s="3">
        <v>14.39</v>
      </c>
      <c r="D876" s="3">
        <v>14.92</v>
      </c>
      <c r="E876" s="3">
        <v>14.33</v>
      </c>
      <c r="F876" s="3">
        <v>14.79</v>
      </c>
      <c r="G876" s="3">
        <v>1020290</v>
      </c>
      <c r="H876" s="8">
        <f t="shared" si="79"/>
        <v>8.830022075055183</v>
      </c>
      <c r="I876">
        <f t="shared" si="80"/>
        <v>14.233999999999998</v>
      </c>
      <c r="J876" s="6" cm="1">
        <f t="array" ref="J876">_xlfn.STDEV.S(IF($A:$A=A876, $F:$F))</f>
        <v>0.47077595520587034</v>
      </c>
      <c r="P876" s="8">
        <f t="shared" si="81"/>
        <v>8.830022075055183</v>
      </c>
      <c r="Q876" s="8">
        <f t="shared" si="82"/>
        <v>8.830022075055183</v>
      </c>
      <c r="R876" s="8">
        <f t="shared" si="83"/>
        <v>8.830022075055183</v>
      </c>
    </row>
    <row r="877" spans="1:18" x14ac:dyDescent="0.25">
      <c r="A877" s="7">
        <f t="shared" si="78"/>
        <v>176</v>
      </c>
      <c r="B877" s="2">
        <v>44196</v>
      </c>
      <c r="C877" s="3">
        <v>14.71</v>
      </c>
      <c r="D877" s="3">
        <v>15.5</v>
      </c>
      <c r="E877" s="3">
        <v>14.71</v>
      </c>
      <c r="F877" s="3">
        <v>15.42</v>
      </c>
      <c r="G877" s="3">
        <v>1188400</v>
      </c>
      <c r="H877" s="8">
        <f t="shared" si="79"/>
        <v>5.5123216601815805</v>
      </c>
      <c r="I877">
        <f t="shared" si="80"/>
        <v>16.094000000000001</v>
      </c>
      <c r="J877" s="6" cm="1">
        <f t="array" ref="J877">_xlfn.STDEV.S(IF($A:$A=A877, $F:$F))</f>
        <v>0.44741479635792125</v>
      </c>
      <c r="P877" s="8">
        <f t="shared" si="81"/>
        <v>5.5123216601815805</v>
      </c>
      <c r="Q877" s="8">
        <f t="shared" si="82"/>
        <v>5.5123216601815805</v>
      </c>
      <c r="R877" s="8">
        <f t="shared" si="83"/>
        <v>5.5123216601815805</v>
      </c>
    </row>
    <row r="878" spans="1:18" x14ac:dyDescent="0.25">
      <c r="A878" s="7">
        <f t="shared" si="78"/>
        <v>176</v>
      </c>
      <c r="B878" s="2">
        <v>44200</v>
      </c>
      <c r="C878" s="3">
        <v>15.61</v>
      </c>
      <c r="D878" s="3">
        <v>16.16</v>
      </c>
      <c r="E878" s="3">
        <v>15.61</v>
      </c>
      <c r="F878" s="3">
        <v>15.98</v>
      </c>
      <c r="G878" s="3">
        <v>1265600</v>
      </c>
      <c r="H878" s="8">
        <f t="shared" si="79"/>
        <v>5.5123216601815805</v>
      </c>
      <c r="I878">
        <f t="shared" si="80"/>
        <v>16.094000000000001</v>
      </c>
      <c r="J878" s="6" cm="1">
        <f t="array" ref="J878">_xlfn.STDEV.S(IF($A:$A=A878, $F:$F))</f>
        <v>0.44741479635792125</v>
      </c>
      <c r="P878" s="8">
        <f t="shared" si="81"/>
        <v>5.5123216601815805</v>
      </c>
      <c r="Q878" s="8">
        <f t="shared" si="82"/>
        <v>5.5123216601815805</v>
      </c>
      <c r="R878" s="8">
        <f t="shared" si="83"/>
        <v>5.5123216601815805</v>
      </c>
    </row>
    <row r="879" spans="1:18" x14ac:dyDescent="0.25">
      <c r="A879" s="7">
        <f t="shared" si="78"/>
        <v>176</v>
      </c>
      <c r="B879" s="2">
        <v>44201</v>
      </c>
      <c r="C879" s="3">
        <v>15.98</v>
      </c>
      <c r="D879" s="3">
        <v>16.91</v>
      </c>
      <c r="E879" s="3">
        <v>15.87</v>
      </c>
      <c r="F879" s="3">
        <v>16.64</v>
      </c>
      <c r="G879" s="3">
        <v>1105900</v>
      </c>
      <c r="H879" s="8">
        <f t="shared" si="79"/>
        <v>5.5123216601815805</v>
      </c>
      <c r="I879">
        <f t="shared" si="80"/>
        <v>16.094000000000001</v>
      </c>
      <c r="J879" s="6" cm="1">
        <f t="array" ref="J879">_xlfn.STDEV.S(IF($A:$A=A879, $F:$F))</f>
        <v>0.44741479635792125</v>
      </c>
      <c r="P879" s="8">
        <f t="shared" si="81"/>
        <v>5.5123216601815805</v>
      </c>
      <c r="Q879" s="8">
        <f t="shared" si="82"/>
        <v>5.5123216601815805</v>
      </c>
      <c r="R879" s="8">
        <f t="shared" si="83"/>
        <v>5.5123216601815805</v>
      </c>
    </row>
    <row r="880" spans="1:18" x14ac:dyDescent="0.25">
      <c r="A880" s="7">
        <f t="shared" si="78"/>
        <v>176</v>
      </c>
      <c r="B880" s="2">
        <v>44202</v>
      </c>
      <c r="C880" s="3">
        <v>17.059999999999999</v>
      </c>
      <c r="D880" s="3">
        <v>17.059999999999999</v>
      </c>
      <c r="E880" s="3">
        <v>16.03</v>
      </c>
      <c r="F880" s="3">
        <v>16.16</v>
      </c>
      <c r="G880" s="3">
        <v>1540700</v>
      </c>
      <c r="H880" s="8">
        <f t="shared" si="79"/>
        <v>5.5123216601815805</v>
      </c>
      <c r="I880">
        <f t="shared" si="80"/>
        <v>16.094000000000001</v>
      </c>
      <c r="J880" s="6" cm="1">
        <f t="array" ref="J880">_xlfn.STDEV.S(IF($A:$A=A880, $F:$F))</f>
        <v>0.44741479635792125</v>
      </c>
      <c r="P880" s="8">
        <f t="shared" si="81"/>
        <v>5.5123216601815805</v>
      </c>
      <c r="Q880" s="8">
        <f t="shared" si="82"/>
        <v>5.5123216601815805</v>
      </c>
      <c r="R880" s="8">
        <f t="shared" si="83"/>
        <v>5.5123216601815805</v>
      </c>
    </row>
    <row r="881" spans="1:18" x14ac:dyDescent="0.25">
      <c r="A881" s="7">
        <f t="shared" si="78"/>
        <v>176</v>
      </c>
      <c r="B881" s="2">
        <v>44203</v>
      </c>
      <c r="C881" s="3">
        <v>16.3</v>
      </c>
      <c r="D881" s="3">
        <v>16.399999999999999</v>
      </c>
      <c r="E881" s="3">
        <v>15.63</v>
      </c>
      <c r="F881" s="3">
        <v>16.27</v>
      </c>
      <c r="G881" s="3">
        <v>2686300</v>
      </c>
      <c r="H881" s="8">
        <f t="shared" si="79"/>
        <v>5.5123216601815805</v>
      </c>
      <c r="I881">
        <f t="shared" si="80"/>
        <v>16.094000000000001</v>
      </c>
      <c r="J881" s="6" cm="1">
        <f t="array" ref="J881">_xlfn.STDEV.S(IF($A:$A=A881, $F:$F))</f>
        <v>0.44741479635792125</v>
      </c>
      <c r="P881" s="8">
        <f t="shared" si="81"/>
        <v>5.5123216601815805</v>
      </c>
      <c r="Q881" s="8">
        <f t="shared" si="82"/>
        <v>5.5123216601815805</v>
      </c>
      <c r="R881" s="8">
        <f t="shared" si="83"/>
        <v>5.5123216601815805</v>
      </c>
    </row>
    <row r="882" spans="1:18" x14ac:dyDescent="0.25">
      <c r="A882" s="7">
        <f t="shared" si="78"/>
        <v>177</v>
      </c>
      <c r="B882" s="2">
        <v>44204</v>
      </c>
      <c r="C882" s="3">
        <v>16.350000000000001</v>
      </c>
      <c r="D882" s="3">
        <v>16.690000000000001</v>
      </c>
      <c r="E882" s="3">
        <v>15.77</v>
      </c>
      <c r="F882" s="3">
        <v>16</v>
      </c>
      <c r="G882" s="3">
        <v>845300</v>
      </c>
      <c r="H882" s="8">
        <f t="shared" si="79"/>
        <v>0.18750000000000711</v>
      </c>
      <c r="I882">
        <f t="shared" si="80"/>
        <v>15.825999999999999</v>
      </c>
      <c r="J882" s="6" cm="1">
        <f t="array" ref="J882">_xlfn.STDEV.S(IF($A:$A=A882, $F:$F))</f>
        <v>0.25851498989420307</v>
      </c>
      <c r="P882" s="8">
        <f t="shared" si="81"/>
        <v>0.18750000000000711</v>
      </c>
      <c r="Q882" s="8">
        <f t="shared" si="82"/>
        <v>0.18750000000000711</v>
      </c>
      <c r="R882" s="8">
        <f t="shared" si="83"/>
        <v>0.18750000000000711</v>
      </c>
    </row>
    <row r="883" spans="1:18" x14ac:dyDescent="0.25">
      <c r="A883" s="7">
        <f t="shared" si="78"/>
        <v>177</v>
      </c>
      <c r="B883" s="2">
        <v>44207</v>
      </c>
      <c r="C883" s="3">
        <v>15.92</v>
      </c>
      <c r="D883" s="3">
        <v>16</v>
      </c>
      <c r="E883" s="3">
        <v>15.37</v>
      </c>
      <c r="F883" s="3">
        <v>15.47</v>
      </c>
      <c r="G883" s="3">
        <v>1715300</v>
      </c>
      <c r="H883" s="8">
        <f t="shared" si="79"/>
        <v>0.18750000000000711</v>
      </c>
      <c r="I883">
        <f t="shared" si="80"/>
        <v>15.825999999999999</v>
      </c>
      <c r="J883" s="6" cm="1">
        <f t="array" ref="J883">_xlfn.STDEV.S(IF($A:$A=A883, $F:$F))</f>
        <v>0.25851498989420307</v>
      </c>
      <c r="P883" s="8">
        <f t="shared" si="81"/>
        <v>0.18750000000000711</v>
      </c>
      <c r="Q883" s="8">
        <f t="shared" si="82"/>
        <v>0.18750000000000711</v>
      </c>
      <c r="R883" s="8">
        <f t="shared" si="83"/>
        <v>0.18750000000000711</v>
      </c>
    </row>
    <row r="884" spans="1:18" x14ac:dyDescent="0.25">
      <c r="A884" s="7">
        <f t="shared" si="78"/>
        <v>177</v>
      </c>
      <c r="B884" s="2">
        <v>44208</v>
      </c>
      <c r="C884" s="3">
        <v>15.47</v>
      </c>
      <c r="D884" s="3">
        <v>16.14</v>
      </c>
      <c r="E884" s="3">
        <v>15.24</v>
      </c>
      <c r="F884" s="3">
        <v>16</v>
      </c>
      <c r="G884" s="3">
        <v>1288000</v>
      </c>
      <c r="H884" s="8">
        <f t="shared" si="79"/>
        <v>0.18750000000000711</v>
      </c>
      <c r="I884">
        <f t="shared" si="80"/>
        <v>15.825999999999999</v>
      </c>
      <c r="J884" s="6" cm="1">
        <f t="array" ref="J884">_xlfn.STDEV.S(IF($A:$A=A884, $F:$F))</f>
        <v>0.25851498989420307</v>
      </c>
      <c r="P884" s="8">
        <f t="shared" si="81"/>
        <v>0.18750000000000711</v>
      </c>
      <c r="Q884" s="8">
        <f t="shared" si="82"/>
        <v>0.18750000000000711</v>
      </c>
      <c r="R884" s="8">
        <f t="shared" si="83"/>
        <v>0.18750000000000711</v>
      </c>
    </row>
    <row r="885" spans="1:18" x14ac:dyDescent="0.25">
      <c r="A885" s="7">
        <f t="shared" si="78"/>
        <v>177</v>
      </c>
      <c r="B885" s="2">
        <v>44209</v>
      </c>
      <c r="C885" s="3">
        <v>16</v>
      </c>
      <c r="D885" s="3">
        <v>16.11</v>
      </c>
      <c r="E885" s="3">
        <v>15.53</v>
      </c>
      <c r="F885" s="3">
        <v>15.63</v>
      </c>
      <c r="G885" s="3">
        <v>1502300</v>
      </c>
      <c r="H885" s="8">
        <f t="shared" si="79"/>
        <v>0.18750000000000711</v>
      </c>
      <c r="I885">
        <f t="shared" si="80"/>
        <v>15.825999999999999</v>
      </c>
      <c r="J885" s="6" cm="1">
        <f t="array" ref="J885">_xlfn.STDEV.S(IF($A:$A=A885, $F:$F))</f>
        <v>0.25851498989420307</v>
      </c>
      <c r="P885" s="8">
        <f t="shared" si="81"/>
        <v>0.18750000000000711</v>
      </c>
      <c r="Q885" s="8">
        <f t="shared" si="82"/>
        <v>0.18750000000000711</v>
      </c>
      <c r="R885" s="8">
        <f t="shared" si="83"/>
        <v>0.18750000000000711</v>
      </c>
    </row>
    <row r="886" spans="1:18" x14ac:dyDescent="0.25">
      <c r="A886" s="7">
        <f t="shared" si="78"/>
        <v>177</v>
      </c>
      <c r="B886" s="2">
        <v>44210</v>
      </c>
      <c r="C886" s="3">
        <v>15.63</v>
      </c>
      <c r="D886" s="3">
        <v>16.22</v>
      </c>
      <c r="E886" s="3">
        <v>15.63</v>
      </c>
      <c r="F886" s="3">
        <v>16.03</v>
      </c>
      <c r="G886" s="3">
        <v>2664000</v>
      </c>
      <c r="H886" s="8">
        <f t="shared" si="79"/>
        <v>0.18750000000000711</v>
      </c>
      <c r="I886">
        <f t="shared" si="80"/>
        <v>15.825999999999999</v>
      </c>
      <c r="J886" s="6" cm="1">
        <f t="array" ref="J886">_xlfn.STDEV.S(IF($A:$A=A886, $F:$F))</f>
        <v>0.25851498989420307</v>
      </c>
      <c r="P886" s="8">
        <f t="shared" si="81"/>
        <v>0.18750000000000711</v>
      </c>
      <c r="Q886" s="8">
        <f t="shared" si="82"/>
        <v>0.18750000000000711</v>
      </c>
      <c r="R886" s="8">
        <f t="shared" si="83"/>
        <v>0.18750000000000711</v>
      </c>
    </row>
    <row r="887" spans="1:18" x14ac:dyDescent="0.25">
      <c r="A887" s="7">
        <f t="shared" si="78"/>
        <v>178</v>
      </c>
      <c r="B887" s="2">
        <v>44211</v>
      </c>
      <c r="C887" s="3">
        <v>16.059999999999999</v>
      </c>
      <c r="D887" s="3">
        <v>16.510000000000002</v>
      </c>
      <c r="E887" s="3">
        <v>15.98</v>
      </c>
      <c r="F887" s="3">
        <v>16.510000000000002</v>
      </c>
      <c r="G887" s="3">
        <v>2138300</v>
      </c>
      <c r="H887" s="8">
        <f t="shared" si="79"/>
        <v>-1.7565112053301191</v>
      </c>
      <c r="I887">
        <f t="shared" si="80"/>
        <v>16.297999999999998</v>
      </c>
      <c r="J887" s="6" cm="1">
        <f t="array" ref="J887">_xlfn.STDEV.S(IF($A:$A=A887, $F:$F))</f>
        <v>0.4582248356429412</v>
      </c>
      <c r="P887" s="8">
        <f t="shared" si="81"/>
        <v>-1.7565112053301191</v>
      </c>
      <c r="Q887" s="8">
        <f t="shared" si="82"/>
        <v>-1.7565112053301191</v>
      </c>
      <c r="R887" s="8">
        <f t="shared" si="83"/>
        <v>-1.7565112053301191</v>
      </c>
    </row>
    <row r="888" spans="1:18" x14ac:dyDescent="0.25">
      <c r="A888" s="7">
        <f t="shared" si="78"/>
        <v>178</v>
      </c>
      <c r="B888" s="2">
        <v>44214</v>
      </c>
      <c r="C888" s="3">
        <v>16.8</v>
      </c>
      <c r="D888" s="3">
        <v>17.3</v>
      </c>
      <c r="E888" s="3">
        <v>16.559999999999999</v>
      </c>
      <c r="F888" s="3">
        <v>16.96</v>
      </c>
      <c r="G888" s="3">
        <v>2271400</v>
      </c>
      <c r="H888" s="8">
        <f t="shared" si="79"/>
        <v>-1.7565112053301191</v>
      </c>
      <c r="I888">
        <f t="shared" si="80"/>
        <v>16.297999999999998</v>
      </c>
      <c r="J888" s="6" cm="1">
        <f t="array" ref="J888">_xlfn.STDEV.S(IF($A:$A=A888, $F:$F))</f>
        <v>0.4582248356429412</v>
      </c>
      <c r="P888" s="8">
        <f t="shared" si="81"/>
        <v>-1.7565112053301191</v>
      </c>
      <c r="Q888" s="8">
        <f t="shared" si="82"/>
        <v>-1.7565112053301191</v>
      </c>
      <c r="R888" s="8">
        <f t="shared" si="83"/>
        <v>-1.7565112053301191</v>
      </c>
    </row>
    <row r="889" spans="1:18" x14ac:dyDescent="0.25">
      <c r="A889" s="7">
        <f t="shared" si="78"/>
        <v>178</v>
      </c>
      <c r="B889" s="2">
        <v>44215</v>
      </c>
      <c r="C889" s="3">
        <v>16.75</v>
      </c>
      <c r="D889" s="3">
        <v>16.93</v>
      </c>
      <c r="E889" s="3">
        <v>15.79</v>
      </c>
      <c r="F889" s="3">
        <v>16.03</v>
      </c>
      <c r="G889" s="3">
        <v>2035900</v>
      </c>
      <c r="H889" s="8">
        <f t="shared" si="79"/>
        <v>-1.7565112053301191</v>
      </c>
      <c r="I889">
        <f t="shared" si="80"/>
        <v>16.297999999999998</v>
      </c>
      <c r="J889" s="6" cm="1">
        <f t="array" ref="J889">_xlfn.STDEV.S(IF($A:$A=A889, $F:$F))</f>
        <v>0.4582248356429412</v>
      </c>
      <c r="P889" s="8">
        <f t="shared" si="81"/>
        <v>-1.7565112053301191</v>
      </c>
      <c r="Q889" s="8">
        <f t="shared" si="82"/>
        <v>-1.7565112053301191</v>
      </c>
      <c r="R889" s="8">
        <f t="shared" si="83"/>
        <v>-1.7565112053301191</v>
      </c>
    </row>
    <row r="890" spans="1:18" x14ac:dyDescent="0.25">
      <c r="A890" s="7">
        <f t="shared" si="78"/>
        <v>178</v>
      </c>
      <c r="B890" s="2">
        <v>44216</v>
      </c>
      <c r="C890" s="3">
        <v>15.9</v>
      </c>
      <c r="D890" s="3">
        <v>16.059999999999999</v>
      </c>
      <c r="E890" s="3">
        <v>15.1</v>
      </c>
      <c r="F890" s="3">
        <v>15.77</v>
      </c>
      <c r="G890" s="3">
        <v>1419200</v>
      </c>
      <c r="H890" s="8">
        <f t="shared" si="79"/>
        <v>-1.7565112053301191</v>
      </c>
      <c r="I890">
        <f t="shared" si="80"/>
        <v>16.297999999999998</v>
      </c>
      <c r="J890" s="6" cm="1">
        <f t="array" ref="J890">_xlfn.STDEV.S(IF($A:$A=A890, $F:$F))</f>
        <v>0.4582248356429412</v>
      </c>
      <c r="P890" s="8">
        <f t="shared" si="81"/>
        <v>-1.7565112053301191</v>
      </c>
      <c r="Q890" s="8">
        <f t="shared" si="82"/>
        <v>-1.7565112053301191</v>
      </c>
      <c r="R890" s="8">
        <f t="shared" si="83"/>
        <v>-1.7565112053301191</v>
      </c>
    </row>
    <row r="891" spans="1:18" x14ac:dyDescent="0.25">
      <c r="A891" s="7">
        <f t="shared" si="78"/>
        <v>178</v>
      </c>
      <c r="B891" s="2">
        <v>44217</v>
      </c>
      <c r="C891" s="3">
        <v>16.03</v>
      </c>
      <c r="D891" s="3">
        <v>16.27</v>
      </c>
      <c r="E891" s="3">
        <v>15.5</v>
      </c>
      <c r="F891" s="3">
        <v>16.22</v>
      </c>
      <c r="G891" s="3">
        <v>869400</v>
      </c>
      <c r="H891" s="8">
        <f t="shared" si="79"/>
        <v>-1.7565112053301191</v>
      </c>
      <c r="I891">
        <f t="shared" si="80"/>
        <v>16.297999999999998</v>
      </c>
      <c r="J891" s="6" cm="1">
        <f t="array" ref="J891">_xlfn.STDEV.S(IF($A:$A=A891, $F:$F))</f>
        <v>0.4582248356429412</v>
      </c>
      <c r="P891" s="8">
        <f t="shared" si="81"/>
        <v>-1.7565112053301191</v>
      </c>
      <c r="Q891" s="8">
        <f t="shared" si="82"/>
        <v>-1.7565112053301191</v>
      </c>
      <c r="R891" s="8">
        <f t="shared" si="83"/>
        <v>-1.7565112053301191</v>
      </c>
    </row>
    <row r="892" spans="1:18" x14ac:dyDescent="0.25">
      <c r="A892" s="7">
        <f t="shared" si="78"/>
        <v>179</v>
      </c>
      <c r="B892" s="2">
        <v>44218</v>
      </c>
      <c r="C892" s="3">
        <v>16.38</v>
      </c>
      <c r="D892" s="3">
        <v>16.38</v>
      </c>
      <c r="E892" s="3">
        <v>16.03</v>
      </c>
      <c r="F892" s="3">
        <v>16.16</v>
      </c>
      <c r="G892" s="3">
        <v>1181900</v>
      </c>
      <c r="H892" s="8">
        <f t="shared" si="79"/>
        <v>-19.554455445544555</v>
      </c>
      <c r="I892">
        <f t="shared" si="80"/>
        <v>14.819999999999999</v>
      </c>
      <c r="J892" s="6" cm="1">
        <f t="array" ref="J892">_xlfn.STDEV.S(IF($A:$A=A892, $F:$F))</f>
        <v>1.3440238093129153</v>
      </c>
      <c r="P892" s="8">
        <f t="shared" si="81"/>
        <v>-19.554455445544555</v>
      </c>
      <c r="Q892" s="8">
        <f t="shared" si="82"/>
        <v>-19.554455445544555</v>
      </c>
      <c r="R892" s="11">
        <f t="shared" si="83"/>
        <v>-19.554455445544555</v>
      </c>
    </row>
    <row r="893" spans="1:18" x14ac:dyDescent="0.25">
      <c r="A893" s="7">
        <f t="shared" si="78"/>
        <v>179</v>
      </c>
      <c r="B893" s="2">
        <v>44221</v>
      </c>
      <c r="C893" s="3">
        <v>15.9</v>
      </c>
      <c r="D893" s="3">
        <v>16.190000000000001</v>
      </c>
      <c r="E893" s="3">
        <v>15.61</v>
      </c>
      <c r="F893" s="3">
        <v>15.98</v>
      </c>
      <c r="G893" s="3">
        <v>1081000</v>
      </c>
      <c r="H893" s="8">
        <f t="shared" si="79"/>
        <v>-19.554455445544555</v>
      </c>
      <c r="I893">
        <f t="shared" si="80"/>
        <v>14.819999999999999</v>
      </c>
      <c r="J893" s="6" cm="1">
        <f t="array" ref="J893">_xlfn.STDEV.S(IF($A:$A=A893, $F:$F))</f>
        <v>1.3440238093129153</v>
      </c>
      <c r="P893" s="8">
        <f t="shared" si="81"/>
        <v>-19.554455445544555</v>
      </c>
      <c r="Q893" s="8">
        <f t="shared" si="82"/>
        <v>-19.554455445544555</v>
      </c>
      <c r="R893" s="11">
        <f t="shared" si="83"/>
        <v>-19.554455445544555</v>
      </c>
    </row>
    <row r="894" spans="1:18" x14ac:dyDescent="0.25">
      <c r="A894" s="7">
        <f t="shared" si="78"/>
        <v>179</v>
      </c>
      <c r="B894" s="2">
        <v>44222</v>
      </c>
      <c r="C894" s="3">
        <v>15.85</v>
      </c>
      <c r="D894" s="3">
        <v>15.85</v>
      </c>
      <c r="E894" s="3">
        <v>14.86</v>
      </c>
      <c r="F894" s="3">
        <v>15</v>
      </c>
      <c r="G894" s="3">
        <v>1397600</v>
      </c>
      <c r="H894" s="8">
        <f t="shared" si="79"/>
        <v>-19.554455445544555</v>
      </c>
      <c r="I894">
        <f t="shared" si="80"/>
        <v>14.819999999999999</v>
      </c>
      <c r="J894" s="6" cm="1">
        <f t="array" ref="J894">_xlfn.STDEV.S(IF($A:$A=A894, $F:$F))</f>
        <v>1.3440238093129153</v>
      </c>
      <c r="P894" s="8">
        <f t="shared" si="81"/>
        <v>-19.554455445544555</v>
      </c>
      <c r="Q894" s="8">
        <f t="shared" si="82"/>
        <v>-19.554455445544555</v>
      </c>
      <c r="R894" s="11">
        <f t="shared" si="83"/>
        <v>-19.554455445544555</v>
      </c>
    </row>
    <row r="895" spans="1:18" x14ac:dyDescent="0.25">
      <c r="A895" s="7">
        <f t="shared" si="78"/>
        <v>179</v>
      </c>
      <c r="B895" s="2">
        <v>44223</v>
      </c>
      <c r="C895" s="3">
        <v>14.12</v>
      </c>
      <c r="D895" s="3">
        <v>14.97</v>
      </c>
      <c r="E895" s="3">
        <v>13.96</v>
      </c>
      <c r="F895" s="3">
        <v>13.96</v>
      </c>
      <c r="G895" s="3">
        <v>1894500</v>
      </c>
      <c r="H895" s="8">
        <f t="shared" si="79"/>
        <v>-19.554455445544555</v>
      </c>
      <c r="I895">
        <f t="shared" si="80"/>
        <v>14.819999999999999</v>
      </c>
      <c r="J895" s="6" cm="1">
        <f t="array" ref="J895">_xlfn.STDEV.S(IF($A:$A=A895, $F:$F))</f>
        <v>1.3440238093129153</v>
      </c>
      <c r="P895" s="8">
        <f t="shared" si="81"/>
        <v>-19.554455445544555</v>
      </c>
      <c r="Q895" s="8">
        <f t="shared" si="82"/>
        <v>-19.554455445544555</v>
      </c>
      <c r="R895" s="11">
        <f t="shared" si="83"/>
        <v>-19.554455445544555</v>
      </c>
    </row>
    <row r="896" spans="1:18" x14ac:dyDescent="0.25">
      <c r="A896" s="7">
        <f t="shared" si="78"/>
        <v>179</v>
      </c>
      <c r="B896" s="2">
        <v>44224</v>
      </c>
      <c r="C896" s="3">
        <v>13</v>
      </c>
      <c r="D896" s="3">
        <v>13.12</v>
      </c>
      <c r="E896" s="3">
        <v>13</v>
      </c>
      <c r="F896" s="3">
        <v>13</v>
      </c>
      <c r="G896" s="3">
        <v>1583600</v>
      </c>
      <c r="H896" s="8">
        <f t="shared" si="79"/>
        <v>-19.554455445544555</v>
      </c>
      <c r="I896">
        <f t="shared" si="80"/>
        <v>14.819999999999999</v>
      </c>
      <c r="J896" s="6" cm="1">
        <f t="array" ref="J896">_xlfn.STDEV.S(IF($A:$A=A896, $F:$F))</f>
        <v>1.3440238093129153</v>
      </c>
      <c r="P896" s="8">
        <f t="shared" si="81"/>
        <v>-19.554455445544555</v>
      </c>
      <c r="Q896" s="8">
        <f t="shared" si="82"/>
        <v>-19.554455445544555</v>
      </c>
      <c r="R896" s="11">
        <f t="shared" si="83"/>
        <v>-19.554455445544555</v>
      </c>
    </row>
    <row r="897" spans="1:18" x14ac:dyDescent="0.25">
      <c r="A897" s="7">
        <f t="shared" si="78"/>
        <v>180</v>
      </c>
      <c r="B897" s="2">
        <v>44225</v>
      </c>
      <c r="C897" s="3">
        <v>12.1</v>
      </c>
      <c r="D897" s="3">
        <v>13.73</v>
      </c>
      <c r="E897" s="3">
        <v>12.1</v>
      </c>
      <c r="F897" s="3">
        <v>12.98</v>
      </c>
      <c r="G897" s="3">
        <v>2201100</v>
      </c>
      <c r="H897" s="8">
        <f t="shared" si="79"/>
        <v>8.1664098613251053</v>
      </c>
      <c r="I897">
        <f t="shared" si="80"/>
        <v>13.242000000000001</v>
      </c>
      <c r="J897" s="6" cm="1">
        <f t="array" ref="J897">_xlfn.STDEV.S(IF($A:$A=A897, $F:$F))</f>
        <v>0.61169436812839795</v>
      </c>
      <c r="P897" s="8">
        <f t="shared" si="81"/>
        <v>8.1664098613251053</v>
      </c>
      <c r="Q897" s="8">
        <f t="shared" si="82"/>
        <v>8.1664098613251053</v>
      </c>
      <c r="R897" s="8">
        <f t="shared" si="83"/>
        <v>8.1664098613251053</v>
      </c>
    </row>
    <row r="898" spans="1:18" x14ac:dyDescent="0.25">
      <c r="A898" s="7">
        <f t="shared" si="78"/>
        <v>180</v>
      </c>
      <c r="B898" s="2">
        <v>44228</v>
      </c>
      <c r="C898" s="3">
        <v>12.97</v>
      </c>
      <c r="D898" s="3">
        <v>13.38</v>
      </c>
      <c r="E898" s="3">
        <v>12.61</v>
      </c>
      <c r="F898" s="3">
        <v>12.61</v>
      </c>
      <c r="G898" s="3">
        <v>1353100</v>
      </c>
      <c r="H898" s="8">
        <f t="shared" si="79"/>
        <v>8.1664098613251053</v>
      </c>
      <c r="I898">
        <f t="shared" si="80"/>
        <v>13.242000000000001</v>
      </c>
      <c r="J898" s="6" cm="1">
        <f t="array" ref="J898">_xlfn.STDEV.S(IF($A:$A=A898, $F:$F))</f>
        <v>0.61169436812839795</v>
      </c>
      <c r="P898" s="8">
        <f t="shared" si="81"/>
        <v>8.1664098613251053</v>
      </c>
      <c r="Q898" s="8">
        <f t="shared" si="82"/>
        <v>8.1664098613251053</v>
      </c>
      <c r="R898" s="8">
        <f t="shared" si="83"/>
        <v>8.1664098613251053</v>
      </c>
    </row>
    <row r="899" spans="1:18" x14ac:dyDescent="0.25">
      <c r="A899" s="7">
        <f t="shared" ref="A899:A962" si="84">INT((ROW(A899)-ROW($A$2))/5) + 1</f>
        <v>180</v>
      </c>
      <c r="B899" s="2">
        <v>44229</v>
      </c>
      <c r="C899" s="3">
        <v>12.19</v>
      </c>
      <c r="D899" s="3">
        <v>12.98</v>
      </c>
      <c r="E899" s="3">
        <v>12.19</v>
      </c>
      <c r="F899" s="3">
        <v>12.85</v>
      </c>
      <c r="G899" s="3">
        <v>810300</v>
      </c>
      <c r="H899" s="8">
        <f t="shared" ref="H899:H962" si="85">IF(A899=A898, H898, (F903-F899)/F899*100)</f>
        <v>8.1664098613251053</v>
      </c>
      <c r="I899">
        <f t="shared" ref="I899:I962" si="86">AVERAGEIF($A:$A, A899, $F:$F)</f>
        <v>13.242000000000001</v>
      </c>
      <c r="J899" s="6" cm="1">
        <f t="array" ref="J899">_xlfn.STDEV.S(IF($A:$A=A899, $F:$F))</f>
        <v>0.61169436812839795</v>
      </c>
      <c r="P899" s="8">
        <f t="shared" ref="P899:P962" si="87">IF(A899=A898,P898,(F903-F899)/F899*100)</f>
        <v>8.1664098613251053</v>
      </c>
      <c r="Q899" s="8">
        <f t="shared" ref="Q899:Q962" si="88">IF(A899=A898,Q898,(F903-F899)/F899*100)</f>
        <v>8.1664098613251053</v>
      </c>
      <c r="R899" s="8">
        <f t="shared" ref="R899:R962" si="89">IF(A899=A898,R898,(F903-F899)/F899*100)</f>
        <v>8.1664098613251053</v>
      </c>
    </row>
    <row r="900" spans="1:18" x14ac:dyDescent="0.25">
      <c r="A900" s="7">
        <f t="shared" si="84"/>
        <v>180</v>
      </c>
      <c r="B900" s="2">
        <v>44230</v>
      </c>
      <c r="C900" s="3">
        <v>13.09</v>
      </c>
      <c r="D900" s="3">
        <v>13.73</v>
      </c>
      <c r="E900" s="3">
        <v>12.88</v>
      </c>
      <c r="F900" s="3">
        <v>13.73</v>
      </c>
      <c r="G900" s="3">
        <v>1070100</v>
      </c>
      <c r="H900" s="8">
        <f t="shared" si="85"/>
        <v>8.1664098613251053</v>
      </c>
      <c r="I900">
        <f t="shared" si="86"/>
        <v>13.242000000000001</v>
      </c>
      <c r="J900" s="6" cm="1">
        <f t="array" ref="J900">_xlfn.STDEV.S(IF($A:$A=A900, $F:$F))</f>
        <v>0.61169436812839795</v>
      </c>
      <c r="P900" s="8">
        <f t="shared" si="87"/>
        <v>8.1664098613251053</v>
      </c>
      <c r="Q900" s="8">
        <f t="shared" si="88"/>
        <v>8.1664098613251053</v>
      </c>
      <c r="R900" s="8">
        <f t="shared" si="89"/>
        <v>8.1664098613251053</v>
      </c>
    </row>
    <row r="901" spans="1:18" x14ac:dyDescent="0.25">
      <c r="A901" s="7">
        <f t="shared" si="84"/>
        <v>180</v>
      </c>
      <c r="B901" s="2">
        <v>44231</v>
      </c>
      <c r="C901" s="3">
        <v>14.31</v>
      </c>
      <c r="D901" s="3">
        <v>14.49</v>
      </c>
      <c r="E901" s="3">
        <v>13.78</v>
      </c>
      <c r="F901" s="3">
        <v>14.04</v>
      </c>
      <c r="G901" s="3">
        <v>1191300</v>
      </c>
      <c r="H901" s="8">
        <f t="shared" si="85"/>
        <v>8.1664098613251053</v>
      </c>
      <c r="I901">
        <f t="shared" si="86"/>
        <v>13.242000000000001</v>
      </c>
      <c r="J901" s="6" cm="1">
        <f t="array" ref="J901">_xlfn.STDEV.S(IF($A:$A=A901, $F:$F))</f>
        <v>0.61169436812839795</v>
      </c>
      <c r="P901" s="8">
        <f t="shared" si="87"/>
        <v>8.1664098613251053</v>
      </c>
      <c r="Q901" s="8">
        <f t="shared" si="88"/>
        <v>8.1664098613251053</v>
      </c>
      <c r="R901" s="8">
        <f t="shared" si="89"/>
        <v>8.1664098613251053</v>
      </c>
    </row>
    <row r="902" spans="1:18" x14ac:dyDescent="0.25">
      <c r="A902" s="7">
        <f t="shared" si="84"/>
        <v>181</v>
      </c>
      <c r="B902" s="2">
        <v>44232</v>
      </c>
      <c r="C902" s="3">
        <v>14.04</v>
      </c>
      <c r="D902" s="3">
        <v>14.47</v>
      </c>
      <c r="E902" s="3">
        <v>14.04</v>
      </c>
      <c r="F902" s="3">
        <v>14.36</v>
      </c>
      <c r="G902" s="3">
        <v>867600</v>
      </c>
      <c r="H902" s="8">
        <f t="shared" si="85"/>
        <v>1.4623955431754936</v>
      </c>
      <c r="I902">
        <f t="shared" si="86"/>
        <v>14.256</v>
      </c>
      <c r="J902" s="6" cm="1">
        <f t="array" ref="J902">_xlfn.STDEV.S(IF($A:$A=A902, $F:$F))</f>
        <v>0.44037484033491348</v>
      </c>
      <c r="P902" s="8">
        <f t="shared" si="87"/>
        <v>1.4623955431754936</v>
      </c>
      <c r="Q902" s="8">
        <f t="shared" si="88"/>
        <v>1.4623955431754936</v>
      </c>
      <c r="R902" s="8">
        <f t="shared" si="89"/>
        <v>1.4623955431754936</v>
      </c>
    </row>
    <row r="903" spans="1:18" x14ac:dyDescent="0.25">
      <c r="A903" s="7">
        <f t="shared" si="84"/>
        <v>181</v>
      </c>
      <c r="B903" s="2">
        <v>44235</v>
      </c>
      <c r="C903" s="3">
        <v>14.36</v>
      </c>
      <c r="D903" s="3">
        <v>14.47</v>
      </c>
      <c r="E903" s="3">
        <v>13.38</v>
      </c>
      <c r="F903" s="3">
        <v>13.62</v>
      </c>
      <c r="G903" s="3">
        <v>1693300</v>
      </c>
      <c r="H903" s="8">
        <f t="shared" si="85"/>
        <v>1.4623955431754936</v>
      </c>
      <c r="I903">
        <f t="shared" si="86"/>
        <v>14.256</v>
      </c>
      <c r="J903" s="6" cm="1">
        <f t="array" ref="J903">_xlfn.STDEV.S(IF($A:$A=A903, $F:$F))</f>
        <v>0.44037484033491348</v>
      </c>
      <c r="P903" s="8">
        <f t="shared" si="87"/>
        <v>1.4623955431754936</v>
      </c>
      <c r="Q903" s="8">
        <f t="shared" si="88"/>
        <v>1.4623955431754936</v>
      </c>
      <c r="R903" s="8">
        <f t="shared" si="89"/>
        <v>1.4623955431754936</v>
      </c>
    </row>
    <row r="904" spans="1:18" x14ac:dyDescent="0.25">
      <c r="A904" s="7">
        <f t="shared" si="84"/>
        <v>181</v>
      </c>
      <c r="B904" s="2">
        <v>44236</v>
      </c>
      <c r="C904" s="3">
        <v>13.62</v>
      </c>
      <c r="D904" s="3">
        <v>14.1</v>
      </c>
      <c r="E904" s="3">
        <v>13.17</v>
      </c>
      <c r="F904" s="3">
        <v>14.02</v>
      </c>
      <c r="G904" s="3">
        <v>1209800</v>
      </c>
      <c r="H904" s="8">
        <f t="shared" si="85"/>
        <v>1.4623955431754936</v>
      </c>
      <c r="I904">
        <f t="shared" si="86"/>
        <v>14.256</v>
      </c>
      <c r="J904" s="6" cm="1">
        <f t="array" ref="J904">_xlfn.STDEV.S(IF($A:$A=A904, $F:$F))</f>
        <v>0.44037484033491348</v>
      </c>
      <c r="P904" s="8">
        <f t="shared" si="87"/>
        <v>1.4623955431754936</v>
      </c>
      <c r="Q904" s="8">
        <f t="shared" si="88"/>
        <v>1.4623955431754936</v>
      </c>
      <c r="R904" s="8">
        <f t="shared" si="89"/>
        <v>1.4623955431754936</v>
      </c>
    </row>
    <row r="905" spans="1:18" x14ac:dyDescent="0.25">
      <c r="A905" s="7">
        <f t="shared" si="84"/>
        <v>181</v>
      </c>
      <c r="B905" s="2">
        <v>44244</v>
      </c>
      <c r="C905" s="3">
        <v>14.31</v>
      </c>
      <c r="D905" s="3">
        <v>14.71</v>
      </c>
      <c r="E905" s="3">
        <v>14.04</v>
      </c>
      <c r="F905" s="3">
        <v>14.71</v>
      </c>
      <c r="G905" s="3">
        <v>821000</v>
      </c>
      <c r="H905" s="8">
        <f t="shared" si="85"/>
        <v>1.4623955431754936</v>
      </c>
      <c r="I905">
        <f t="shared" si="86"/>
        <v>14.256</v>
      </c>
      <c r="J905" s="6" cm="1">
        <f t="array" ref="J905">_xlfn.STDEV.S(IF($A:$A=A905, $F:$F))</f>
        <v>0.44037484033491348</v>
      </c>
      <c r="P905" s="8">
        <f t="shared" si="87"/>
        <v>1.4623955431754936</v>
      </c>
      <c r="Q905" s="8">
        <f t="shared" si="88"/>
        <v>1.4623955431754936</v>
      </c>
      <c r="R905" s="8">
        <f t="shared" si="89"/>
        <v>1.4623955431754936</v>
      </c>
    </row>
    <row r="906" spans="1:18" x14ac:dyDescent="0.25">
      <c r="A906" s="7">
        <f t="shared" si="84"/>
        <v>181</v>
      </c>
      <c r="B906" s="2">
        <v>44245</v>
      </c>
      <c r="C906" s="3">
        <v>14.63</v>
      </c>
      <c r="D906" s="3">
        <v>14.73</v>
      </c>
      <c r="E906" s="3">
        <v>14.44</v>
      </c>
      <c r="F906" s="3">
        <v>14.57</v>
      </c>
      <c r="G906" s="3">
        <v>812100</v>
      </c>
      <c r="H906" s="8">
        <f t="shared" si="85"/>
        <v>1.4623955431754936</v>
      </c>
      <c r="I906">
        <f t="shared" si="86"/>
        <v>14.256</v>
      </c>
      <c r="J906" s="6" cm="1">
        <f t="array" ref="J906">_xlfn.STDEV.S(IF($A:$A=A906, $F:$F))</f>
        <v>0.44037484033491348</v>
      </c>
      <c r="P906" s="8">
        <f t="shared" si="87"/>
        <v>1.4623955431754936</v>
      </c>
      <c r="Q906" s="8">
        <f t="shared" si="88"/>
        <v>1.4623955431754936</v>
      </c>
      <c r="R906" s="8">
        <f t="shared" si="89"/>
        <v>1.4623955431754936</v>
      </c>
    </row>
    <row r="907" spans="1:18" x14ac:dyDescent="0.25">
      <c r="A907" s="7">
        <f t="shared" si="84"/>
        <v>182</v>
      </c>
      <c r="B907" s="2">
        <v>44246</v>
      </c>
      <c r="C907" s="3">
        <v>14.57</v>
      </c>
      <c r="D907" s="3">
        <v>14.84</v>
      </c>
      <c r="E907" s="3">
        <v>14.31</v>
      </c>
      <c r="F907" s="3">
        <v>14.79</v>
      </c>
      <c r="G907" s="3">
        <v>1013800</v>
      </c>
      <c r="H907" s="8">
        <f t="shared" si="85"/>
        <v>-3.2454361054766645</v>
      </c>
      <c r="I907">
        <f t="shared" si="86"/>
        <v>14.51</v>
      </c>
      <c r="J907" s="6" cm="1">
        <f t="array" ref="J907">_xlfn.STDEV.S(IF($A:$A=A907, $F:$F))</f>
        <v>0.20346989949375754</v>
      </c>
      <c r="P907" s="8">
        <f t="shared" si="87"/>
        <v>-3.2454361054766645</v>
      </c>
      <c r="Q907" s="8">
        <f t="shared" si="88"/>
        <v>-3.2454361054766645</v>
      </c>
      <c r="R907" s="8">
        <f t="shared" si="89"/>
        <v>-3.2454361054766645</v>
      </c>
    </row>
    <row r="908" spans="1:18" x14ac:dyDescent="0.25">
      <c r="A908" s="7">
        <f t="shared" si="84"/>
        <v>182</v>
      </c>
      <c r="B908" s="2">
        <v>44249</v>
      </c>
      <c r="C908" s="3">
        <v>15.08</v>
      </c>
      <c r="D908" s="3">
        <v>15.08</v>
      </c>
      <c r="E908" s="3">
        <v>14.31</v>
      </c>
      <c r="F908" s="3">
        <v>14.57</v>
      </c>
      <c r="G908" s="3">
        <v>1030300</v>
      </c>
      <c r="H908" s="8">
        <f t="shared" si="85"/>
        <v>-3.2454361054766645</v>
      </c>
      <c r="I908">
        <f t="shared" si="86"/>
        <v>14.51</v>
      </c>
      <c r="J908" s="6" cm="1">
        <f t="array" ref="J908">_xlfn.STDEV.S(IF($A:$A=A908, $F:$F))</f>
        <v>0.20346989949375754</v>
      </c>
      <c r="P908" s="8">
        <f t="shared" si="87"/>
        <v>-3.2454361054766645</v>
      </c>
      <c r="Q908" s="8">
        <f t="shared" si="88"/>
        <v>-3.2454361054766645</v>
      </c>
      <c r="R908" s="8">
        <f t="shared" si="89"/>
        <v>-3.2454361054766645</v>
      </c>
    </row>
    <row r="909" spans="1:18" x14ac:dyDescent="0.25">
      <c r="A909" s="7">
        <f t="shared" si="84"/>
        <v>182</v>
      </c>
      <c r="B909" s="2">
        <v>44250</v>
      </c>
      <c r="C909" s="3">
        <v>14.68</v>
      </c>
      <c r="D909" s="3">
        <v>14.79</v>
      </c>
      <c r="E909" s="3">
        <v>14.41</v>
      </c>
      <c r="F909" s="3">
        <v>14.57</v>
      </c>
      <c r="G909" s="3">
        <v>794700</v>
      </c>
      <c r="H909" s="8">
        <f t="shared" si="85"/>
        <v>-3.2454361054766645</v>
      </c>
      <c r="I909">
        <f t="shared" si="86"/>
        <v>14.51</v>
      </c>
      <c r="J909" s="6" cm="1">
        <f t="array" ref="J909">_xlfn.STDEV.S(IF($A:$A=A909, $F:$F))</f>
        <v>0.20346989949375754</v>
      </c>
      <c r="P909" s="8">
        <f t="shared" si="87"/>
        <v>-3.2454361054766645</v>
      </c>
      <c r="Q909" s="8">
        <f t="shared" si="88"/>
        <v>-3.2454361054766645</v>
      </c>
      <c r="R909" s="8">
        <f t="shared" si="89"/>
        <v>-3.2454361054766645</v>
      </c>
    </row>
    <row r="910" spans="1:18" x14ac:dyDescent="0.25">
      <c r="A910" s="7">
        <f t="shared" si="84"/>
        <v>182</v>
      </c>
      <c r="B910" s="2">
        <v>44251</v>
      </c>
      <c r="C910" s="3">
        <v>14.71</v>
      </c>
      <c r="D910" s="3">
        <v>14.89</v>
      </c>
      <c r="E910" s="3">
        <v>14.18</v>
      </c>
      <c r="F910" s="3">
        <v>14.31</v>
      </c>
      <c r="G910" s="3">
        <v>1206100</v>
      </c>
      <c r="H910" s="8">
        <f t="shared" si="85"/>
        <v>-3.2454361054766645</v>
      </c>
      <c r="I910">
        <f t="shared" si="86"/>
        <v>14.51</v>
      </c>
      <c r="J910" s="6" cm="1">
        <f t="array" ref="J910">_xlfn.STDEV.S(IF($A:$A=A910, $F:$F))</f>
        <v>0.20346989949375754</v>
      </c>
      <c r="P910" s="8">
        <f t="shared" si="87"/>
        <v>-3.2454361054766645</v>
      </c>
      <c r="Q910" s="8">
        <f t="shared" si="88"/>
        <v>-3.2454361054766645</v>
      </c>
      <c r="R910" s="8">
        <f t="shared" si="89"/>
        <v>-3.2454361054766645</v>
      </c>
    </row>
    <row r="911" spans="1:18" x14ac:dyDescent="0.25">
      <c r="A911" s="7">
        <f t="shared" si="84"/>
        <v>182</v>
      </c>
      <c r="B911" s="2">
        <v>44252</v>
      </c>
      <c r="C911" s="3">
        <v>14.31</v>
      </c>
      <c r="D911" s="3">
        <v>14.52</v>
      </c>
      <c r="E911" s="3">
        <v>14.12</v>
      </c>
      <c r="F911" s="3">
        <v>14.31</v>
      </c>
      <c r="G911" s="3">
        <v>611800</v>
      </c>
      <c r="H911" s="8">
        <f t="shared" si="85"/>
        <v>-3.2454361054766645</v>
      </c>
      <c r="I911">
        <f t="shared" si="86"/>
        <v>14.51</v>
      </c>
      <c r="J911" s="6" cm="1">
        <f t="array" ref="J911">_xlfn.STDEV.S(IF($A:$A=A911, $F:$F))</f>
        <v>0.20346989949375754</v>
      </c>
      <c r="P911" s="8">
        <f t="shared" si="87"/>
        <v>-3.2454361054766645</v>
      </c>
      <c r="Q911" s="8">
        <f t="shared" si="88"/>
        <v>-3.2454361054766645</v>
      </c>
      <c r="R911" s="8">
        <f t="shared" si="89"/>
        <v>-3.2454361054766645</v>
      </c>
    </row>
    <row r="912" spans="1:18" x14ac:dyDescent="0.25">
      <c r="A912" s="7">
        <f t="shared" si="84"/>
        <v>183</v>
      </c>
      <c r="B912" s="2">
        <v>44253</v>
      </c>
      <c r="C912" s="3">
        <v>14.04</v>
      </c>
      <c r="D912" s="3">
        <v>14.39</v>
      </c>
      <c r="E912" s="3">
        <v>14.04</v>
      </c>
      <c r="F912" s="3">
        <v>14.26</v>
      </c>
      <c r="G912" s="3">
        <v>598100</v>
      </c>
      <c r="H912" s="8">
        <f t="shared" si="85"/>
        <v>-0.5610098176718098</v>
      </c>
      <c r="I912">
        <f t="shared" si="86"/>
        <v>14.377999999999997</v>
      </c>
      <c r="J912" s="6" cm="1">
        <f t="array" ref="J912">_xlfn.STDEV.S(IF($A:$A=A912, $F:$F))</f>
        <v>0.15626899884494058</v>
      </c>
      <c r="P912" s="8">
        <f t="shared" si="87"/>
        <v>-0.5610098176718098</v>
      </c>
      <c r="Q912" s="8">
        <f t="shared" si="88"/>
        <v>-0.5610098176718098</v>
      </c>
      <c r="R912" s="8">
        <f t="shared" si="89"/>
        <v>-0.5610098176718098</v>
      </c>
    </row>
    <row r="913" spans="1:18" x14ac:dyDescent="0.25">
      <c r="A913" s="7">
        <f t="shared" si="84"/>
        <v>183</v>
      </c>
      <c r="B913" s="2">
        <v>44256</v>
      </c>
      <c r="C913" s="3">
        <v>14.39</v>
      </c>
      <c r="D913" s="3">
        <v>14.68</v>
      </c>
      <c r="E913" s="3">
        <v>14.26</v>
      </c>
      <c r="F913" s="3">
        <v>14.57</v>
      </c>
      <c r="G913" s="3">
        <v>880000</v>
      </c>
      <c r="H913" s="8">
        <f t="shared" si="85"/>
        <v>-0.5610098176718098</v>
      </c>
      <c r="I913">
        <f t="shared" si="86"/>
        <v>14.377999999999997</v>
      </c>
      <c r="J913" s="6" cm="1">
        <f t="array" ref="J913">_xlfn.STDEV.S(IF($A:$A=A913, $F:$F))</f>
        <v>0.15626899884494058</v>
      </c>
      <c r="P913" s="8">
        <f t="shared" si="87"/>
        <v>-0.5610098176718098</v>
      </c>
      <c r="Q913" s="8">
        <f t="shared" si="88"/>
        <v>-0.5610098176718098</v>
      </c>
      <c r="R913" s="8">
        <f t="shared" si="89"/>
        <v>-0.5610098176718098</v>
      </c>
    </row>
    <row r="914" spans="1:18" x14ac:dyDescent="0.25">
      <c r="A914" s="7">
        <f t="shared" si="84"/>
        <v>183</v>
      </c>
      <c r="B914" s="2">
        <v>44257</v>
      </c>
      <c r="C914" s="3">
        <v>14.84</v>
      </c>
      <c r="D914" s="3">
        <v>14.84</v>
      </c>
      <c r="E914" s="3">
        <v>14.44</v>
      </c>
      <c r="F914" s="3">
        <v>14.44</v>
      </c>
      <c r="G914" s="3">
        <v>984800</v>
      </c>
      <c r="H914" s="8">
        <f t="shared" si="85"/>
        <v>-0.5610098176718098</v>
      </c>
      <c r="I914">
        <f t="shared" si="86"/>
        <v>14.377999999999997</v>
      </c>
      <c r="J914" s="6" cm="1">
        <f t="array" ref="J914">_xlfn.STDEV.S(IF($A:$A=A914, $F:$F))</f>
        <v>0.15626899884494058</v>
      </c>
      <c r="P914" s="8">
        <f t="shared" si="87"/>
        <v>-0.5610098176718098</v>
      </c>
      <c r="Q914" s="8">
        <f t="shared" si="88"/>
        <v>-0.5610098176718098</v>
      </c>
      <c r="R914" s="8">
        <f t="shared" si="89"/>
        <v>-0.5610098176718098</v>
      </c>
    </row>
    <row r="915" spans="1:18" x14ac:dyDescent="0.25">
      <c r="A915" s="7">
        <f t="shared" si="84"/>
        <v>183</v>
      </c>
      <c r="B915" s="2">
        <v>44258</v>
      </c>
      <c r="C915" s="3">
        <v>14.44</v>
      </c>
      <c r="D915" s="3">
        <v>14.65</v>
      </c>
      <c r="E915" s="3">
        <v>14.39</v>
      </c>
      <c r="F915" s="3">
        <v>14.44</v>
      </c>
      <c r="G915" s="3">
        <v>962500</v>
      </c>
      <c r="H915" s="8">
        <f t="shared" si="85"/>
        <v>-0.5610098176718098</v>
      </c>
      <c r="I915">
        <f t="shared" si="86"/>
        <v>14.377999999999997</v>
      </c>
      <c r="J915" s="6" cm="1">
        <f t="array" ref="J915">_xlfn.STDEV.S(IF($A:$A=A915, $F:$F))</f>
        <v>0.15626899884494058</v>
      </c>
      <c r="P915" s="8">
        <f t="shared" si="87"/>
        <v>-0.5610098176718098</v>
      </c>
      <c r="Q915" s="8">
        <f t="shared" si="88"/>
        <v>-0.5610098176718098</v>
      </c>
      <c r="R915" s="8">
        <f t="shared" si="89"/>
        <v>-0.5610098176718098</v>
      </c>
    </row>
    <row r="916" spans="1:18" x14ac:dyDescent="0.25">
      <c r="A916" s="7">
        <f t="shared" si="84"/>
        <v>183</v>
      </c>
      <c r="B916" s="2">
        <v>44259</v>
      </c>
      <c r="C916" s="3">
        <v>14.44</v>
      </c>
      <c r="D916" s="3">
        <v>14.52</v>
      </c>
      <c r="E916" s="3">
        <v>13.78</v>
      </c>
      <c r="F916" s="3">
        <v>14.18</v>
      </c>
      <c r="G916" s="3">
        <v>1192700</v>
      </c>
      <c r="H916" s="8">
        <f t="shared" si="85"/>
        <v>-0.5610098176718098</v>
      </c>
      <c r="I916">
        <f t="shared" si="86"/>
        <v>14.377999999999997</v>
      </c>
      <c r="J916" s="6" cm="1">
        <f t="array" ref="J916">_xlfn.STDEV.S(IF($A:$A=A916, $F:$F))</f>
        <v>0.15626899884494058</v>
      </c>
      <c r="P916" s="8">
        <f t="shared" si="87"/>
        <v>-0.5610098176718098</v>
      </c>
      <c r="Q916" s="8">
        <f t="shared" si="88"/>
        <v>-0.5610098176718098</v>
      </c>
      <c r="R916" s="8">
        <f t="shared" si="89"/>
        <v>-0.5610098176718098</v>
      </c>
    </row>
    <row r="917" spans="1:18" x14ac:dyDescent="0.25">
      <c r="A917" s="7">
        <f t="shared" si="84"/>
        <v>184</v>
      </c>
      <c r="B917" s="2">
        <v>44260</v>
      </c>
      <c r="C917" s="3">
        <v>14.18</v>
      </c>
      <c r="D917" s="3">
        <v>14.18</v>
      </c>
      <c r="E917" s="3">
        <v>13.62</v>
      </c>
      <c r="F917" s="3">
        <v>14.04</v>
      </c>
      <c r="G917" s="3">
        <v>964400</v>
      </c>
      <c r="H917" s="8">
        <f t="shared" si="85"/>
        <v>11.752136752136755</v>
      </c>
      <c r="I917">
        <f t="shared" si="86"/>
        <v>14.674000000000001</v>
      </c>
      <c r="J917" s="6" cm="1">
        <f t="array" ref="J917">_xlfn.STDEV.S(IF($A:$A=A917, $F:$F))</f>
        <v>0.7320040983491829</v>
      </c>
      <c r="P917" s="8">
        <f t="shared" si="87"/>
        <v>11.752136752136755</v>
      </c>
      <c r="Q917" s="8">
        <f t="shared" si="88"/>
        <v>11.752136752136755</v>
      </c>
      <c r="R917" s="10">
        <f t="shared" si="89"/>
        <v>11.752136752136755</v>
      </c>
    </row>
    <row r="918" spans="1:18" x14ac:dyDescent="0.25">
      <c r="A918" s="7">
        <f t="shared" si="84"/>
        <v>184</v>
      </c>
      <c r="B918" s="2">
        <v>44263</v>
      </c>
      <c r="C918" s="3">
        <v>14.31</v>
      </c>
      <c r="D918" s="3">
        <v>14.31</v>
      </c>
      <c r="E918" s="3">
        <v>14.07</v>
      </c>
      <c r="F918" s="3">
        <v>14.2</v>
      </c>
      <c r="G918" s="3">
        <v>806300</v>
      </c>
      <c r="H918" s="8">
        <f t="shared" si="85"/>
        <v>11.752136752136755</v>
      </c>
      <c r="I918">
        <f t="shared" si="86"/>
        <v>14.674000000000001</v>
      </c>
      <c r="J918" s="6" cm="1">
        <f t="array" ref="J918">_xlfn.STDEV.S(IF($A:$A=A918, $F:$F))</f>
        <v>0.7320040983491829</v>
      </c>
      <c r="P918" s="8">
        <f t="shared" si="87"/>
        <v>11.752136752136755</v>
      </c>
      <c r="Q918" s="8">
        <f t="shared" si="88"/>
        <v>11.752136752136755</v>
      </c>
      <c r="R918" s="10">
        <f t="shared" si="89"/>
        <v>11.752136752136755</v>
      </c>
    </row>
    <row r="919" spans="1:18" x14ac:dyDescent="0.25">
      <c r="A919" s="7">
        <f t="shared" si="84"/>
        <v>184</v>
      </c>
      <c r="B919" s="2">
        <v>44264</v>
      </c>
      <c r="C919" s="3">
        <v>14.07</v>
      </c>
      <c r="D919" s="3">
        <v>14.31</v>
      </c>
      <c r="E919" s="3">
        <v>13.99</v>
      </c>
      <c r="F919" s="3">
        <v>14.23</v>
      </c>
      <c r="G919" s="3">
        <v>381100</v>
      </c>
      <c r="H919" s="8">
        <f t="shared" si="85"/>
        <v>11.752136752136755</v>
      </c>
      <c r="I919">
        <f t="shared" si="86"/>
        <v>14.674000000000001</v>
      </c>
      <c r="J919" s="6" cm="1">
        <f t="array" ref="J919">_xlfn.STDEV.S(IF($A:$A=A919, $F:$F))</f>
        <v>0.7320040983491829</v>
      </c>
      <c r="P919" s="8">
        <f t="shared" si="87"/>
        <v>11.752136752136755</v>
      </c>
      <c r="Q919" s="8">
        <f t="shared" si="88"/>
        <v>11.752136752136755</v>
      </c>
      <c r="R919" s="10">
        <f t="shared" si="89"/>
        <v>11.752136752136755</v>
      </c>
    </row>
    <row r="920" spans="1:18" x14ac:dyDescent="0.25">
      <c r="A920" s="7">
        <f t="shared" si="84"/>
        <v>184</v>
      </c>
      <c r="B920" s="2">
        <v>44265</v>
      </c>
      <c r="C920" s="3">
        <v>14.23</v>
      </c>
      <c r="D920" s="3">
        <v>15.21</v>
      </c>
      <c r="E920" s="3">
        <v>14.18</v>
      </c>
      <c r="F920" s="3">
        <v>15.21</v>
      </c>
      <c r="G920" s="3">
        <v>2099200</v>
      </c>
      <c r="H920" s="8">
        <f t="shared" si="85"/>
        <v>11.752136752136755</v>
      </c>
      <c r="I920">
        <f t="shared" si="86"/>
        <v>14.674000000000001</v>
      </c>
      <c r="J920" s="6" cm="1">
        <f t="array" ref="J920">_xlfn.STDEV.S(IF($A:$A=A920, $F:$F))</f>
        <v>0.7320040983491829</v>
      </c>
      <c r="P920" s="8">
        <f t="shared" si="87"/>
        <v>11.752136752136755</v>
      </c>
      <c r="Q920" s="8">
        <f t="shared" si="88"/>
        <v>11.752136752136755</v>
      </c>
      <c r="R920" s="10">
        <f t="shared" si="89"/>
        <v>11.752136752136755</v>
      </c>
    </row>
    <row r="921" spans="1:18" x14ac:dyDescent="0.25">
      <c r="A921" s="7">
        <f t="shared" si="84"/>
        <v>184</v>
      </c>
      <c r="B921" s="2">
        <v>44266</v>
      </c>
      <c r="C921" s="3">
        <v>15.63</v>
      </c>
      <c r="D921" s="3">
        <v>15.87</v>
      </c>
      <c r="E921" s="3">
        <v>15.5</v>
      </c>
      <c r="F921" s="3">
        <v>15.69</v>
      </c>
      <c r="G921" s="3">
        <v>1813900</v>
      </c>
      <c r="H921" s="8">
        <f t="shared" si="85"/>
        <v>11.752136752136755</v>
      </c>
      <c r="I921">
        <f t="shared" si="86"/>
        <v>14.674000000000001</v>
      </c>
      <c r="J921" s="6" cm="1">
        <f t="array" ref="J921">_xlfn.STDEV.S(IF($A:$A=A921, $F:$F))</f>
        <v>0.7320040983491829</v>
      </c>
      <c r="P921" s="8">
        <f t="shared" si="87"/>
        <v>11.752136752136755</v>
      </c>
      <c r="Q921" s="8">
        <f t="shared" si="88"/>
        <v>11.752136752136755</v>
      </c>
      <c r="R921" s="10">
        <f t="shared" si="89"/>
        <v>11.752136752136755</v>
      </c>
    </row>
    <row r="922" spans="1:18" x14ac:dyDescent="0.25">
      <c r="A922" s="7">
        <f t="shared" si="84"/>
        <v>185</v>
      </c>
      <c r="B922" s="2">
        <v>44267</v>
      </c>
      <c r="C922" s="3">
        <v>15.69</v>
      </c>
      <c r="D922" s="3">
        <v>15.9</v>
      </c>
      <c r="E922" s="3">
        <v>15.53</v>
      </c>
      <c r="F922" s="3">
        <v>15.58</v>
      </c>
      <c r="G922" s="3">
        <v>1311600</v>
      </c>
      <c r="H922" s="8">
        <f t="shared" si="85"/>
        <v>10.012836970474972</v>
      </c>
      <c r="I922">
        <f t="shared" si="86"/>
        <v>16.256</v>
      </c>
      <c r="J922" s="6" cm="1">
        <f t="array" ref="J922">_xlfn.STDEV.S(IF($A:$A=A922, $F:$F))</f>
        <v>0.56060681408630797</v>
      </c>
      <c r="P922" s="8">
        <f t="shared" si="87"/>
        <v>10.012836970474972</v>
      </c>
      <c r="Q922" s="8">
        <f t="shared" si="88"/>
        <v>10.012836970474972</v>
      </c>
      <c r="R922" s="10">
        <f t="shared" si="89"/>
        <v>10.012836970474972</v>
      </c>
    </row>
    <row r="923" spans="1:18" x14ac:dyDescent="0.25">
      <c r="A923" s="7">
        <f t="shared" si="84"/>
        <v>185</v>
      </c>
      <c r="B923" s="2">
        <v>44270</v>
      </c>
      <c r="C923" s="3">
        <v>15.63</v>
      </c>
      <c r="D923" s="3">
        <v>16.239999999999998</v>
      </c>
      <c r="E923" s="3">
        <v>15.39</v>
      </c>
      <c r="F923" s="3">
        <v>16.16</v>
      </c>
      <c r="G923" s="3">
        <v>2408600</v>
      </c>
      <c r="H923" s="8">
        <f t="shared" si="85"/>
        <v>10.012836970474972</v>
      </c>
      <c r="I923">
        <f t="shared" si="86"/>
        <v>16.256</v>
      </c>
      <c r="J923" s="6" cm="1">
        <f t="array" ref="J923">_xlfn.STDEV.S(IF($A:$A=A923, $F:$F))</f>
        <v>0.56060681408630797</v>
      </c>
      <c r="P923" s="8">
        <f t="shared" si="87"/>
        <v>10.012836970474972</v>
      </c>
      <c r="Q923" s="8">
        <f t="shared" si="88"/>
        <v>10.012836970474972</v>
      </c>
      <c r="R923" s="10">
        <f t="shared" si="89"/>
        <v>10.012836970474972</v>
      </c>
    </row>
    <row r="924" spans="1:18" x14ac:dyDescent="0.25">
      <c r="A924" s="7">
        <f t="shared" si="84"/>
        <v>185</v>
      </c>
      <c r="B924" s="2">
        <v>44271</v>
      </c>
      <c r="C924" s="3">
        <v>16.38</v>
      </c>
      <c r="D924" s="3">
        <v>16.559999999999999</v>
      </c>
      <c r="E924" s="3">
        <v>16.03</v>
      </c>
      <c r="F924" s="3">
        <v>16.239999999999998</v>
      </c>
      <c r="G924" s="3">
        <v>1611400</v>
      </c>
      <c r="H924" s="8">
        <f t="shared" si="85"/>
        <v>10.012836970474972</v>
      </c>
      <c r="I924">
        <f t="shared" si="86"/>
        <v>16.256</v>
      </c>
      <c r="J924" s="6" cm="1">
        <f t="array" ref="J924">_xlfn.STDEV.S(IF($A:$A=A924, $F:$F))</f>
        <v>0.56060681408630797</v>
      </c>
      <c r="P924" s="8">
        <f t="shared" si="87"/>
        <v>10.012836970474972</v>
      </c>
      <c r="Q924" s="8">
        <f t="shared" si="88"/>
        <v>10.012836970474972</v>
      </c>
      <c r="R924" s="10">
        <f t="shared" si="89"/>
        <v>10.012836970474972</v>
      </c>
    </row>
    <row r="925" spans="1:18" x14ac:dyDescent="0.25">
      <c r="A925" s="7">
        <f t="shared" si="84"/>
        <v>185</v>
      </c>
      <c r="B925" s="2">
        <v>44272</v>
      </c>
      <c r="C925" s="3">
        <v>16.16</v>
      </c>
      <c r="D925" s="3">
        <v>16.27</v>
      </c>
      <c r="E925" s="3">
        <v>15.98</v>
      </c>
      <c r="F925" s="3">
        <v>16.16</v>
      </c>
      <c r="G925" s="3">
        <v>1612600</v>
      </c>
      <c r="H925" s="8">
        <f t="shared" si="85"/>
        <v>10.012836970474972</v>
      </c>
      <c r="I925">
        <f t="shared" si="86"/>
        <v>16.256</v>
      </c>
      <c r="J925" s="6" cm="1">
        <f t="array" ref="J925">_xlfn.STDEV.S(IF($A:$A=A925, $F:$F))</f>
        <v>0.56060681408630797</v>
      </c>
      <c r="P925" s="8">
        <f t="shared" si="87"/>
        <v>10.012836970474972</v>
      </c>
      <c r="Q925" s="8">
        <f t="shared" si="88"/>
        <v>10.012836970474972</v>
      </c>
      <c r="R925" s="10">
        <f t="shared" si="89"/>
        <v>10.012836970474972</v>
      </c>
    </row>
    <row r="926" spans="1:18" x14ac:dyDescent="0.25">
      <c r="A926" s="7">
        <f t="shared" si="84"/>
        <v>185</v>
      </c>
      <c r="B926" s="2">
        <v>44273</v>
      </c>
      <c r="C926" s="3">
        <v>16.239999999999998</v>
      </c>
      <c r="D926" s="3">
        <v>17.22</v>
      </c>
      <c r="E926" s="3">
        <v>16.16</v>
      </c>
      <c r="F926" s="3">
        <v>17.14</v>
      </c>
      <c r="G926" s="3">
        <v>1938200</v>
      </c>
      <c r="H926" s="8">
        <f t="shared" si="85"/>
        <v>10.012836970474972</v>
      </c>
      <c r="I926">
        <f t="shared" si="86"/>
        <v>16.256</v>
      </c>
      <c r="J926" s="6" cm="1">
        <f t="array" ref="J926">_xlfn.STDEV.S(IF($A:$A=A926, $F:$F))</f>
        <v>0.56060681408630797</v>
      </c>
      <c r="P926" s="8">
        <f t="shared" si="87"/>
        <v>10.012836970474972</v>
      </c>
      <c r="Q926" s="8">
        <f t="shared" si="88"/>
        <v>10.012836970474972</v>
      </c>
      <c r="R926" s="10">
        <f t="shared" si="89"/>
        <v>10.012836970474972</v>
      </c>
    </row>
    <row r="927" spans="1:18" x14ac:dyDescent="0.25">
      <c r="A927" s="7">
        <f t="shared" si="84"/>
        <v>186</v>
      </c>
      <c r="B927" s="2">
        <v>44274</v>
      </c>
      <c r="C927" s="3">
        <v>17.22</v>
      </c>
      <c r="D927" s="3">
        <v>18.149999999999999</v>
      </c>
      <c r="E927" s="3">
        <v>17.22</v>
      </c>
      <c r="F927" s="3">
        <v>17.86</v>
      </c>
      <c r="G927" s="3">
        <v>1743900</v>
      </c>
      <c r="H927" s="8">
        <f t="shared" si="85"/>
        <v>-9.9664053751399848</v>
      </c>
      <c r="I927">
        <f t="shared" si="86"/>
        <v>17.015999999999998</v>
      </c>
      <c r="J927" s="6" cm="1">
        <f t="array" ref="J927">_xlfn.STDEV.S(IF($A:$A=A927, $F:$F))</f>
        <v>0.78605343329827182</v>
      </c>
      <c r="P927" s="8">
        <f t="shared" si="87"/>
        <v>-9.9664053751399848</v>
      </c>
      <c r="Q927" s="8">
        <f t="shared" si="88"/>
        <v>-9.9664053751399848</v>
      </c>
      <c r="R927" s="11">
        <f t="shared" si="89"/>
        <v>-9.9664053751399848</v>
      </c>
    </row>
    <row r="928" spans="1:18" x14ac:dyDescent="0.25">
      <c r="A928" s="7">
        <f t="shared" si="84"/>
        <v>186</v>
      </c>
      <c r="B928" s="2">
        <v>44277</v>
      </c>
      <c r="C928" s="3">
        <v>17.86</v>
      </c>
      <c r="D928" s="3">
        <v>18.07</v>
      </c>
      <c r="E928" s="3">
        <v>17.36</v>
      </c>
      <c r="F928" s="3">
        <v>17.62</v>
      </c>
      <c r="G928" s="3">
        <v>903700</v>
      </c>
      <c r="H928" s="8">
        <f t="shared" si="85"/>
        <v>-9.9664053751399848</v>
      </c>
      <c r="I928">
        <f t="shared" si="86"/>
        <v>17.015999999999998</v>
      </c>
      <c r="J928" s="6" cm="1">
        <f t="array" ref="J928">_xlfn.STDEV.S(IF($A:$A=A928, $F:$F))</f>
        <v>0.78605343329827182</v>
      </c>
      <c r="P928" s="8">
        <f t="shared" si="87"/>
        <v>-9.9664053751399848</v>
      </c>
      <c r="Q928" s="8">
        <f t="shared" si="88"/>
        <v>-9.9664053751399848</v>
      </c>
      <c r="R928" s="11">
        <f t="shared" si="89"/>
        <v>-9.9664053751399848</v>
      </c>
    </row>
    <row r="929" spans="1:18" x14ac:dyDescent="0.25">
      <c r="A929" s="7">
        <f t="shared" si="84"/>
        <v>186</v>
      </c>
      <c r="B929" s="2">
        <v>44278</v>
      </c>
      <c r="C929" s="3">
        <v>17.489999999999998</v>
      </c>
      <c r="D929" s="3">
        <v>17.489999999999998</v>
      </c>
      <c r="E929" s="3">
        <v>16.690000000000001</v>
      </c>
      <c r="F929" s="3">
        <v>17.2</v>
      </c>
      <c r="G929" s="3">
        <v>1661000</v>
      </c>
      <c r="H929" s="8">
        <f t="shared" si="85"/>
        <v>-9.9664053751399848</v>
      </c>
      <c r="I929">
        <f t="shared" si="86"/>
        <v>17.015999999999998</v>
      </c>
      <c r="J929" s="6" cm="1">
        <f t="array" ref="J929">_xlfn.STDEV.S(IF($A:$A=A929, $F:$F))</f>
        <v>0.78605343329827182</v>
      </c>
      <c r="P929" s="8">
        <f t="shared" si="87"/>
        <v>-9.9664053751399848</v>
      </c>
      <c r="Q929" s="8">
        <f t="shared" si="88"/>
        <v>-9.9664053751399848</v>
      </c>
      <c r="R929" s="11">
        <f t="shared" si="89"/>
        <v>-9.9664053751399848</v>
      </c>
    </row>
    <row r="930" spans="1:18" x14ac:dyDescent="0.25">
      <c r="A930" s="7">
        <f t="shared" si="84"/>
        <v>186</v>
      </c>
      <c r="B930" s="2">
        <v>44279</v>
      </c>
      <c r="C930" s="3">
        <v>16.93</v>
      </c>
      <c r="D930" s="3">
        <v>16.96</v>
      </c>
      <c r="E930" s="3">
        <v>16.079999999999998</v>
      </c>
      <c r="F930" s="3">
        <v>16.32</v>
      </c>
      <c r="G930" s="3">
        <v>1990500</v>
      </c>
      <c r="H930" s="8">
        <f t="shared" si="85"/>
        <v>-9.9664053751399848</v>
      </c>
      <c r="I930">
        <f t="shared" si="86"/>
        <v>17.015999999999998</v>
      </c>
      <c r="J930" s="6" cm="1">
        <f t="array" ref="J930">_xlfn.STDEV.S(IF($A:$A=A930, $F:$F))</f>
        <v>0.78605343329827182</v>
      </c>
      <c r="P930" s="8">
        <f t="shared" si="87"/>
        <v>-9.9664053751399848</v>
      </c>
      <c r="Q930" s="8">
        <f t="shared" si="88"/>
        <v>-9.9664053751399848</v>
      </c>
      <c r="R930" s="11">
        <f t="shared" si="89"/>
        <v>-9.9664053751399848</v>
      </c>
    </row>
    <row r="931" spans="1:18" x14ac:dyDescent="0.25">
      <c r="A931" s="7">
        <f t="shared" si="84"/>
        <v>186</v>
      </c>
      <c r="B931" s="2">
        <v>44280</v>
      </c>
      <c r="C931" s="3">
        <v>16.399999999999999</v>
      </c>
      <c r="D931" s="3">
        <v>16.690000000000001</v>
      </c>
      <c r="E931" s="3">
        <v>16.03</v>
      </c>
      <c r="F931" s="3">
        <v>16.079999999999998</v>
      </c>
      <c r="G931" s="3">
        <v>1637900</v>
      </c>
      <c r="H931" s="8">
        <f t="shared" si="85"/>
        <v>-9.9664053751399848</v>
      </c>
      <c r="I931">
        <f t="shared" si="86"/>
        <v>17.015999999999998</v>
      </c>
      <c r="J931" s="6" cm="1">
        <f t="array" ref="J931">_xlfn.STDEV.S(IF($A:$A=A931, $F:$F))</f>
        <v>0.78605343329827182</v>
      </c>
      <c r="P931" s="8">
        <f t="shared" si="87"/>
        <v>-9.9664053751399848</v>
      </c>
      <c r="Q931" s="8">
        <f t="shared" si="88"/>
        <v>-9.9664053751399848</v>
      </c>
      <c r="R931" s="11">
        <f t="shared" si="89"/>
        <v>-9.9664053751399848</v>
      </c>
    </row>
    <row r="932" spans="1:18" x14ac:dyDescent="0.25">
      <c r="A932" s="7">
        <f t="shared" si="84"/>
        <v>187</v>
      </c>
      <c r="B932" s="2">
        <v>44281</v>
      </c>
      <c r="C932" s="3">
        <v>16.16</v>
      </c>
      <c r="D932" s="3">
        <v>16.93</v>
      </c>
      <c r="E932" s="3">
        <v>15.79</v>
      </c>
      <c r="F932" s="3">
        <v>16.93</v>
      </c>
      <c r="G932" s="3">
        <v>1741400</v>
      </c>
      <c r="H932" s="8">
        <f t="shared" si="85"/>
        <v>5.3160070880094423</v>
      </c>
      <c r="I932">
        <f t="shared" si="86"/>
        <v>17.18</v>
      </c>
      <c r="J932" s="6" cm="1">
        <f t="array" ref="J932">_xlfn.STDEV.S(IF($A:$A=A932, $F:$F))</f>
        <v>0.37656340767525404</v>
      </c>
      <c r="P932" s="8">
        <f t="shared" si="87"/>
        <v>5.3160070880094423</v>
      </c>
      <c r="Q932" s="8">
        <f t="shared" si="88"/>
        <v>5.3160070880094423</v>
      </c>
      <c r="R932" s="8">
        <f t="shared" si="89"/>
        <v>5.3160070880094423</v>
      </c>
    </row>
    <row r="933" spans="1:18" x14ac:dyDescent="0.25">
      <c r="A933" s="7">
        <f t="shared" si="84"/>
        <v>187</v>
      </c>
      <c r="B933" s="2">
        <v>44284</v>
      </c>
      <c r="C933" s="3">
        <v>16.96</v>
      </c>
      <c r="D933" s="3">
        <v>17.329999999999998</v>
      </c>
      <c r="E933" s="3">
        <v>16.829999999999998</v>
      </c>
      <c r="F933" s="3">
        <v>17.04</v>
      </c>
      <c r="G933" s="3">
        <v>1533300</v>
      </c>
      <c r="H933" s="8">
        <f t="shared" si="85"/>
        <v>5.3160070880094423</v>
      </c>
      <c r="I933">
        <f t="shared" si="86"/>
        <v>17.18</v>
      </c>
      <c r="J933" s="6" cm="1">
        <f t="array" ref="J933">_xlfn.STDEV.S(IF($A:$A=A933, $F:$F))</f>
        <v>0.37656340767525404</v>
      </c>
      <c r="P933" s="8">
        <f t="shared" si="87"/>
        <v>5.3160070880094423</v>
      </c>
      <c r="Q933" s="8">
        <f t="shared" si="88"/>
        <v>5.3160070880094423</v>
      </c>
      <c r="R933" s="8">
        <f t="shared" si="89"/>
        <v>5.3160070880094423</v>
      </c>
    </row>
    <row r="934" spans="1:18" x14ac:dyDescent="0.25">
      <c r="A934" s="7">
        <f t="shared" si="84"/>
        <v>187</v>
      </c>
      <c r="B934" s="2">
        <v>44285</v>
      </c>
      <c r="C934" s="3">
        <v>17.09</v>
      </c>
      <c r="D934" s="3">
        <v>17.25</v>
      </c>
      <c r="E934" s="3">
        <v>16.91</v>
      </c>
      <c r="F934" s="3">
        <v>17.170000000000002</v>
      </c>
      <c r="G934" s="3">
        <v>1318200</v>
      </c>
      <c r="H934" s="8">
        <f t="shared" si="85"/>
        <v>5.3160070880094423</v>
      </c>
      <c r="I934">
        <f t="shared" si="86"/>
        <v>17.18</v>
      </c>
      <c r="J934" s="6" cm="1">
        <f t="array" ref="J934">_xlfn.STDEV.S(IF($A:$A=A934, $F:$F))</f>
        <v>0.37656340767525404</v>
      </c>
      <c r="P934" s="8">
        <f t="shared" si="87"/>
        <v>5.3160070880094423</v>
      </c>
      <c r="Q934" s="8">
        <f t="shared" si="88"/>
        <v>5.3160070880094423</v>
      </c>
      <c r="R934" s="8">
        <f t="shared" si="89"/>
        <v>5.3160070880094423</v>
      </c>
    </row>
    <row r="935" spans="1:18" x14ac:dyDescent="0.25">
      <c r="A935" s="7">
        <f t="shared" si="84"/>
        <v>187</v>
      </c>
      <c r="B935" s="2">
        <v>44286</v>
      </c>
      <c r="C935" s="3">
        <v>17.09</v>
      </c>
      <c r="D935" s="3">
        <v>17.170000000000002</v>
      </c>
      <c r="E935" s="3">
        <v>16.72</v>
      </c>
      <c r="F935" s="3">
        <v>16.93</v>
      </c>
      <c r="G935" s="3">
        <v>1828100</v>
      </c>
      <c r="H935" s="8">
        <f t="shared" si="85"/>
        <v>5.3160070880094423</v>
      </c>
      <c r="I935">
        <f t="shared" si="86"/>
        <v>17.18</v>
      </c>
      <c r="J935" s="6" cm="1">
        <f t="array" ref="J935">_xlfn.STDEV.S(IF($A:$A=A935, $F:$F))</f>
        <v>0.37656340767525404</v>
      </c>
      <c r="P935" s="8">
        <f t="shared" si="87"/>
        <v>5.3160070880094423</v>
      </c>
      <c r="Q935" s="8">
        <f t="shared" si="88"/>
        <v>5.3160070880094423</v>
      </c>
      <c r="R935" s="8">
        <f t="shared" si="89"/>
        <v>5.3160070880094423</v>
      </c>
    </row>
    <row r="936" spans="1:18" x14ac:dyDescent="0.25">
      <c r="A936" s="7">
        <f t="shared" si="84"/>
        <v>187</v>
      </c>
      <c r="B936" s="2">
        <v>44287</v>
      </c>
      <c r="C936" s="3">
        <v>16.96</v>
      </c>
      <c r="D936" s="3">
        <v>17.96</v>
      </c>
      <c r="E936" s="3">
        <v>16.829999999999998</v>
      </c>
      <c r="F936" s="3">
        <v>17.829999999999998</v>
      </c>
      <c r="G936" s="3">
        <v>1584600</v>
      </c>
      <c r="H936" s="8">
        <f t="shared" si="85"/>
        <v>5.3160070880094423</v>
      </c>
      <c r="I936">
        <f t="shared" si="86"/>
        <v>17.18</v>
      </c>
      <c r="J936" s="6" cm="1">
        <f t="array" ref="J936">_xlfn.STDEV.S(IF($A:$A=A936, $F:$F))</f>
        <v>0.37656340767525404</v>
      </c>
      <c r="P936" s="8">
        <f t="shared" si="87"/>
        <v>5.3160070880094423</v>
      </c>
      <c r="Q936" s="8">
        <f t="shared" si="88"/>
        <v>5.3160070880094423</v>
      </c>
      <c r="R936" s="8">
        <f t="shared" si="89"/>
        <v>5.3160070880094423</v>
      </c>
    </row>
    <row r="937" spans="1:18" x14ac:dyDescent="0.25">
      <c r="A937" s="7">
        <f t="shared" si="84"/>
        <v>188</v>
      </c>
      <c r="B937" s="2">
        <v>44288</v>
      </c>
      <c r="C937" s="3">
        <v>18.02</v>
      </c>
      <c r="D937" s="3">
        <v>18.02</v>
      </c>
      <c r="E937" s="3">
        <v>17.489999999999998</v>
      </c>
      <c r="F937" s="3">
        <v>17.57</v>
      </c>
      <c r="G937" s="3">
        <v>1079800</v>
      </c>
      <c r="H937" s="8">
        <f t="shared" si="85"/>
        <v>1.8212862834376793</v>
      </c>
      <c r="I937">
        <f t="shared" si="86"/>
        <v>17.84</v>
      </c>
      <c r="J937" s="6" cm="1">
        <f t="array" ref="J937">_xlfn.STDEV.S(IF($A:$A=A937, $F:$F))</f>
        <v>0.22967368155711695</v>
      </c>
      <c r="P937" s="8">
        <f t="shared" si="87"/>
        <v>1.8212862834376793</v>
      </c>
      <c r="Q937" s="8">
        <f t="shared" si="88"/>
        <v>1.8212862834376793</v>
      </c>
      <c r="R937" s="8">
        <f t="shared" si="89"/>
        <v>1.8212862834376793</v>
      </c>
    </row>
    <row r="938" spans="1:18" x14ac:dyDescent="0.25">
      <c r="A938" s="7">
        <f t="shared" si="84"/>
        <v>188</v>
      </c>
      <c r="B938" s="2">
        <v>44291</v>
      </c>
      <c r="C938" s="3">
        <v>17.75</v>
      </c>
      <c r="D938" s="3">
        <v>17.989999999999998</v>
      </c>
      <c r="E938" s="3">
        <v>17.59</v>
      </c>
      <c r="F938" s="3">
        <v>17.7</v>
      </c>
      <c r="G938" s="3">
        <v>1155400</v>
      </c>
      <c r="H938" s="8">
        <f t="shared" si="85"/>
        <v>1.8212862834376793</v>
      </c>
      <c r="I938">
        <f t="shared" si="86"/>
        <v>17.84</v>
      </c>
      <c r="J938" s="6" cm="1">
        <f t="array" ref="J938">_xlfn.STDEV.S(IF($A:$A=A938, $F:$F))</f>
        <v>0.22967368155711695</v>
      </c>
      <c r="P938" s="8">
        <f t="shared" si="87"/>
        <v>1.8212862834376793</v>
      </c>
      <c r="Q938" s="8">
        <f t="shared" si="88"/>
        <v>1.8212862834376793</v>
      </c>
      <c r="R938" s="8">
        <f t="shared" si="89"/>
        <v>1.8212862834376793</v>
      </c>
    </row>
    <row r="939" spans="1:18" x14ac:dyDescent="0.25">
      <c r="A939" s="7">
        <f t="shared" si="84"/>
        <v>188</v>
      </c>
      <c r="B939" s="2">
        <v>44292</v>
      </c>
      <c r="C939" s="3">
        <v>17.489999999999998</v>
      </c>
      <c r="D939" s="3">
        <v>17.940000000000001</v>
      </c>
      <c r="E939" s="3">
        <v>17.489999999999998</v>
      </c>
      <c r="F939" s="3">
        <v>17.86</v>
      </c>
      <c r="G939" s="3">
        <v>1466900</v>
      </c>
      <c r="H939" s="8">
        <f t="shared" si="85"/>
        <v>1.8212862834376793</v>
      </c>
      <c r="I939">
        <f t="shared" si="86"/>
        <v>17.84</v>
      </c>
      <c r="J939" s="6" cm="1">
        <f t="array" ref="J939">_xlfn.STDEV.S(IF($A:$A=A939, $F:$F))</f>
        <v>0.22967368155711695</v>
      </c>
      <c r="P939" s="8">
        <f t="shared" si="87"/>
        <v>1.8212862834376793</v>
      </c>
      <c r="Q939" s="8">
        <f t="shared" si="88"/>
        <v>1.8212862834376793</v>
      </c>
      <c r="R939" s="8">
        <f t="shared" si="89"/>
        <v>1.8212862834376793</v>
      </c>
    </row>
    <row r="940" spans="1:18" x14ac:dyDescent="0.25">
      <c r="A940" s="7">
        <f t="shared" si="84"/>
        <v>188</v>
      </c>
      <c r="B940" s="2">
        <v>44293</v>
      </c>
      <c r="C940" s="3">
        <v>17.86</v>
      </c>
      <c r="D940" s="3">
        <v>18.260000000000002</v>
      </c>
      <c r="E940" s="3">
        <v>17.75</v>
      </c>
      <c r="F940" s="3">
        <v>18.18</v>
      </c>
      <c r="G940" s="3">
        <v>1199800</v>
      </c>
      <c r="H940" s="8">
        <f t="shared" si="85"/>
        <v>1.8212862834376793</v>
      </c>
      <c r="I940">
        <f t="shared" si="86"/>
        <v>17.84</v>
      </c>
      <c r="J940" s="6" cm="1">
        <f t="array" ref="J940">_xlfn.STDEV.S(IF($A:$A=A940, $F:$F))</f>
        <v>0.22967368155711695</v>
      </c>
      <c r="P940" s="8">
        <f t="shared" si="87"/>
        <v>1.8212862834376793</v>
      </c>
      <c r="Q940" s="8">
        <f t="shared" si="88"/>
        <v>1.8212862834376793</v>
      </c>
      <c r="R940" s="8">
        <f t="shared" si="89"/>
        <v>1.8212862834376793</v>
      </c>
    </row>
    <row r="941" spans="1:18" x14ac:dyDescent="0.25">
      <c r="A941" s="7">
        <f t="shared" si="84"/>
        <v>188</v>
      </c>
      <c r="B941" s="2">
        <v>44294</v>
      </c>
      <c r="C941" s="3">
        <v>18.28</v>
      </c>
      <c r="D941" s="3">
        <v>18.28</v>
      </c>
      <c r="E941" s="3">
        <v>17.62</v>
      </c>
      <c r="F941" s="3">
        <v>17.89</v>
      </c>
      <c r="G941" s="3">
        <v>1503300</v>
      </c>
      <c r="H941" s="8">
        <f t="shared" si="85"/>
        <v>1.8212862834376793</v>
      </c>
      <c r="I941">
        <f t="shared" si="86"/>
        <v>17.84</v>
      </c>
      <c r="J941" s="6" cm="1">
        <f t="array" ref="J941">_xlfn.STDEV.S(IF($A:$A=A941, $F:$F))</f>
        <v>0.22967368155711695</v>
      </c>
      <c r="P941" s="8">
        <f t="shared" si="87"/>
        <v>1.8212862834376793</v>
      </c>
      <c r="Q941" s="8">
        <f t="shared" si="88"/>
        <v>1.8212862834376793</v>
      </c>
      <c r="R941" s="8">
        <f t="shared" si="89"/>
        <v>1.8212862834376793</v>
      </c>
    </row>
    <row r="942" spans="1:18" x14ac:dyDescent="0.25">
      <c r="A942" s="7">
        <f t="shared" si="84"/>
        <v>189</v>
      </c>
      <c r="B942" s="2">
        <v>44295</v>
      </c>
      <c r="C942" s="3">
        <v>17.75</v>
      </c>
      <c r="D942" s="3">
        <v>18.149999999999999</v>
      </c>
      <c r="E942" s="3">
        <v>17.649999999999999</v>
      </c>
      <c r="F942" s="3">
        <v>18.12</v>
      </c>
      <c r="G942" s="3">
        <v>1348500</v>
      </c>
      <c r="H942" s="8">
        <f t="shared" si="85"/>
        <v>-4.0838852097130349</v>
      </c>
      <c r="I942">
        <f t="shared" si="86"/>
        <v>17.731999999999999</v>
      </c>
      <c r="J942" s="6" cm="1">
        <f t="array" ref="J942">_xlfn.STDEV.S(IF($A:$A=A942, $F:$F))</f>
        <v>0.31523007470734793</v>
      </c>
      <c r="P942" s="8">
        <f t="shared" si="87"/>
        <v>-4.0838852097130349</v>
      </c>
      <c r="Q942" s="8">
        <f t="shared" si="88"/>
        <v>-4.0838852097130349</v>
      </c>
      <c r="R942" s="8">
        <f t="shared" si="89"/>
        <v>-4.0838852097130349</v>
      </c>
    </row>
    <row r="943" spans="1:18" x14ac:dyDescent="0.25">
      <c r="A943" s="7">
        <f t="shared" si="84"/>
        <v>189</v>
      </c>
      <c r="B943" s="2">
        <v>44298</v>
      </c>
      <c r="C943" s="3">
        <v>18.260000000000002</v>
      </c>
      <c r="D943" s="3">
        <v>18.309999999999999</v>
      </c>
      <c r="E943" s="3">
        <v>17.75</v>
      </c>
      <c r="F943" s="3">
        <v>17.91</v>
      </c>
      <c r="G943" s="3">
        <v>2150000</v>
      </c>
      <c r="H943" s="8">
        <f t="shared" si="85"/>
        <v>-4.0838852097130349</v>
      </c>
      <c r="I943">
        <f t="shared" si="86"/>
        <v>17.731999999999999</v>
      </c>
      <c r="J943" s="6" cm="1">
        <f t="array" ref="J943">_xlfn.STDEV.S(IF($A:$A=A943, $F:$F))</f>
        <v>0.31523007470734793</v>
      </c>
      <c r="P943" s="8">
        <f t="shared" si="87"/>
        <v>-4.0838852097130349</v>
      </c>
      <c r="Q943" s="8">
        <f t="shared" si="88"/>
        <v>-4.0838852097130349</v>
      </c>
      <c r="R943" s="8">
        <f t="shared" si="89"/>
        <v>-4.0838852097130349</v>
      </c>
    </row>
    <row r="944" spans="1:18" x14ac:dyDescent="0.25">
      <c r="A944" s="7">
        <f t="shared" si="84"/>
        <v>189</v>
      </c>
      <c r="B944" s="2">
        <v>44299</v>
      </c>
      <c r="C944" s="3">
        <v>17.940000000000001</v>
      </c>
      <c r="D944" s="3">
        <v>17.989999999999998</v>
      </c>
      <c r="E944" s="3">
        <v>17.36</v>
      </c>
      <c r="F944" s="3">
        <v>17.440000000000001</v>
      </c>
      <c r="G944" s="3">
        <v>1778700</v>
      </c>
      <c r="H944" s="8">
        <f t="shared" si="85"/>
        <v>-4.0838852097130349</v>
      </c>
      <c r="I944">
        <f t="shared" si="86"/>
        <v>17.731999999999999</v>
      </c>
      <c r="J944" s="6" cm="1">
        <f t="array" ref="J944">_xlfn.STDEV.S(IF($A:$A=A944, $F:$F))</f>
        <v>0.31523007470734793</v>
      </c>
      <c r="P944" s="8">
        <f t="shared" si="87"/>
        <v>-4.0838852097130349</v>
      </c>
      <c r="Q944" s="8">
        <f t="shared" si="88"/>
        <v>-4.0838852097130349</v>
      </c>
      <c r="R944" s="8">
        <f t="shared" si="89"/>
        <v>-4.0838852097130349</v>
      </c>
    </row>
    <row r="945" spans="1:18" x14ac:dyDescent="0.25">
      <c r="A945" s="7">
        <f t="shared" si="84"/>
        <v>189</v>
      </c>
      <c r="B945" s="2">
        <v>44300</v>
      </c>
      <c r="C945" s="3">
        <v>17.22</v>
      </c>
      <c r="D945" s="3">
        <v>17.809999999999999</v>
      </c>
      <c r="E945" s="3">
        <v>17.09</v>
      </c>
      <c r="F945" s="3">
        <v>17.809999999999999</v>
      </c>
      <c r="G945" s="3">
        <v>1489800</v>
      </c>
      <c r="H945" s="8">
        <f t="shared" si="85"/>
        <v>-4.0838852097130349</v>
      </c>
      <c r="I945">
        <f t="shared" si="86"/>
        <v>17.731999999999999</v>
      </c>
      <c r="J945" s="6" cm="1">
        <f t="array" ref="J945">_xlfn.STDEV.S(IF($A:$A=A945, $F:$F))</f>
        <v>0.31523007470734793</v>
      </c>
      <c r="P945" s="8">
        <f t="shared" si="87"/>
        <v>-4.0838852097130349</v>
      </c>
      <c r="Q945" s="8">
        <f t="shared" si="88"/>
        <v>-4.0838852097130349</v>
      </c>
      <c r="R945" s="8">
        <f t="shared" si="89"/>
        <v>-4.0838852097130349</v>
      </c>
    </row>
    <row r="946" spans="1:18" x14ac:dyDescent="0.25">
      <c r="A946" s="7">
        <f t="shared" si="84"/>
        <v>189</v>
      </c>
      <c r="B946" s="2">
        <v>44301</v>
      </c>
      <c r="C946" s="3">
        <v>17.809999999999999</v>
      </c>
      <c r="D946" s="3">
        <v>17.809999999999999</v>
      </c>
      <c r="E946" s="3">
        <v>17.36</v>
      </c>
      <c r="F946" s="3">
        <v>17.38</v>
      </c>
      <c r="G946" s="3">
        <v>1158200</v>
      </c>
      <c r="H946" s="8">
        <f t="shared" si="85"/>
        <v>-4.0838852097130349</v>
      </c>
      <c r="I946">
        <f t="shared" si="86"/>
        <v>17.731999999999999</v>
      </c>
      <c r="J946" s="6" cm="1">
        <f t="array" ref="J946">_xlfn.STDEV.S(IF($A:$A=A946, $F:$F))</f>
        <v>0.31523007470734793</v>
      </c>
      <c r="P946" s="8">
        <f t="shared" si="87"/>
        <v>-4.0838852097130349</v>
      </c>
      <c r="Q946" s="8">
        <f t="shared" si="88"/>
        <v>-4.0838852097130349</v>
      </c>
      <c r="R946" s="8">
        <f t="shared" si="89"/>
        <v>-4.0838852097130349</v>
      </c>
    </row>
    <row r="947" spans="1:18" x14ac:dyDescent="0.25">
      <c r="A947" s="7">
        <f t="shared" si="84"/>
        <v>190</v>
      </c>
      <c r="B947" s="2">
        <v>44302</v>
      </c>
      <c r="C947" s="3">
        <v>17.22</v>
      </c>
      <c r="D947" s="3">
        <v>17.649999999999999</v>
      </c>
      <c r="E947" s="3">
        <v>16.690000000000001</v>
      </c>
      <c r="F947" s="3">
        <v>17.059999999999999</v>
      </c>
      <c r="G947" s="3">
        <v>1331900</v>
      </c>
      <c r="H947" s="8">
        <f t="shared" si="85"/>
        <v>-3.3997655334114794</v>
      </c>
      <c r="I947">
        <f t="shared" si="86"/>
        <v>16.702000000000002</v>
      </c>
      <c r="J947" s="6" cm="1">
        <f t="array" ref="J947">_xlfn.STDEV.S(IF($A:$A=A947, $F:$F))</f>
        <v>0.41324326975765718</v>
      </c>
      <c r="P947" s="8">
        <f t="shared" si="87"/>
        <v>-3.3997655334114794</v>
      </c>
      <c r="Q947" s="8">
        <f t="shared" si="88"/>
        <v>-3.3997655334114794</v>
      </c>
      <c r="R947" s="8">
        <f t="shared" si="89"/>
        <v>-3.3997655334114794</v>
      </c>
    </row>
    <row r="948" spans="1:18" x14ac:dyDescent="0.25">
      <c r="A948" s="7">
        <f t="shared" si="84"/>
        <v>190</v>
      </c>
      <c r="B948" s="2">
        <v>44305</v>
      </c>
      <c r="C948" s="3">
        <v>16.96</v>
      </c>
      <c r="D948" s="3">
        <v>17.36</v>
      </c>
      <c r="E948" s="3">
        <v>16.61</v>
      </c>
      <c r="F948" s="3">
        <v>17.09</v>
      </c>
      <c r="G948" s="3">
        <v>1170700</v>
      </c>
      <c r="H948" s="8">
        <f t="shared" si="85"/>
        <v>-3.3997655334114794</v>
      </c>
      <c r="I948">
        <f t="shared" si="86"/>
        <v>16.702000000000002</v>
      </c>
      <c r="J948" s="6" cm="1">
        <f t="array" ref="J948">_xlfn.STDEV.S(IF($A:$A=A948, $F:$F))</f>
        <v>0.41324326975765718</v>
      </c>
      <c r="P948" s="8">
        <f t="shared" si="87"/>
        <v>-3.3997655334114794</v>
      </c>
      <c r="Q948" s="8">
        <f t="shared" si="88"/>
        <v>-3.3997655334114794</v>
      </c>
      <c r="R948" s="8">
        <f t="shared" si="89"/>
        <v>-3.3997655334114794</v>
      </c>
    </row>
    <row r="949" spans="1:18" x14ac:dyDescent="0.25">
      <c r="A949" s="7">
        <f t="shared" si="84"/>
        <v>190</v>
      </c>
      <c r="B949" s="2">
        <v>44306</v>
      </c>
      <c r="C949" s="3">
        <v>17.329999999999998</v>
      </c>
      <c r="D949" s="3">
        <v>17.329999999999998</v>
      </c>
      <c r="E949" s="3">
        <v>16.510000000000002</v>
      </c>
      <c r="F949" s="3">
        <v>16.77</v>
      </c>
      <c r="G949" s="3">
        <v>1283800</v>
      </c>
      <c r="H949" s="8">
        <f t="shared" si="85"/>
        <v>-3.3997655334114794</v>
      </c>
      <c r="I949">
        <f t="shared" si="86"/>
        <v>16.702000000000002</v>
      </c>
      <c r="J949" s="6" cm="1">
        <f t="array" ref="J949">_xlfn.STDEV.S(IF($A:$A=A949, $F:$F))</f>
        <v>0.41324326975765718</v>
      </c>
      <c r="P949" s="8">
        <f t="shared" si="87"/>
        <v>-3.3997655334114794</v>
      </c>
      <c r="Q949" s="8">
        <f t="shared" si="88"/>
        <v>-3.3997655334114794</v>
      </c>
      <c r="R949" s="8">
        <f t="shared" si="89"/>
        <v>-3.3997655334114794</v>
      </c>
    </row>
    <row r="950" spans="1:18" x14ac:dyDescent="0.25">
      <c r="A950" s="7">
        <f t="shared" si="84"/>
        <v>190</v>
      </c>
      <c r="B950" s="2">
        <v>44308</v>
      </c>
      <c r="C950" s="3">
        <v>16.75</v>
      </c>
      <c r="D950" s="3">
        <v>16.93</v>
      </c>
      <c r="E950" s="3">
        <v>16.03</v>
      </c>
      <c r="F950" s="3">
        <v>16.11</v>
      </c>
      <c r="G950" s="3">
        <v>2122800</v>
      </c>
      <c r="H950" s="8">
        <f t="shared" si="85"/>
        <v>-3.3997655334114794</v>
      </c>
      <c r="I950">
        <f t="shared" si="86"/>
        <v>16.702000000000002</v>
      </c>
      <c r="J950" s="6" cm="1">
        <f t="array" ref="J950">_xlfn.STDEV.S(IF($A:$A=A950, $F:$F))</f>
        <v>0.41324326975765718</v>
      </c>
      <c r="P950" s="8">
        <f t="shared" si="87"/>
        <v>-3.3997655334114794</v>
      </c>
      <c r="Q950" s="8">
        <f t="shared" si="88"/>
        <v>-3.3997655334114794</v>
      </c>
      <c r="R950" s="8">
        <f t="shared" si="89"/>
        <v>-3.3997655334114794</v>
      </c>
    </row>
    <row r="951" spans="1:18" x14ac:dyDescent="0.25">
      <c r="A951" s="7">
        <f t="shared" si="84"/>
        <v>190</v>
      </c>
      <c r="B951" s="2">
        <v>44309</v>
      </c>
      <c r="C951" s="3">
        <v>16.11</v>
      </c>
      <c r="D951" s="3">
        <v>16.72</v>
      </c>
      <c r="E951" s="3">
        <v>15.9</v>
      </c>
      <c r="F951" s="3">
        <v>16.48</v>
      </c>
      <c r="G951" s="3">
        <v>1100100</v>
      </c>
      <c r="H951" s="8">
        <f t="shared" si="85"/>
        <v>-3.3997655334114794</v>
      </c>
      <c r="I951">
        <f t="shared" si="86"/>
        <v>16.702000000000002</v>
      </c>
      <c r="J951" s="6" cm="1">
        <f t="array" ref="J951">_xlfn.STDEV.S(IF($A:$A=A951, $F:$F))</f>
        <v>0.41324326975765718</v>
      </c>
      <c r="P951" s="8">
        <f t="shared" si="87"/>
        <v>-3.3997655334114794</v>
      </c>
      <c r="Q951" s="8">
        <f t="shared" si="88"/>
        <v>-3.3997655334114794</v>
      </c>
      <c r="R951" s="8">
        <f t="shared" si="89"/>
        <v>-3.3997655334114794</v>
      </c>
    </row>
    <row r="952" spans="1:18" x14ac:dyDescent="0.25">
      <c r="A952" s="7">
        <f t="shared" si="84"/>
        <v>191</v>
      </c>
      <c r="B952" s="2">
        <v>44312</v>
      </c>
      <c r="C952" s="3">
        <v>16.64</v>
      </c>
      <c r="D952" s="3">
        <v>16.690000000000001</v>
      </c>
      <c r="E952" s="3">
        <v>16.11</v>
      </c>
      <c r="F952" s="3">
        <v>16.16</v>
      </c>
      <c r="G952" s="3">
        <v>1024700</v>
      </c>
      <c r="H952" s="8">
        <f t="shared" si="85"/>
        <v>5.2599009900990188</v>
      </c>
      <c r="I952">
        <f t="shared" si="86"/>
        <v>16.724</v>
      </c>
      <c r="J952" s="6" cm="1">
        <f t="array" ref="J952">_xlfn.STDEV.S(IF($A:$A=A952, $F:$F))</f>
        <v>0.37647045036762206</v>
      </c>
      <c r="P952" s="8">
        <f t="shared" si="87"/>
        <v>5.2599009900990188</v>
      </c>
      <c r="Q952" s="8">
        <f t="shared" si="88"/>
        <v>5.2599009900990188</v>
      </c>
      <c r="R952" s="8">
        <f t="shared" si="89"/>
        <v>5.2599009900990188</v>
      </c>
    </row>
    <row r="953" spans="1:18" x14ac:dyDescent="0.25">
      <c r="A953" s="7">
        <f t="shared" si="84"/>
        <v>191</v>
      </c>
      <c r="B953" s="2">
        <v>44313</v>
      </c>
      <c r="C953" s="3">
        <v>16.16</v>
      </c>
      <c r="D953" s="3">
        <v>16.559999999999999</v>
      </c>
      <c r="E953" s="3">
        <v>16.11</v>
      </c>
      <c r="F953" s="3">
        <v>16.510000000000002</v>
      </c>
      <c r="G953" s="3">
        <v>843500</v>
      </c>
      <c r="H953" s="8">
        <f t="shared" si="85"/>
        <v>5.2599009900990188</v>
      </c>
      <c r="I953">
        <f t="shared" si="86"/>
        <v>16.724</v>
      </c>
      <c r="J953" s="6" cm="1">
        <f t="array" ref="J953">_xlfn.STDEV.S(IF($A:$A=A953, $F:$F))</f>
        <v>0.37647045036762206</v>
      </c>
      <c r="P953" s="8">
        <f t="shared" si="87"/>
        <v>5.2599009900990188</v>
      </c>
      <c r="Q953" s="8">
        <f t="shared" si="88"/>
        <v>5.2599009900990188</v>
      </c>
      <c r="R953" s="8">
        <f t="shared" si="89"/>
        <v>5.2599009900990188</v>
      </c>
    </row>
    <row r="954" spans="1:18" x14ac:dyDescent="0.25">
      <c r="A954" s="7">
        <f t="shared" si="84"/>
        <v>191</v>
      </c>
      <c r="B954" s="2">
        <v>44314</v>
      </c>
      <c r="C954" s="3">
        <v>16.559999999999999</v>
      </c>
      <c r="D954" s="3">
        <v>17.36</v>
      </c>
      <c r="E954" s="3">
        <v>16.559999999999999</v>
      </c>
      <c r="F954" s="3">
        <v>16.96</v>
      </c>
      <c r="G954" s="3">
        <v>1834700</v>
      </c>
      <c r="H954" s="8">
        <f t="shared" si="85"/>
        <v>5.2599009900990188</v>
      </c>
      <c r="I954">
        <f t="shared" si="86"/>
        <v>16.724</v>
      </c>
      <c r="J954" s="6" cm="1">
        <f t="array" ref="J954">_xlfn.STDEV.S(IF($A:$A=A954, $F:$F))</f>
        <v>0.37647045036762206</v>
      </c>
      <c r="P954" s="8">
        <f t="shared" si="87"/>
        <v>5.2599009900990188</v>
      </c>
      <c r="Q954" s="8">
        <f t="shared" si="88"/>
        <v>5.2599009900990188</v>
      </c>
      <c r="R954" s="8">
        <f t="shared" si="89"/>
        <v>5.2599009900990188</v>
      </c>
    </row>
    <row r="955" spans="1:18" x14ac:dyDescent="0.25">
      <c r="A955" s="7">
        <f t="shared" si="84"/>
        <v>191</v>
      </c>
      <c r="B955" s="2">
        <v>44315</v>
      </c>
      <c r="C955" s="3">
        <v>17.37</v>
      </c>
      <c r="D955" s="3">
        <v>17.37</v>
      </c>
      <c r="E955" s="3">
        <v>16.899999999999999</v>
      </c>
      <c r="F955" s="3">
        <v>16.98</v>
      </c>
      <c r="G955" s="3">
        <v>694700</v>
      </c>
      <c r="H955" s="8">
        <f t="shared" si="85"/>
        <v>5.2599009900990188</v>
      </c>
      <c r="I955">
        <f t="shared" si="86"/>
        <v>16.724</v>
      </c>
      <c r="J955" s="6" cm="1">
        <f t="array" ref="J955">_xlfn.STDEV.S(IF($A:$A=A955, $F:$F))</f>
        <v>0.37647045036762206</v>
      </c>
      <c r="P955" s="8">
        <f t="shared" si="87"/>
        <v>5.2599009900990188</v>
      </c>
      <c r="Q955" s="8">
        <f t="shared" si="88"/>
        <v>5.2599009900990188</v>
      </c>
      <c r="R955" s="8">
        <f t="shared" si="89"/>
        <v>5.2599009900990188</v>
      </c>
    </row>
    <row r="956" spans="1:18" x14ac:dyDescent="0.25">
      <c r="A956" s="7">
        <f t="shared" si="84"/>
        <v>191</v>
      </c>
      <c r="B956" s="2">
        <v>44320</v>
      </c>
      <c r="C956" s="3">
        <v>16.440000000000001</v>
      </c>
      <c r="D956" s="3">
        <v>17.010000000000002</v>
      </c>
      <c r="E956" s="3">
        <v>16.440000000000001</v>
      </c>
      <c r="F956" s="3">
        <v>17.010000000000002</v>
      </c>
      <c r="G956" s="3">
        <v>717500</v>
      </c>
      <c r="H956" s="8">
        <f t="shared" si="85"/>
        <v>5.2599009900990188</v>
      </c>
      <c r="I956">
        <f t="shared" si="86"/>
        <v>16.724</v>
      </c>
      <c r="J956" s="6" cm="1">
        <f t="array" ref="J956">_xlfn.STDEV.S(IF($A:$A=A956, $F:$F))</f>
        <v>0.37647045036762206</v>
      </c>
      <c r="P956" s="8">
        <f t="shared" si="87"/>
        <v>5.2599009900990188</v>
      </c>
      <c r="Q956" s="8">
        <f t="shared" si="88"/>
        <v>5.2599009900990188</v>
      </c>
      <c r="R956" s="8">
        <f t="shared" si="89"/>
        <v>5.2599009900990188</v>
      </c>
    </row>
    <row r="957" spans="1:18" x14ac:dyDescent="0.25">
      <c r="A957" s="7">
        <f t="shared" si="84"/>
        <v>192</v>
      </c>
      <c r="B957" s="2">
        <v>44321</v>
      </c>
      <c r="C957" s="3">
        <v>17.010000000000002</v>
      </c>
      <c r="D957" s="3">
        <v>17.91</v>
      </c>
      <c r="E957" s="3">
        <v>16.96</v>
      </c>
      <c r="F957" s="3">
        <v>17.5</v>
      </c>
      <c r="G957" s="3">
        <v>3384100</v>
      </c>
      <c r="H957" s="8">
        <f t="shared" si="85"/>
        <v>6.5714285714285632</v>
      </c>
      <c r="I957">
        <f t="shared" si="86"/>
        <v>17.940000000000005</v>
      </c>
      <c r="J957" s="6" cm="1">
        <f t="array" ref="J957">_xlfn.STDEV.S(IF($A:$A=A957, $F:$F))</f>
        <v>0.64845971347493847</v>
      </c>
      <c r="P957" s="8">
        <f t="shared" si="87"/>
        <v>6.5714285714285632</v>
      </c>
      <c r="Q957" s="8">
        <f t="shared" si="88"/>
        <v>6.5714285714285632</v>
      </c>
      <c r="R957" s="8">
        <f t="shared" si="89"/>
        <v>6.5714285714285632</v>
      </c>
    </row>
    <row r="958" spans="1:18" x14ac:dyDescent="0.25">
      <c r="A958" s="7">
        <f t="shared" si="84"/>
        <v>192</v>
      </c>
      <c r="B958" s="2">
        <v>44322</v>
      </c>
      <c r="C958" s="3">
        <v>17.559999999999999</v>
      </c>
      <c r="D958" s="3">
        <v>17.75</v>
      </c>
      <c r="E958" s="3">
        <v>17.34</v>
      </c>
      <c r="F958" s="3">
        <v>17.45</v>
      </c>
      <c r="G958" s="3">
        <v>2523300</v>
      </c>
      <c r="H958" s="8">
        <f t="shared" si="85"/>
        <v>6.5714285714285632</v>
      </c>
      <c r="I958">
        <f t="shared" si="86"/>
        <v>17.940000000000005</v>
      </c>
      <c r="J958" s="6" cm="1">
        <f t="array" ref="J958">_xlfn.STDEV.S(IF($A:$A=A958, $F:$F))</f>
        <v>0.64845971347493847</v>
      </c>
      <c r="P958" s="8">
        <f t="shared" si="87"/>
        <v>6.5714285714285632</v>
      </c>
      <c r="Q958" s="8">
        <f t="shared" si="88"/>
        <v>6.5714285714285632</v>
      </c>
      <c r="R958" s="8">
        <f t="shared" si="89"/>
        <v>6.5714285714285632</v>
      </c>
    </row>
    <row r="959" spans="1:18" x14ac:dyDescent="0.25">
      <c r="A959" s="7">
        <f t="shared" si="84"/>
        <v>192</v>
      </c>
      <c r="B959" s="2">
        <v>44323</v>
      </c>
      <c r="C959" s="3">
        <v>17.260000000000002</v>
      </c>
      <c r="D959" s="3">
        <v>17.61</v>
      </c>
      <c r="E959" s="3">
        <v>17.149999999999999</v>
      </c>
      <c r="F959" s="3">
        <v>17.45</v>
      </c>
      <c r="G959" s="3">
        <v>1871200</v>
      </c>
      <c r="H959" s="8">
        <f t="shared" si="85"/>
        <v>6.5714285714285632</v>
      </c>
      <c r="I959">
        <f t="shared" si="86"/>
        <v>17.940000000000005</v>
      </c>
      <c r="J959" s="6" cm="1">
        <f t="array" ref="J959">_xlfn.STDEV.S(IF($A:$A=A959, $F:$F))</f>
        <v>0.64845971347493847</v>
      </c>
      <c r="P959" s="8">
        <f t="shared" si="87"/>
        <v>6.5714285714285632</v>
      </c>
      <c r="Q959" s="8">
        <f t="shared" si="88"/>
        <v>6.5714285714285632</v>
      </c>
      <c r="R959" s="8">
        <f t="shared" si="89"/>
        <v>6.5714285714285632</v>
      </c>
    </row>
    <row r="960" spans="1:18" x14ac:dyDescent="0.25">
      <c r="A960" s="7">
        <f t="shared" si="84"/>
        <v>192</v>
      </c>
      <c r="B960" s="2">
        <v>44326</v>
      </c>
      <c r="C960" s="3">
        <v>17.420000000000002</v>
      </c>
      <c r="D960" s="3">
        <v>18.649999999999999</v>
      </c>
      <c r="E960" s="3">
        <v>17.18</v>
      </c>
      <c r="F960" s="3">
        <v>18.649999999999999</v>
      </c>
      <c r="G960" s="3">
        <v>3746100</v>
      </c>
      <c r="H960" s="8">
        <f t="shared" si="85"/>
        <v>6.5714285714285632</v>
      </c>
      <c r="I960">
        <f t="shared" si="86"/>
        <v>17.940000000000005</v>
      </c>
      <c r="J960" s="6" cm="1">
        <f t="array" ref="J960">_xlfn.STDEV.S(IF($A:$A=A960, $F:$F))</f>
        <v>0.64845971347493847</v>
      </c>
      <c r="P960" s="8">
        <f t="shared" si="87"/>
        <v>6.5714285714285632</v>
      </c>
      <c r="Q960" s="8">
        <f t="shared" si="88"/>
        <v>6.5714285714285632</v>
      </c>
      <c r="R960" s="8">
        <f t="shared" si="89"/>
        <v>6.5714285714285632</v>
      </c>
    </row>
    <row r="961" spans="1:18" x14ac:dyDescent="0.25">
      <c r="A961" s="7">
        <f t="shared" si="84"/>
        <v>192</v>
      </c>
      <c r="B961" s="2">
        <v>44327</v>
      </c>
      <c r="C961" s="3">
        <v>19.149999999999999</v>
      </c>
      <c r="D961" s="3">
        <v>19.420000000000002</v>
      </c>
      <c r="E961" s="3">
        <v>18.649999999999999</v>
      </c>
      <c r="F961" s="3">
        <v>18.649999999999999</v>
      </c>
      <c r="G961" s="3">
        <v>2509800</v>
      </c>
      <c r="H961" s="8">
        <f t="shared" si="85"/>
        <v>6.5714285714285632</v>
      </c>
      <c r="I961">
        <f t="shared" si="86"/>
        <v>17.940000000000005</v>
      </c>
      <c r="J961" s="6" cm="1">
        <f t="array" ref="J961">_xlfn.STDEV.S(IF($A:$A=A961, $F:$F))</f>
        <v>0.64845971347493847</v>
      </c>
      <c r="P961" s="8">
        <f t="shared" si="87"/>
        <v>6.5714285714285632</v>
      </c>
      <c r="Q961" s="8">
        <f t="shared" si="88"/>
        <v>6.5714285714285632</v>
      </c>
      <c r="R961" s="8">
        <f t="shared" si="89"/>
        <v>6.5714285714285632</v>
      </c>
    </row>
    <row r="962" spans="1:18" x14ac:dyDescent="0.25">
      <c r="A962" s="7">
        <f t="shared" si="84"/>
        <v>193</v>
      </c>
      <c r="B962" s="2">
        <v>44328</v>
      </c>
      <c r="C962" s="3">
        <v>18.54</v>
      </c>
      <c r="D962" s="3">
        <v>19.420000000000002</v>
      </c>
      <c r="E962" s="3">
        <v>18.54</v>
      </c>
      <c r="F962" s="3">
        <v>19.420000000000002</v>
      </c>
      <c r="G962" s="3">
        <v>2025300</v>
      </c>
      <c r="H962" s="8">
        <f t="shared" si="85"/>
        <v>1.390319258496393</v>
      </c>
      <c r="I962">
        <f t="shared" si="86"/>
        <v>19.622</v>
      </c>
      <c r="J962" s="6" cm="1">
        <f t="array" ref="J962">_xlfn.STDEV.S(IF($A:$A=A962, $F:$F))</f>
        <v>0.43642868833292764</v>
      </c>
      <c r="P962" s="8">
        <f t="shared" si="87"/>
        <v>1.390319258496393</v>
      </c>
      <c r="Q962" s="8">
        <f t="shared" si="88"/>
        <v>1.390319258496393</v>
      </c>
      <c r="R962" s="8">
        <f t="shared" si="89"/>
        <v>1.390319258496393</v>
      </c>
    </row>
    <row r="963" spans="1:18" x14ac:dyDescent="0.25">
      <c r="A963" s="7">
        <f t="shared" ref="A963:A1026" si="90">INT((ROW(A963)-ROW($A$2))/5) + 1</f>
        <v>193</v>
      </c>
      <c r="B963" s="2">
        <v>44329</v>
      </c>
      <c r="C963" s="3">
        <v>19.309999999999999</v>
      </c>
      <c r="D963" s="3">
        <v>19.64</v>
      </c>
      <c r="E963" s="3">
        <v>18.98</v>
      </c>
      <c r="F963" s="3">
        <v>18.98</v>
      </c>
      <c r="G963" s="3">
        <v>2127300</v>
      </c>
      <c r="H963" s="8">
        <f t="shared" ref="H963:H1026" si="91">IF(A963=A962, H962, (F967-F963)/F963*100)</f>
        <v>1.390319258496393</v>
      </c>
      <c r="I963">
        <f t="shared" ref="I963:I1026" si="92">AVERAGEIF($A:$A, A963, $F:$F)</f>
        <v>19.622</v>
      </c>
      <c r="J963" s="6" cm="1">
        <f t="array" ref="J963">_xlfn.STDEV.S(IF($A:$A=A963, $F:$F))</f>
        <v>0.43642868833292764</v>
      </c>
      <c r="P963" s="8">
        <f t="shared" ref="P963:P1026" si="93">IF(A963=A962,P962,(F967-F963)/F963*100)</f>
        <v>1.390319258496393</v>
      </c>
      <c r="Q963" s="8">
        <f t="shared" ref="Q963:Q1026" si="94">IF(A963=A962,Q962,(F967-F963)/F963*100)</f>
        <v>1.390319258496393</v>
      </c>
      <c r="R963" s="8">
        <f t="shared" ref="R963:R1026" si="95">IF(A963=A962,R962,(F967-F963)/F963*100)</f>
        <v>1.390319258496393</v>
      </c>
    </row>
    <row r="964" spans="1:18" x14ac:dyDescent="0.25">
      <c r="A964" s="7">
        <f t="shared" si="90"/>
        <v>193</v>
      </c>
      <c r="B964" s="2">
        <v>44330</v>
      </c>
      <c r="C964" s="3">
        <v>19.23</v>
      </c>
      <c r="D964" s="3">
        <v>20.29</v>
      </c>
      <c r="E964" s="3">
        <v>18.93</v>
      </c>
      <c r="F964" s="3">
        <v>20.05</v>
      </c>
      <c r="G964" s="3">
        <v>3217400</v>
      </c>
      <c r="H964" s="8">
        <f t="shared" si="91"/>
        <v>1.390319258496393</v>
      </c>
      <c r="I964">
        <f t="shared" si="92"/>
        <v>19.622</v>
      </c>
      <c r="J964" s="6" cm="1">
        <f t="array" ref="J964">_xlfn.STDEV.S(IF($A:$A=A964, $F:$F))</f>
        <v>0.43642868833292764</v>
      </c>
      <c r="P964" s="8">
        <f t="shared" si="93"/>
        <v>1.390319258496393</v>
      </c>
      <c r="Q964" s="8">
        <f t="shared" si="94"/>
        <v>1.390319258496393</v>
      </c>
      <c r="R964" s="8">
        <f t="shared" si="95"/>
        <v>1.390319258496393</v>
      </c>
    </row>
    <row r="965" spans="1:18" x14ac:dyDescent="0.25">
      <c r="A965" s="7">
        <f t="shared" si="90"/>
        <v>193</v>
      </c>
      <c r="B965" s="2">
        <v>44333</v>
      </c>
      <c r="C965" s="3">
        <v>20.239999999999998</v>
      </c>
      <c r="D965" s="3">
        <v>20.43</v>
      </c>
      <c r="E965" s="3">
        <v>19.72</v>
      </c>
      <c r="F965" s="3">
        <v>19.97</v>
      </c>
      <c r="G965" s="3">
        <v>2055000</v>
      </c>
      <c r="H965" s="8">
        <f t="shared" si="91"/>
        <v>1.390319258496393</v>
      </c>
      <c r="I965">
        <f t="shared" si="92"/>
        <v>19.622</v>
      </c>
      <c r="J965" s="6" cm="1">
        <f t="array" ref="J965">_xlfn.STDEV.S(IF($A:$A=A965, $F:$F))</f>
        <v>0.43642868833292764</v>
      </c>
      <c r="P965" s="8">
        <f t="shared" si="93"/>
        <v>1.390319258496393</v>
      </c>
      <c r="Q965" s="8">
        <f t="shared" si="94"/>
        <v>1.390319258496393</v>
      </c>
      <c r="R965" s="8">
        <f t="shared" si="95"/>
        <v>1.390319258496393</v>
      </c>
    </row>
    <row r="966" spans="1:18" x14ac:dyDescent="0.25">
      <c r="A966" s="7">
        <f t="shared" si="90"/>
        <v>193</v>
      </c>
      <c r="B966" s="2">
        <v>44334</v>
      </c>
      <c r="C966" s="3">
        <v>19.75</v>
      </c>
      <c r="D966" s="3">
        <v>20.13</v>
      </c>
      <c r="E966" s="3">
        <v>19.53</v>
      </c>
      <c r="F966" s="3">
        <v>19.690000000000001</v>
      </c>
      <c r="G966" s="3">
        <v>2099900</v>
      </c>
      <c r="H966" s="8">
        <f t="shared" si="91"/>
        <v>1.390319258496393</v>
      </c>
      <c r="I966">
        <f t="shared" si="92"/>
        <v>19.622</v>
      </c>
      <c r="J966" s="6" cm="1">
        <f t="array" ref="J966">_xlfn.STDEV.S(IF($A:$A=A966, $F:$F))</f>
        <v>0.43642868833292764</v>
      </c>
      <c r="P966" s="8">
        <f t="shared" si="93"/>
        <v>1.390319258496393</v>
      </c>
      <c r="Q966" s="8">
        <f t="shared" si="94"/>
        <v>1.390319258496393</v>
      </c>
      <c r="R966" s="8">
        <f t="shared" si="95"/>
        <v>1.390319258496393</v>
      </c>
    </row>
    <row r="967" spans="1:18" x14ac:dyDescent="0.25">
      <c r="A967" s="7">
        <f t="shared" si="90"/>
        <v>194</v>
      </c>
      <c r="B967" s="2">
        <v>44335</v>
      </c>
      <c r="C967" s="3">
        <v>19.579999999999998</v>
      </c>
      <c r="D967" s="3">
        <v>20.18</v>
      </c>
      <c r="E967" s="3">
        <v>19.36</v>
      </c>
      <c r="F967" s="3">
        <v>19.97</v>
      </c>
      <c r="G967" s="3">
        <v>2266600</v>
      </c>
      <c r="H967" s="8">
        <f t="shared" si="91"/>
        <v>1.7526289434151299</v>
      </c>
      <c r="I967">
        <f t="shared" si="92"/>
        <v>20.125999999999998</v>
      </c>
      <c r="J967" s="6" cm="1">
        <f t="array" ref="J967">_xlfn.STDEV.S(IF($A:$A=A967, $F:$F))</f>
        <v>0.15372052563011956</v>
      </c>
      <c r="P967" s="8">
        <f t="shared" si="93"/>
        <v>1.7526289434151299</v>
      </c>
      <c r="Q967" s="8">
        <f t="shared" si="94"/>
        <v>1.7526289434151299</v>
      </c>
      <c r="R967" s="8">
        <f t="shared" si="95"/>
        <v>1.7526289434151299</v>
      </c>
    </row>
    <row r="968" spans="1:18" x14ac:dyDescent="0.25">
      <c r="A968" s="7">
        <f t="shared" si="90"/>
        <v>194</v>
      </c>
      <c r="B968" s="2">
        <v>44336</v>
      </c>
      <c r="C968" s="3">
        <v>19.940000000000001</v>
      </c>
      <c r="D968" s="3">
        <v>20.92</v>
      </c>
      <c r="E968" s="3">
        <v>19.829999999999998</v>
      </c>
      <c r="F968" s="3">
        <v>20.21</v>
      </c>
      <c r="G968" s="3">
        <v>2603100</v>
      </c>
      <c r="H968" s="8">
        <f t="shared" si="91"/>
        <v>1.7526289434151299</v>
      </c>
      <c r="I968">
        <f t="shared" si="92"/>
        <v>20.125999999999998</v>
      </c>
      <c r="J968" s="6" cm="1">
        <f t="array" ref="J968">_xlfn.STDEV.S(IF($A:$A=A968, $F:$F))</f>
        <v>0.15372052563011956</v>
      </c>
      <c r="P968" s="8">
        <f t="shared" si="93"/>
        <v>1.7526289434151299</v>
      </c>
      <c r="Q968" s="8">
        <f t="shared" si="94"/>
        <v>1.7526289434151299</v>
      </c>
      <c r="R968" s="8">
        <f t="shared" si="95"/>
        <v>1.7526289434151299</v>
      </c>
    </row>
    <row r="969" spans="1:18" x14ac:dyDescent="0.25">
      <c r="A969" s="7">
        <f t="shared" si="90"/>
        <v>194</v>
      </c>
      <c r="B969" s="2">
        <v>44337</v>
      </c>
      <c r="C969" s="3">
        <v>20.51</v>
      </c>
      <c r="D969" s="3">
        <v>21.01</v>
      </c>
      <c r="E969" s="3">
        <v>19.97</v>
      </c>
      <c r="F969" s="3">
        <v>20.16</v>
      </c>
      <c r="G969" s="3">
        <v>2427100</v>
      </c>
      <c r="H969" s="8">
        <f t="shared" si="91"/>
        <v>1.7526289434151299</v>
      </c>
      <c r="I969">
        <f t="shared" si="92"/>
        <v>20.125999999999998</v>
      </c>
      <c r="J969" s="6" cm="1">
        <f t="array" ref="J969">_xlfn.STDEV.S(IF($A:$A=A969, $F:$F))</f>
        <v>0.15372052563011956</v>
      </c>
      <c r="P969" s="8">
        <f t="shared" si="93"/>
        <v>1.7526289434151299</v>
      </c>
      <c r="Q969" s="8">
        <f t="shared" si="94"/>
        <v>1.7526289434151299</v>
      </c>
      <c r="R969" s="8">
        <f t="shared" si="95"/>
        <v>1.7526289434151299</v>
      </c>
    </row>
    <row r="970" spans="1:18" x14ac:dyDescent="0.25">
      <c r="A970" s="7">
        <f t="shared" si="90"/>
        <v>194</v>
      </c>
      <c r="B970" s="2">
        <v>44340</v>
      </c>
      <c r="C970" s="3">
        <v>20.18</v>
      </c>
      <c r="D970" s="3">
        <v>20.239999999999998</v>
      </c>
      <c r="E970" s="3">
        <v>19.77</v>
      </c>
      <c r="F970" s="3">
        <v>19.97</v>
      </c>
      <c r="G970" s="3">
        <v>1999300</v>
      </c>
      <c r="H970" s="8">
        <f t="shared" si="91"/>
        <v>1.7526289434151299</v>
      </c>
      <c r="I970">
        <f t="shared" si="92"/>
        <v>20.125999999999998</v>
      </c>
      <c r="J970" s="6" cm="1">
        <f t="array" ref="J970">_xlfn.STDEV.S(IF($A:$A=A970, $F:$F))</f>
        <v>0.15372052563011956</v>
      </c>
      <c r="P970" s="8">
        <f t="shared" si="93"/>
        <v>1.7526289434151299</v>
      </c>
      <c r="Q970" s="8">
        <f t="shared" si="94"/>
        <v>1.7526289434151299</v>
      </c>
      <c r="R970" s="8">
        <f t="shared" si="95"/>
        <v>1.7526289434151299</v>
      </c>
    </row>
    <row r="971" spans="1:18" x14ac:dyDescent="0.25">
      <c r="A971" s="7">
        <f t="shared" si="90"/>
        <v>194</v>
      </c>
      <c r="B971" s="2">
        <v>44341</v>
      </c>
      <c r="C971" s="3">
        <v>19.940000000000001</v>
      </c>
      <c r="D971" s="3">
        <v>20.38</v>
      </c>
      <c r="E971" s="3">
        <v>19.86</v>
      </c>
      <c r="F971" s="3">
        <v>20.32</v>
      </c>
      <c r="G971" s="3">
        <v>1588200</v>
      </c>
      <c r="H971" s="8">
        <f t="shared" si="91"/>
        <v>1.7526289434151299</v>
      </c>
      <c r="I971">
        <f t="shared" si="92"/>
        <v>20.125999999999998</v>
      </c>
      <c r="J971" s="6" cm="1">
        <f t="array" ref="J971">_xlfn.STDEV.S(IF($A:$A=A971, $F:$F))</f>
        <v>0.15372052563011956</v>
      </c>
      <c r="P971" s="8">
        <f t="shared" si="93"/>
        <v>1.7526289434151299</v>
      </c>
      <c r="Q971" s="8">
        <f t="shared" si="94"/>
        <v>1.7526289434151299</v>
      </c>
      <c r="R971" s="8">
        <f t="shared" si="95"/>
        <v>1.7526289434151299</v>
      </c>
    </row>
    <row r="972" spans="1:18" x14ac:dyDescent="0.25">
      <c r="A972" s="7">
        <f t="shared" si="90"/>
        <v>195</v>
      </c>
      <c r="B972" s="2">
        <v>44342</v>
      </c>
      <c r="C972" s="3">
        <v>20.32</v>
      </c>
      <c r="D972" s="3">
        <v>20.76</v>
      </c>
      <c r="E972" s="3">
        <v>20.32</v>
      </c>
      <c r="F972" s="3">
        <v>20.57</v>
      </c>
      <c r="G972" s="3">
        <v>1789800</v>
      </c>
      <c r="H972" s="8">
        <f t="shared" si="91"/>
        <v>3.1599416626154522</v>
      </c>
      <c r="I972">
        <f t="shared" si="92"/>
        <v>20.791999999999998</v>
      </c>
      <c r="J972" s="6" cm="1">
        <f t="array" ref="J972">_xlfn.STDEV.S(IF($A:$A=A972, $F:$F))</f>
        <v>0.6803455004628155</v>
      </c>
      <c r="P972" s="8">
        <f t="shared" si="93"/>
        <v>3.1599416626154522</v>
      </c>
      <c r="Q972" s="8">
        <f t="shared" si="94"/>
        <v>3.1599416626154522</v>
      </c>
      <c r="R972" s="8">
        <f t="shared" si="95"/>
        <v>3.1599416626154522</v>
      </c>
    </row>
    <row r="973" spans="1:18" x14ac:dyDescent="0.25">
      <c r="A973" s="7">
        <f t="shared" si="90"/>
        <v>195</v>
      </c>
      <c r="B973" s="2">
        <v>44343</v>
      </c>
      <c r="C973" s="3">
        <v>20.57</v>
      </c>
      <c r="D973" s="3">
        <v>20.57</v>
      </c>
      <c r="E973" s="3">
        <v>19.97</v>
      </c>
      <c r="F973" s="3">
        <v>20.05</v>
      </c>
      <c r="G973" s="3">
        <v>1974200</v>
      </c>
      <c r="H973" s="8">
        <f t="shared" si="91"/>
        <v>3.1599416626154522</v>
      </c>
      <c r="I973">
        <f t="shared" si="92"/>
        <v>20.791999999999998</v>
      </c>
      <c r="J973" s="6" cm="1">
        <f t="array" ref="J973">_xlfn.STDEV.S(IF($A:$A=A973, $F:$F))</f>
        <v>0.6803455004628155</v>
      </c>
      <c r="P973" s="8">
        <f t="shared" si="93"/>
        <v>3.1599416626154522</v>
      </c>
      <c r="Q973" s="8">
        <f t="shared" si="94"/>
        <v>3.1599416626154522</v>
      </c>
      <c r="R973" s="8">
        <f t="shared" si="95"/>
        <v>3.1599416626154522</v>
      </c>
    </row>
    <row r="974" spans="1:18" x14ac:dyDescent="0.25">
      <c r="A974" s="7">
        <f t="shared" si="90"/>
        <v>195</v>
      </c>
      <c r="B974" s="2">
        <v>44344</v>
      </c>
      <c r="C974" s="3">
        <v>20.18</v>
      </c>
      <c r="D974" s="3">
        <v>20.49</v>
      </c>
      <c r="E974" s="3">
        <v>19.829999999999998</v>
      </c>
      <c r="F974" s="3">
        <v>20.38</v>
      </c>
      <c r="G974" s="3">
        <v>1891200</v>
      </c>
      <c r="H974" s="8">
        <f t="shared" si="91"/>
        <v>3.1599416626154522</v>
      </c>
      <c r="I974">
        <f t="shared" si="92"/>
        <v>20.791999999999998</v>
      </c>
      <c r="J974" s="6" cm="1">
        <f t="array" ref="J974">_xlfn.STDEV.S(IF($A:$A=A974, $F:$F))</f>
        <v>0.6803455004628155</v>
      </c>
      <c r="P974" s="8">
        <f t="shared" si="93"/>
        <v>3.1599416626154522</v>
      </c>
      <c r="Q974" s="8">
        <f t="shared" si="94"/>
        <v>3.1599416626154522</v>
      </c>
      <c r="R974" s="8">
        <f t="shared" si="95"/>
        <v>3.1599416626154522</v>
      </c>
    </row>
    <row r="975" spans="1:18" x14ac:dyDescent="0.25">
      <c r="A975" s="7">
        <f t="shared" si="90"/>
        <v>195</v>
      </c>
      <c r="B975" s="2">
        <v>44347</v>
      </c>
      <c r="C975" s="3">
        <v>20.59</v>
      </c>
      <c r="D975" s="3">
        <v>21.77</v>
      </c>
      <c r="E975" s="3">
        <v>20.59</v>
      </c>
      <c r="F975" s="3">
        <v>21.74</v>
      </c>
      <c r="G975" s="3">
        <v>3351600</v>
      </c>
      <c r="H975" s="8">
        <f t="shared" si="91"/>
        <v>3.1599416626154522</v>
      </c>
      <c r="I975">
        <f t="shared" si="92"/>
        <v>20.791999999999998</v>
      </c>
      <c r="J975" s="6" cm="1">
        <f t="array" ref="J975">_xlfn.STDEV.S(IF($A:$A=A975, $F:$F))</f>
        <v>0.6803455004628155</v>
      </c>
      <c r="P975" s="8">
        <f t="shared" si="93"/>
        <v>3.1599416626154522</v>
      </c>
      <c r="Q975" s="8">
        <f t="shared" si="94"/>
        <v>3.1599416626154522</v>
      </c>
      <c r="R975" s="8">
        <f t="shared" si="95"/>
        <v>3.1599416626154522</v>
      </c>
    </row>
    <row r="976" spans="1:18" x14ac:dyDescent="0.25">
      <c r="A976" s="7">
        <f t="shared" si="90"/>
        <v>195</v>
      </c>
      <c r="B976" s="2">
        <v>44348</v>
      </c>
      <c r="C976" s="3">
        <v>21.88</v>
      </c>
      <c r="D976" s="3">
        <v>22.07</v>
      </c>
      <c r="E976" s="3">
        <v>21.06</v>
      </c>
      <c r="F976" s="3">
        <v>21.22</v>
      </c>
      <c r="G976" s="3">
        <v>1517300</v>
      </c>
      <c r="H976" s="8">
        <f t="shared" si="91"/>
        <v>3.1599416626154522</v>
      </c>
      <c r="I976">
        <f t="shared" si="92"/>
        <v>20.791999999999998</v>
      </c>
      <c r="J976" s="6" cm="1">
        <f t="array" ref="J976">_xlfn.STDEV.S(IF($A:$A=A976, $F:$F))</f>
        <v>0.6803455004628155</v>
      </c>
      <c r="P976" s="8">
        <f t="shared" si="93"/>
        <v>3.1599416626154522</v>
      </c>
      <c r="Q976" s="8">
        <f t="shared" si="94"/>
        <v>3.1599416626154522</v>
      </c>
      <c r="R976" s="8">
        <f t="shared" si="95"/>
        <v>3.1599416626154522</v>
      </c>
    </row>
    <row r="977" spans="1:18" x14ac:dyDescent="0.25">
      <c r="A977" s="7">
        <f t="shared" si="90"/>
        <v>196</v>
      </c>
      <c r="B977" s="2">
        <v>44349</v>
      </c>
      <c r="C977" s="3">
        <v>21.22</v>
      </c>
      <c r="D977" s="3">
        <v>21.8</v>
      </c>
      <c r="E977" s="3">
        <v>21.11</v>
      </c>
      <c r="F977" s="3">
        <v>21.8</v>
      </c>
      <c r="G977" s="3">
        <v>2076900</v>
      </c>
      <c r="H977" s="8">
        <f t="shared" si="91"/>
        <v>-0.27522935779817559</v>
      </c>
      <c r="I977">
        <f t="shared" si="92"/>
        <v>22.381999999999998</v>
      </c>
      <c r="J977" s="6" cm="1">
        <f t="array" ref="J977">_xlfn.STDEV.S(IF($A:$A=A977, $F:$F))</f>
        <v>0.68990579067000168</v>
      </c>
      <c r="P977" s="8">
        <f t="shared" si="93"/>
        <v>-0.27522935779817559</v>
      </c>
      <c r="Q977" s="8">
        <f t="shared" si="94"/>
        <v>-0.27522935779817559</v>
      </c>
      <c r="R977" s="8">
        <f t="shared" si="95"/>
        <v>-0.27522935779817559</v>
      </c>
    </row>
    <row r="978" spans="1:18" x14ac:dyDescent="0.25">
      <c r="A978" s="7">
        <f t="shared" si="90"/>
        <v>196</v>
      </c>
      <c r="B978" s="2">
        <v>44350</v>
      </c>
      <c r="C978" s="3">
        <v>22.15</v>
      </c>
      <c r="D978" s="3">
        <v>23.25</v>
      </c>
      <c r="E978" s="3">
        <v>22.04</v>
      </c>
      <c r="F978" s="3">
        <v>22.97</v>
      </c>
      <c r="G978" s="3">
        <v>2819700</v>
      </c>
      <c r="H978" s="8">
        <f t="shared" si="91"/>
        <v>-0.27522935779817559</v>
      </c>
      <c r="I978">
        <f t="shared" si="92"/>
        <v>22.381999999999998</v>
      </c>
      <c r="J978" s="6" cm="1">
        <f t="array" ref="J978">_xlfn.STDEV.S(IF($A:$A=A978, $F:$F))</f>
        <v>0.68990579067000168</v>
      </c>
      <c r="P978" s="8">
        <f t="shared" si="93"/>
        <v>-0.27522935779817559</v>
      </c>
      <c r="Q978" s="8">
        <f t="shared" si="94"/>
        <v>-0.27522935779817559</v>
      </c>
      <c r="R978" s="8">
        <f t="shared" si="95"/>
        <v>-0.27522935779817559</v>
      </c>
    </row>
    <row r="979" spans="1:18" x14ac:dyDescent="0.25">
      <c r="A979" s="7">
        <f t="shared" si="90"/>
        <v>196</v>
      </c>
      <c r="B979" s="2">
        <v>44351</v>
      </c>
      <c r="C979" s="3">
        <v>23.14</v>
      </c>
      <c r="D979" s="3">
        <v>23.47</v>
      </c>
      <c r="E979" s="3">
        <v>22.84</v>
      </c>
      <c r="F979" s="3">
        <v>23.25</v>
      </c>
      <c r="G979" s="3">
        <v>2479300</v>
      </c>
      <c r="H979" s="8">
        <f t="shared" si="91"/>
        <v>-0.27522935779817559</v>
      </c>
      <c r="I979">
        <f t="shared" si="92"/>
        <v>22.381999999999998</v>
      </c>
      <c r="J979" s="6" cm="1">
        <f t="array" ref="J979">_xlfn.STDEV.S(IF($A:$A=A979, $F:$F))</f>
        <v>0.68990579067000168</v>
      </c>
      <c r="P979" s="8">
        <f t="shared" si="93"/>
        <v>-0.27522935779817559</v>
      </c>
      <c r="Q979" s="8">
        <f t="shared" si="94"/>
        <v>-0.27522935779817559</v>
      </c>
      <c r="R979" s="8">
        <f t="shared" si="95"/>
        <v>-0.27522935779817559</v>
      </c>
    </row>
    <row r="980" spans="1:18" x14ac:dyDescent="0.25">
      <c r="A980" s="7">
        <f t="shared" si="90"/>
        <v>196</v>
      </c>
      <c r="B980" s="2">
        <v>44354</v>
      </c>
      <c r="C980" s="3">
        <v>22.97</v>
      </c>
      <c r="D980" s="3">
        <v>23.25</v>
      </c>
      <c r="E980" s="3">
        <v>21.63</v>
      </c>
      <c r="F980" s="3">
        <v>22.15</v>
      </c>
      <c r="G980" s="3">
        <v>2642800</v>
      </c>
      <c r="H980" s="8">
        <f t="shared" si="91"/>
        <v>-0.27522935779817559</v>
      </c>
      <c r="I980">
        <f t="shared" si="92"/>
        <v>22.381999999999998</v>
      </c>
      <c r="J980" s="6" cm="1">
        <f t="array" ref="J980">_xlfn.STDEV.S(IF($A:$A=A980, $F:$F))</f>
        <v>0.68990579067000168</v>
      </c>
      <c r="P980" s="8">
        <f t="shared" si="93"/>
        <v>-0.27522935779817559</v>
      </c>
      <c r="Q980" s="8">
        <f t="shared" si="94"/>
        <v>-0.27522935779817559</v>
      </c>
      <c r="R980" s="8">
        <f t="shared" si="95"/>
        <v>-0.27522935779817559</v>
      </c>
    </row>
    <row r="981" spans="1:18" x14ac:dyDescent="0.25">
      <c r="A981" s="7">
        <f t="shared" si="90"/>
        <v>196</v>
      </c>
      <c r="B981" s="2">
        <v>44355</v>
      </c>
      <c r="C981" s="3">
        <v>22.43</v>
      </c>
      <c r="D981" s="3">
        <v>23.25</v>
      </c>
      <c r="E981" s="3">
        <v>21.61</v>
      </c>
      <c r="F981" s="3">
        <v>21.74</v>
      </c>
      <c r="G981" s="3">
        <v>4415800</v>
      </c>
      <c r="H981" s="8">
        <f t="shared" si="91"/>
        <v>-0.27522935779817559</v>
      </c>
      <c r="I981">
        <f t="shared" si="92"/>
        <v>22.381999999999998</v>
      </c>
      <c r="J981" s="6" cm="1">
        <f t="array" ref="J981">_xlfn.STDEV.S(IF($A:$A=A981, $F:$F))</f>
        <v>0.68990579067000168</v>
      </c>
      <c r="P981" s="8">
        <f t="shared" si="93"/>
        <v>-0.27522935779817559</v>
      </c>
      <c r="Q981" s="8">
        <f t="shared" si="94"/>
        <v>-0.27522935779817559</v>
      </c>
      <c r="R981" s="8">
        <f t="shared" si="95"/>
        <v>-0.27522935779817559</v>
      </c>
    </row>
    <row r="982" spans="1:18" x14ac:dyDescent="0.25">
      <c r="A982" s="7">
        <f t="shared" si="90"/>
        <v>197</v>
      </c>
      <c r="B982" s="2">
        <v>44356</v>
      </c>
      <c r="C982" s="3">
        <v>22.54</v>
      </c>
      <c r="D982" s="3">
        <v>23.25</v>
      </c>
      <c r="E982" s="3">
        <v>21.74</v>
      </c>
      <c r="F982" s="3">
        <v>23.11</v>
      </c>
      <c r="G982" s="3">
        <v>3383700</v>
      </c>
      <c r="H982" s="8">
        <f t="shared" si="91"/>
        <v>20.726958026828211</v>
      </c>
      <c r="I982">
        <f t="shared" si="92"/>
        <v>25.527999999999999</v>
      </c>
      <c r="J982" s="6" cm="1">
        <f t="array" ref="J982">_xlfn.STDEV.S(IF($A:$A=A982, $F:$F))</f>
        <v>1.8653873592366814</v>
      </c>
      <c r="P982" s="8">
        <f t="shared" si="93"/>
        <v>20.726958026828211</v>
      </c>
      <c r="Q982" s="8">
        <f t="shared" si="94"/>
        <v>20.726958026828211</v>
      </c>
      <c r="R982" s="10">
        <f t="shared" si="95"/>
        <v>20.726958026828211</v>
      </c>
    </row>
    <row r="983" spans="1:18" x14ac:dyDescent="0.25">
      <c r="A983" s="7">
        <f t="shared" si="90"/>
        <v>197</v>
      </c>
      <c r="B983" s="2">
        <v>44357</v>
      </c>
      <c r="C983" s="3">
        <v>23.38</v>
      </c>
      <c r="D983" s="3">
        <v>24.72</v>
      </c>
      <c r="E983" s="3">
        <v>23.25</v>
      </c>
      <c r="F983" s="3">
        <v>24.72</v>
      </c>
      <c r="G983" s="3">
        <v>4892700</v>
      </c>
      <c r="H983" s="8">
        <f t="shared" si="91"/>
        <v>20.726958026828211</v>
      </c>
      <c r="I983">
        <f t="shared" si="92"/>
        <v>25.527999999999999</v>
      </c>
      <c r="J983" s="6" cm="1">
        <f t="array" ref="J983">_xlfn.STDEV.S(IF($A:$A=A983, $F:$F))</f>
        <v>1.8653873592366814</v>
      </c>
      <c r="P983" s="8">
        <f t="shared" si="93"/>
        <v>20.726958026828211</v>
      </c>
      <c r="Q983" s="8">
        <f t="shared" si="94"/>
        <v>20.726958026828211</v>
      </c>
      <c r="R983" s="10">
        <f t="shared" si="95"/>
        <v>20.726958026828211</v>
      </c>
    </row>
    <row r="984" spans="1:18" x14ac:dyDescent="0.25">
      <c r="A984" s="7">
        <f t="shared" si="90"/>
        <v>197</v>
      </c>
      <c r="B984" s="2">
        <v>44358</v>
      </c>
      <c r="C984" s="3">
        <v>24.72</v>
      </c>
      <c r="D984" s="3">
        <v>25.3</v>
      </c>
      <c r="E984" s="3">
        <v>24.48</v>
      </c>
      <c r="F984" s="3">
        <v>25.11</v>
      </c>
      <c r="G984" s="3">
        <v>2444100</v>
      </c>
      <c r="H984" s="8">
        <f t="shared" si="91"/>
        <v>20.726958026828211</v>
      </c>
      <c r="I984">
        <f t="shared" si="92"/>
        <v>25.527999999999999</v>
      </c>
      <c r="J984" s="6" cm="1">
        <f t="array" ref="J984">_xlfn.STDEV.S(IF($A:$A=A984, $F:$F))</f>
        <v>1.8653873592366814</v>
      </c>
      <c r="P984" s="8">
        <f t="shared" si="93"/>
        <v>20.726958026828211</v>
      </c>
      <c r="Q984" s="8">
        <f t="shared" si="94"/>
        <v>20.726958026828211</v>
      </c>
      <c r="R984" s="10">
        <f t="shared" si="95"/>
        <v>20.726958026828211</v>
      </c>
    </row>
    <row r="985" spans="1:18" x14ac:dyDescent="0.25">
      <c r="A985" s="7">
        <f t="shared" si="90"/>
        <v>197</v>
      </c>
      <c r="B985" s="2">
        <v>44361</v>
      </c>
      <c r="C985" s="3">
        <v>25.13</v>
      </c>
      <c r="D985" s="3">
        <v>26.86</v>
      </c>
      <c r="E985" s="3">
        <v>25.11</v>
      </c>
      <c r="F985" s="3">
        <v>26.8</v>
      </c>
      <c r="G985" s="3">
        <v>3028500</v>
      </c>
      <c r="H985" s="8">
        <f t="shared" si="91"/>
        <v>20.726958026828211</v>
      </c>
      <c r="I985">
        <f t="shared" si="92"/>
        <v>25.527999999999999</v>
      </c>
      <c r="J985" s="6" cm="1">
        <f t="array" ref="J985">_xlfn.STDEV.S(IF($A:$A=A985, $F:$F))</f>
        <v>1.8653873592366814</v>
      </c>
      <c r="P985" s="8">
        <f t="shared" si="93"/>
        <v>20.726958026828211</v>
      </c>
      <c r="Q985" s="8">
        <f t="shared" si="94"/>
        <v>20.726958026828211</v>
      </c>
      <c r="R985" s="10">
        <f t="shared" si="95"/>
        <v>20.726958026828211</v>
      </c>
    </row>
    <row r="986" spans="1:18" x14ac:dyDescent="0.25">
      <c r="A986" s="7">
        <f t="shared" si="90"/>
        <v>197</v>
      </c>
      <c r="B986" s="2">
        <v>44362</v>
      </c>
      <c r="C986" s="3">
        <v>26.97</v>
      </c>
      <c r="D986" s="3">
        <v>28.64</v>
      </c>
      <c r="E986" s="3">
        <v>26.39</v>
      </c>
      <c r="F986" s="3">
        <v>27.9</v>
      </c>
      <c r="G986" s="3">
        <v>3726300</v>
      </c>
      <c r="H986" s="8">
        <f t="shared" si="91"/>
        <v>20.726958026828211</v>
      </c>
      <c r="I986">
        <f t="shared" si="92"/>
        <v>25.527999999999999</v>
      </c>
      <c r="J986" s="6" cm="1">
        <f t="array" ref="J986">_xlfn.STDEV.S(IF($A:$A=A986, $F:$F))</f>
        <v>1.8653873592366814</v>
      </c>
      <c r="P986" s="8">
        <f t="shared" si="93"/>
        <v>20.726958026828211</v>
      </c>
      <c r="Q986" s="8">
        <f t="shared" si="94"/>
        <v>20.726958026828211</v>
      </c>
      <c r="R986" s="10">
        <f t="shared" si="95"/>
        <v>20.726958026828211</v>
      </c>
    </row>
    <row r="987" spans="1:18" x14ac:dyDescent="0.25">
      <c r="A987" s="7">
        <f t="shared" si="90"/>
        <v>198</v>
      </c>
      <c r="B987" s="2">
        <v>44363</v>
      </c>
      <c r="C987" s="3">
        <v>27.35</v>
      </c>
      <c r="D987" s="3">
        <v>27.62</v>
      </c>
      <c r="E987" s="3">
        <v>26.39</v>
      </c>
      <c r="F987" s="3">
        <v>26.94</v>
      </c>
      <c r="G987" s="3">
        <v>4388000</v>
      </c>
      <c r="H987" s="8">
        <f t="shared" si="91"/>
        <v>6.6072754268745273</v>
      </c>
      <c r="I987">
        <f t="shared" si="92"/>
        <v>28.074000000000002</v>
      </c>
      <c r="J987" s="6" cm="1">
        <f t="array" ref="J987">_xlfn.STDEV.S(IF($A:$A=A987, $F:$F))</f>
        <v>1.0694765074558668</v>
      </c>
      <c r="P987" s="8">
        <f t="shared" si="93"/>
        <v>6.6072754268745273</v>
      </c>
      <c r="Q987" s="8">
        <f t="shared" si="94"/>
        <v>6.6072754268745273</v>
      </c>
      <c r="R987" s="8">
        <f t="shared" si="95"/>
        <v>6.6072754268745273</v>
      </c>
    </row>
    <row r="988" spans="1:18" x14ac:dyDescent="0.25">
      <c r="A988" s="7">
        <f t="shared" si="90"/>
        <v>198</v>
      </c>
      <c r="B988" s="2">
        <v>44364</v>
      </c>
      <c r="C988" s="3">
        <v>26.01</v>
      </c>
      <c r="D988" s="3">
        <v>27.62</v>
      </c>
      <c r="E988" s="3">
        <v>26.01</v>
      </c>
      <c r="F988" s="3">
        <v>26.89</v>
      </c>
      <c r="G988" s="3">
        <v>3005100</v>
      </c>
      <c r="H988" s="8">
        <f t="shared" si="91"/>
        <v>6.6072754268745273</v>
      </c>
      <c r="I988">
        <f t="shared" si="92"/>
        <v>28.074000000000002</v>
      </c>
      <c r="J988" s="6" cm="1">
        <f t="array" ref="J988">_xlfn.STDEV.S(IF($A:$A=A988, $F:$F))</f>
        <v>1.0694765074558668</v>
      </c>
      <c r="P988" s="8">
        <f t="shared" si="93"/>
        <v>6.6072754268745273</v>
      </c>
      <c r="Q988" s="8">
        <f t="shared" si="94"/>
        <v>6.6072754268745273</v>
      </c>
      <c r="R988" s="8">
        <f t="shared" si="95"/>
        <v>6.6072754268745273</v>
      </c>
    </row>
    <row r="989" spans="1:18" x14ac:dyDescent="0.25">
      <c r="A989" s="7">
        <f t="shared" si="90"/>
        <v>198</v>
      </c>
      <c r="B989" s="2">
        <v>44365</v>
      </c>
      <c r="C989" s="3">
        <v>28.72</v>
      </c>
      <c r="D989" s="3">
        <v>28.72</v>
      </c>
      <c r="E989" s="3">
        <v>28.72</v>
      </c>
      <c r="F989" s="3">
        <v>28.72</v>
      </c>
      <c r="G989" s="3">
        <v>2145000</v>
      </c>
      <c r="H989" s="8">
        <f t="shared" si="91"/>
        <v>6.6072754268745273</v>
      </c>
      <c r="I989">
        <f t="shared" si="92"/>
        <v>28.074000000000002</v>
      </c>
      <c r="J989" s="6" cm="1">
        <f t="array" ref="J989">_xlfn.STDEV.S(IF($A:$A=A989, $F:$F))</f>
        <v>1.0694765074558668</v>
      </c>
      <c r="P989" s="8">
        <f t="shared" si="93"/>
        <v>6.6072754268745273</v>
      </c>
      <c r="Q989" s="8">
        <f t="shared" si="94"/>
        <v>6.6072754268745273</v>
      </c>
      <c r="R989" s="8">
        <f t="shared" si="95"/>
        <v>6.6072754268745273</v>
      </c>
    </row>
    <row r="990" spans="1:18" x14ac:dyDescent="0.25">
      <c r="A990" s="7">
        <f t="shared" si="90"/>
        <v>198</v>
      </c>
      <c r="B990" s="2">
        <v>44368</v>
      </c>
      <c r="C990" s="3">
        <v>29.65</v>
      </c>
      <c r="D990" s="3">
        <v>30.09</v>
      </c>
      <c r="E990" s="3">
        <v>28.77</v>
      </c>
      <c r="F990" s="3">
        <v>29.1</v>
      </c>
      <c r="G990" s="3">
        <v>7431800</v>
      </c>
      <c r="H990" s="8">
        <f t="shared" si="91"/>
        <v>6.6072754268745273</v>
      </c>
      <c r="I990">
        <f t="shared" si="92"/>
        <v>28.074000000000002</v>
      </c>
      <c r="J990" s="6" cm="1">
        <f t="array" ref="J990">_xlfn.STDEV.S(IF($A:$A=A990, $F:$F))</f>
        <v>1.0694765074558668</v>
      </c>
      <c r="P990" s="8">
        <f t="shared" si="93"/>
        <v>6.6072754268745273</v>
      </c>
      <c r="Q990" s="8">
        <f t="shared" si="94"/>
        <v>6.6072754268745273</v>
      </c>
      <c r="R990" s="8">
        <f t="shared" si="95"/>
        <v>6.6072754268745273</v>
      </c>
    </row>
    <row r="991" spans="1:18" x14ac:dyDescent="0.25">
      <c r="A991" s="7">
        <f t="shared" si="90"/>
        <v>198</v>
      </c>
      <c r="B991" s="2">
        <v>44369</v>
      </c>
      <c r="C991" s="3">
        <v>29.54</v>
      </c>
      <c r="D991" s="3">
        <v>29.54</v>
      </c>
      <c r="E991" s="3">
        <v>28.72</v>
      </c>
      <c r="F991" s="3">
        <v>28.72</v>
      </c>
      <c r="G991" s="3">
        <v>3761600</v>
      </c>
      <c r="H991" s="8">
        <f t="shared" si="91"/>
        <v>6.6072754268745273</v>
      </c>
      <c r="I991">
        <f t="shared" si="92"/>
        <v>28.074000000000002</v>
      </c>
      <c r="J991" s="6" cm="1">
        <f t="array" ref="J991">_xlfn.STDEV.S(IF($A:$A=A991, $F:$F))</f>
        <v>1.0694765074558668</v>
      </c>
      <c r="P991" s="8">
        <f t="shared" si="93"/>
        <v>6.6072754268745273</v>
      </c>
      <c r="Q991" s="8">
        <f t="shared" si="94"/>
        <v>6.6072754268745273</v>
      </c>
      <c r="R991" s="8">
        <f t="shared" si="95"/>
        <v>6.6072754268745273</v>
      </c>
    </row>
    <row r="992" spans="1:18" x14ac:dyDescent="0.25">
      <c r="A992" s="7">
        <f t="shared" si="90"/>
        <v>199</v>
      </c>
      <c r="B992" s="2">
        <v>44370</v>
      </c>
      <c r="C992" s="3">
        <v>28.77</v>
      </c>
      <c r="D992" s="3">
        <v>29.16</v>
      </c>
      <c r="E992" s="3">
        <v>28.39</v>
      </c>
      <c r="F992" s="3">
        <v>28.44</v>
      </c>
      <c r="G992" s="3">
        <v>2706300</v>
      </c>
      <c r="H992" s="8">
        <f t="shared" si="91"/>
        <v>1.9338959212376834</v>
      </c>
      <c r="I992">
        <f t="shared" si="92"/>
        <v>28.727999999999998</v>
      </c>
      <c r="J992" s="6" cm="1">
        <f t="array" ref="J992">_xlfn.STDEV.S(IF($A:$A=A992, $F:$F))</f>
        <v>0.45822483564294114</v>
      </c>
      <c r="P992" s="8">
        <f t="shared" si="93"/>
        <v>1.9338959212376834</v>
      </c>
      <c r="Q992" s="8">
        <f t="shared" si="94"/>
        <v>1.9338959212376834</v>
      </c>
      <c r="R992" s="8">
        <f t="shared" si="95"/>
        <v>1.9338959212376834</v>
      </c>
    </row>
    <row r="993" spans="1:18" x14ac:dyDescent="0.25">
      <c r="A993" s="7">
        <f t="shared" si="90"/>
        <v>199</v>
      </c>
      <c r="B993" s="2">
        <v>44371</v>
      </c>
      <c r="C993" s="3">
        <v>28.12</v>
      </c>
      <c r="D993" s="3">
        <v>28.72</v>
      </c>
      <c r="E993" s="3">
        <v>27.95</v>
      </c>
      <c r="F993" s="3">
        <v>28.06</v>
      </c>
      <c r="G993" s="3">
        <v>1619000</v>
      </c>
      <c r="H993" s="8">
        <f t="shared" si="91"/>
        <v>1.9338959212376834</v>
      </c>
      <c r="I993">
        <f t="shared" si="92"/>
        <v>28.727999999999998</v>
      </c>
      <c r="J993" s="6" cm="1">
        <f t="array" ref="J993">_xlfn.STDEV.S(IF($A:$A=A993, $F:$F))</f>
        <v>0.45822483564294114</v>
      </c>
      <c r="P993" s="8">
        <f t="shared" si="93"/>
        <v>1.9338959212376834</v>
      </c>
      <c r="Q993" s="8">
        <f t="shared" si="94"/>
        <v>1.9338959212376834</v>
      </c>
      <c r="R993" s="8">
        <f t="shared" si="95"/>
        <v>1.9338959212376834</v>
      </c>
    </row>
    <row r="994" spans="1:18" x14ac:dyDescent="0.25">
      <c r="A994" s="7">
        <f t="shared" si="90"/>
        <v>199</v>
      </c>
      <c r="B994" s="2">
        <v>44372</v>
      </c>
      <c r="C994" s="3">
        <v>28.06</v>
      </c>
      <c r="D994" s="3">
        <v>29.26</v>
      </c>
      <c r="E994" s="3">
        <v>27.95</v>
      </c>
      <c r="F994" s="3">
        <v>29.1</v>
      </c>
      <c r="G994" s="3">
        <v>2958000</v>
      </c>
      <c r="H994" s="8">
        <f t="shared" si="91"/>
        <v>1.9338959212376834</v>
      </c>
      <c r="I994">
        <f t="shared" si="92"/>
        <v>28.727999999999998</v>
      </c>
      <c r="J994" s="6" cm="1">
        <f t="array" ref="J994">_xlfn.STDEV.S(IF($A:$A=A994, $F:$F))</f>
        <v>0.45822483564294114</v>
      </c>
      <c r="P994" s="8">
        <f t="shared" si="93"/>
        <v>1.9338959212376834</v>
      </c>
      <c r="Q994" s="8">
        <f t="shared" si="94"/>
        <v>1.9338959212376834</v>
      </c>
      <c r="R994" s="8">
        <f t="shared" si="95"/>
        <v>1.9338959212376834</v>
      </c>
    </row>
    <row r="995" spans="1:18" x14ac:dyDescent="0.25">
      <c r="A995" s="7">
        <f t="shared" si="90"/>
        <v>199</v>
      </c>
      <c r="B995" s="2">
        <v>44375</v>
      </c>
      <c r="C995" s="3">
        <v>29.32</v>
      </c>
      <c r="D995" s="3">
        <v>29.48</v>
      </c>
      <c r="E995" s="3">
        <v>28.88</v>
      </c>
      <c r="F995" s="3">
        <v>29.05</v>
      </c>
      <c r="G995" s="3">
        <v>2063800</v>
      </c>
      <c r="H995" s="8">
        <f t="shared" si="91"/>
        <v>1.9338959212376834</v>
      </c>
      <c r="I995">
        <f t="shared" si="92"/>
        <v>28.727999999999998</v>
      </c>
      <c r="J995" s="6" cm="1">
        <f t="array" ref="J995">_xlfn.STDEV.S(IF($A:$A=A995, $F:$F))</f>
        <v>0.45822483564294114</v>
      </c>
      <c r="P995" s="8">
        <f t="shared" si="93"/>
        <v>1.9338959212376834</v>
      </c>
      <c r="Q995" s="8">
        <f t="shared" si="94"/>
        <v>1.9338959212376834</v>
      </c>
      <c r="R995" s="8">
        <f t="shared" si="95"/>
        <v>1.9338959212376834</v>
      </c>
    </row>
    <row r="996" spans="1:18" x14ac:dyDescent="0.25">
      <c r="A996" s="7">
        <f t="shared" si="90"/>
        <v>199</v>
      </c>
      <c r="B996" s="2">
        <v>44376</v>
      </c>
      <c r="C996" s="3">
        <v>28.88</v>
      </c>
      <c r="D996" s="3">
        <v>29.37</v>
      </c>
      <c r="E996" s="3">
        <v>28.72</v>
      </c>
      <c r="F996" s="3">
        <v>28.99</v>
      </c>
      <c r="G996" s="3">
        <v>2075000</v>
      </c>
      <c r="H996" s="8">
        <f t="shared" si="91"/>
        <v>1.9338959212376834</v>
      </c>
      <c r="I996">
        <f t="shared" si="92"/>
        <v>28.727999999999998</v>
      </c>
      <c r="J996" s="6" cm="1">
        <f t="array" ref="J996">_xlfn.STDEV.S(IF($A:$A=A996, $F:$F))</f>
        <v>0.45822483564294114</v>
      </c>
      <c r="P996" s="8">
        <f t="shared" si="93"/>
        <v>1.9338959212376834</v>
      </c>
      <c r="Q996" s="8">
        <f t="shared" si="94"/>
        <v>1.9338959212376834</v>
      </c>
      <c r="R996" s="8">
        <f t="shared" si="95"/>
        <v>1.9338959212376834</v>
      </c>
    </row>
    <row r="997" spans="1:18" x14ac:dyDescent="0.25">
      <c r="A997" s="7">
        <f t="shared" si="90"/>
        <v>200</v>
      </c>
      <c r="B997" s="2">
        <v>44377</v>
      </c>
      <c r="C997" s="3">
        <v>28.83</v>
      </c>
      <c r="D997" s="3">
        <v>28.83</v>
      </c>
      <c r="E997" s="3">
        <v>28.44</v>
      </c>
      <c r="F997" s="3">
        <v>28.55</v>
      </c>
      <c r="G997" s="3">
        <v>2244700</v>
      </c>
      <c r="H997" s="8">
        <f t="shared" si="91"/>
        <v>5.1838879159369542</v>
      </c>
      <c r="I997">
        <f t="shared" si="92"/>
        <v>30.490000000000002</v>
      </c>
      <c r="J997" s="6" cm="1">
        <f t="array" ref="J997">_xlfn.STDEV.S(IF($A:$A=A997, $F:$F))</f>
        <v>1.5410223878970744</v>
      </c>
      <c r="P997" s="8">
        <f t="shared" si="93"/>
        <v>5.1838879159369542</v>
      </c>
      <c r="Q997" s="8">
        <f t="shared" si="94"/>
        <v>5.1838879159369542</v>
      </c>
      <c r="R997" s="8">
        <f t="shared" si="95"/>
        <v>5.1838879159369542</v>
      </c>
    </row>
    <row r="998" spans="1:18" x14ac:dyDescent="0.25">
      <c r="A998" s="7">
        <f t="shared" si="90"/>
        <v>200</v>
      </c>
      <c r="B998" s="2">
        <v>44378</v>
      </c>
      <c r="C998" s="3">
        <v>28.83</v>
      </c>
      <c r="D998" s="3">
        <v>30.03</v>
      </c>
      <c r="E998" s="3">
        <v>28.61</v>
      </c>
      <c r="F998" s="3">
        <v>29.76</v>
      </c>
      <c r="G998" s="3">
        <v>4435300</v>
      </c>
      <c r="H998" s="8">
        <f t="shared" si="91"/>
        <v>5.1838879159369542</v>
      </c>
      <c r="I998">
        <f t="shared" si="92"/>
        <v>30.490000000000002</v>
      </c>
      <c r="J998" s="6" cm="1">
        <f t="array" ref="J998">_xlfn.STDEV.S(IF($A:$A=A998, $F:$F))</f>
        <v>1.5410223878970744</v>
      </c>
      <c r="P998" s="8">
        <f t="shared" si="93"/>
        <v>5.1838879159369542</v>
      </c>
      <c r="Q998" s="8">
        <f t="shared" si="94"/>
        <v>5.1838879159369542</v>
      </c>
      <c r="R998" s="8">
        <f t="shared" si="95"/>
        <v>5.1838879159369542</v>
      </c>
    </row>
    <row r="999" spans="1:18" x14ac:dyDescent="0.25">
      <c r="A999" s="7">
        <f t="shared" si="90"/>
        <v>200</v>
      </c>
      <c r="B999" s="2">
        <v>44379</v>
      </c>
      <c r="C999" s="3">
        <v>30.19</v>
      </c>
      <c r="D999" s="3">
        <v>31.84</v>
      </c>
      <c r="E999" s="3">
        <v>30.03</v>
      </c>
      <c r="F999" s="3">
        <v>31.84</v>
      </c>
      <c r="G999" s="3">
        <v>5243700</v>
      </c>
      <c r="H999" s="8">
        <f t="shared" si="91"/>
        <v>5.1838879159369542</v>
      </c>
      <c r="I999">
        <f t="shared" si="92"/>
        <v>30.490000000000002</v>
      </c>
      <c r="J999" s="6" cm="1">
        <f t="array" ref="J999">_xlfn.STDEV.S(IF($A:$A=A999, $F:$F))</f>
        <v>1.5410223878970744</v>
      </c>
      <c r="P999" s="8">
        <f t="shared" si="93"/>
        <v>5.1838879159369542</v>
      </c>
      <c r="Q999" s="8">
        <f t="shared" si="94"/>
        <v>5.1838879159369542</v>
      </c>
      <c r="R999" s="8">
        <f t="shared" si="95"/>
        <v>5.1838879159369542</v>
      </c>
    </row>
    <row r="1000" spans="1:18" x14ac:dyDescent="0.25">
      <c r="A1000" s="7">
        <f t="shared" si="90"/>
        <v>200</v>
      </c>
      <c r="B1000" s="2">
        <v>44382</v>
      </c>
      <c r="C1000" s="3">
        <v>32.49</v>
      </c>
      <c r="D1000" s="3">
        <v>32.82</v>
      </c>
      <c r="E1000" s="3">
        <v>31.18</v>
      </c>
      <c r="F1000" s="3">
        <v>32.270000000000003</v>
      </c>
      <c r="G1000" s="3">
        <v>4506000</v>
      </c>
      <c r="H1000" s="8">
        <f t="shared" si="91"/>
        <v>5.1838879159369542</v>
      </c>
      <c r="I1000">
        <f t="shared" si="92"/>
        <v>30.490000000000002</v>
      </c>
      <c r="J1000" s="6" cm="1">
        <f t="array" ref="J1000">_xlfn.STDEV.S(IF($A:$A=A1000, $F:$F))</f>
        <v>1.5410223878970744</v>
      </c>
      <c r="P1000" s="8">
        <f t="shared" si="93"/>
        <v>5.1838879159369542</v>
      </c>
      <c r="Q1000" s="8">
        <f t="shared" si="94"/>
        <v>5.1838879159369542</v>
      </c>
      <c r="R1000" s="8">
        <f t="shared" si="95"/>
        <v>5.1838879159369542</v>
      </c>
    </row>
    <row r="1001" spans="1:18" x14ac:dyDescent="0.25">
      <c r="A1001" s="7">
        <f t="shared" si="90"/>
        <v>200</v>
      </c>
      <c r="B1001" s="2">
        <v>44383</v>
      </c>
      <c r="C1001" s="3">
        <v>32</v>
      </c>
      <c r="D1001" s="3">
        <v>32.549999999999997</v>
      </c>
      <c r="E1001" s="3">
        <v>30.03</v>
      </c>
      <c r="F1001" s="3">
        <v>30.03</v>
      </c>
      <c r="G1001" s="3">
        <v>3831700</v>
      </c>
      <c r="H1001" s="8">
        <f t="shared" si="91"/>
        <v>5.1838879159369542</v>
      </c>
      <c r="I1001">
        <f t="shared" si="92"/>
        <v>30.490000000000002</v>
      </c>
      <c r="J1001" s="6" cm="1">
        <f t="array" ref="J1001">_xlfn.STDEV.S(IF($A:$A=A1001, $F:$F))</f>
        <v>1.5410223878970744</v>
      </c>
      <c r="P1001" s="8">
        <f t="shared" si="93"/>
        <v>5.1838879159369542</v>
      </c>
      <c r="Q1001" s="8">
        <f t="shared" si="94"/>
        <v>5.1838879159369542</v>
      </c>
      <c r="R1001" s="8">
        <f t="shared" si="95"/>
        <v>5.1838879159369542</v>
      </c>
    </row>
    <row r="1002" spans="1:18" x14ac:dyDescent="0.25">
      <c r="A1002" s="7">
        <f t="shared" si="90"/>
        <v>201</v>
      </c>
      <c r="B1002" s="2">
        <v>44384</v>
      </c>
      <c r="C1002" s="3">
        <v>30.09</v>
      </c>
      <c r="D1002" s="3">
        <v>30.91</v>
      </c>
      <c r="E1002" s="3">
        <v>28.61</v>
      </c>
      <c r="F1002" s="3">
        <v>30.58</v>
      </c>
      <c r="G1002" s="3">
        <v>3595600</v>
      </c>
      <c r="H1002" s="8">
        <f t="shared" si="91"/>
        <v>-5.7226945716154356</v>
      </c>
      <c r="I1002">
        <f t="shared" si="92"/>
        <v>29.474</v>
      </c>
      <c r="J1002" s="6" cm="1">
        <f t="array" ref="J1002">_xlfn.STDEV.S(IF($A:$A=A1002, $F:$F))</f>
        <v>0.97068532491224901</v>
      </c>
      <c r="P1002" s="8">
        <f t="shared" si="93"/>
        <v>-5.7226945716154356</v>
      </c>
      <c r="Q1002" s="8">
        <f t="shared" si="94"/>
        <v>-5.7226945716154356</v>
      </c>
      <c r="R1002" s="8">
        <f t="shared" si="95"/>
        <v>-5.7226945716154356</v>
      </c>
    </row>
    <row r="1003" spans="1:18" x14ac:dyDescent="0.25">
      <c r="A1003" s="7">
        <f t="shared" si="90"/>
        <v>201</v>
      </c>
      <c r="B1003" s="2">
        <v>44385</v>
      </c>
      <c r="C1003" s="3">
        <v>30.63</v>
      </c>
      <c r="D1003" s="3">
        <v>30.91</v>
      </c>
      <c r="E1003" s="3">
        <v>29.43</v>
      </c>
      <c r="F1003" s="3">
        <v>29.7</v>
      </c>
      <c r="G1003" s="3">
        <v>2273200</v>
      </c>
      <c r="H1003" s="8">
        <f t="shared" si="91"/>
        <v>-5.7226945716154356</v>
      </c>
      <c r="I1003">
        <f t="shared" si="92"/>
        <v>29.474</v>
      </c>
      <c r="J1003" s="6" cm="1">
        <f t="array" ref="J1003">_xlfn.STDEV.S(IF($A:$A=A1003, $F:$F))</f>
        <v>0.97068532491224901</v>
      </c>
      <c r="P1003" s="8">
        <f t="shared" si="93"/>
        <v>-5.7226945716154356</v>
      </c>
      <c r="Q1003" s="8">
        <f t="shared" si="94"/>
        <v>-5.7226945716154356</v>
      </c>
      <c r="R1003" s="8">
        <f t="shared" si="95"/>
        <v>-5.7226945716154356</v>
      </c>
    </row>
    <row r="1004" spans="1:18" x14ac:dyDescent="0.25">
      <c r="A1004" s="7">
        <f t="shared" si="90"/>
        <v>201</v>
      </c>
      <c r="B1004" s="2">
        <v>44386</v>
      </c>
      <c r="C1004" s="3">
        <v>29.37</v>
      </c>
      <c r="D1004" s="3">
        <v>30.96</v>
      </c>
      <c r="E1004" s="3">
        <v>29.16</v>
      </c>
      <c r="F1004" s="3">
        <v>30.09</v>
      </c>
      <c r="G1004" s="3">
        <v>2738000</v>
      </c>
      <c r="H1004" s="8">
        <f t="shared" si="91"/>
        <v>-5.7226945716154356</v>
      </c>
      <c r="I1004">
        <f t="shared" si="92"/>
        <v>29.474</v>
      </c>
      <c r="J1004" s="6" cm="1">
        <f t="array" ref="J1004">_xlfn.STDEV.S(IF($A:$A=A1004, $F:$F))</f>
        <v>0.97068532491224901</v>
      </c>
      <c r="P1004" s="8">
        <f t="shared" si="93"/>
        <v>-5.7226945716154356</v>
      </c>
      <c r="Q1004" s="8">
        <f t="shared" si="94"/>
        <v>-5.7226945716154356</v>
      </c>
      <c r="R1004" s="8">
        <f t="shared" si="95"/>
        <v>-5.7226945716154356</v>
      </c>
    </row>
    <row r="1005" spans="1:18" x14ac:dyDescent="0.25">
      <c r="A1005" s="7">
        <f t="shared" si="90"/>
        <v>201</v>
      </c>
      <c r="B1005" s="2">
        <v>44389</v>
      </c>
      <c r="C1005" s="3">
        <v>29.54</v>
      </c>
      <c r="D1005" s="3">
        <v>30.09</v>
      </c>
      <c r="E1005" s="3">
        <v>28.01</v>
      </c>
      <c r="F1005" s="3">
        <v>28.17</v>
      </c>
      <c r="G1005" s="3">
        <v>4100700</v>
      </c>
      <c r="H1005" s="8">
        <f t="shared" si="91"/>
        <v>-5.7226945716154356</v>
      </c>
      <c r="I1005">
        <f t="shared" si="92"/>
        <v>29.474</v>
      </c>
      <c r="J1005" s="6" cm="1">
        <f t="array" ref="J1005">_xlfn.STDEV.S(IF($A:$A=A1005, $F:$F))</f>
        <v>0.97068532491224901</v>
      </c>
      <c r="P1005" s="8">
        <f t="shared" si="93"/>
        <v>-5.7226945716154356</v>
      </c>
      <c r="Q1005" s="8">
        <f t="shared" si="94"/>
        <v>-5.7226945716154356</v>
      </c>
      <c r="R1005" s="8">
        <f t="shared" si="95"/>
        <v>-5.7226945716154356</v>
      </c>
    </row>
    <row r="1006" spans="1:18" x14ac:dyDescent="0.25">
      <c r="A1006" s="7">
        <f t="shared" si="90"/>
        <v>201</v>
      </c>
      <c r="B1006" s="2">
        <v>44390</v>
      </c>
      <c r="C1006" s="3">
        <v>28.99</v>
      </c>
      <c r="D1006" s="3">
        <v>28.99</v>
      </c>
      <c r="E1006" s="3">
        <v>28.01</v>
      </c>
      <c r="F1006" s="3">
        <v>28.83</v>
      </c>
      <c r="G1006" s="3">
        <v>1472600</v>
      </c>
      <c r="H1006" s="8">
        <f t="shared" si="91"/>
        <v>-5.7226945716154356</v>
      </c>
      <c r="I1006">
        <f t="shared" si="92"/>
        <v>29.474</v>
      </c>
      <c r="J1006" s="6" cm="1">
        <f t="array" ref="J1006">_xlfn.STDEV.S(IF($A:$A=A1006, $F:$F))</f>
        <v>0.97068532491224901</v>
      </c>
      <c r="P1006" s="8">
        <f t="shared" si="93"/>
        <v>-5.7226945716154356</v>
      </c>
      <c r="Q1006" s="8">
        <f t="shared" si="94"/>
        <v>-5.7226945716154356</v>
      </c>
      <c r="R1006" s="8">
        <f t="shared" si="95"/>
        <v>-5.7226945716154356</v>
      </c>
    </row>
    <row r="1007" spans="1:18" x14ac:dyDescent="0.25">
      <c r="A1007" s="7">
        <f t="shared" si="90"/>
        <v>202</v>
      </c>
      <c r="B1007" s="2">
        <v>44391</v>
      </c>
      <c r="C1007" s="3">
        <v>28.44</v>
      </c>
      <c r="D1007" s="3">
        <v>29.1</v>
      </c>
      <c r="E1007" s="3">
        <v>27.84</v>
      </c>
      <c r="F1007" s="3">
        <v>27.9</v>
      </c>
      <c r="G1007" s="3">
        <v>1900400</v>
      </c>
      <c r="H1007" s="8">
        <f t="shared" si="91"/>
        <v>-1.182795698924725</v>
      </c>
      <c r="I1007">
        <f t="shared" si="92"/>
        <v>27.898000000000003</v>
      </c>
      <c r="J1007" s="6" cm="1">
        <f t="array" ref="J1007">_xlfn.STDEV.S(IF($A:$A=A1007, $F:$F))</f>
        <v>0.93993084852025066</v>
      </c>
      <c r="P1007" s="8">
        <f t="shared" si="93"/>
        <v>-1.182795698924725</v>
      </c>
      <c r="Q1007" s="8">
        <f t="shared" si="94"/>
        <v>-1.182795698924725</v>
      </c>
      <c r="R1007" s="8">
        <f t="shared" si="95"/>
        <v>-1.182795698924725</v>
      </c>
    </row>
    <row r="1008" spans="1:18" x14ac:dyDescent="0.25">
      <c r="A1008" s="7">
        <f t="shared" si="90"/>
        <v>202</v>
      </c>
      <c r="B1008" s="2">
        <v>44392</v>
      </c>
      <c r="C1008" s="3">
        <v>27.9</v>
      </c>
      <c r="D1008" s="3">
        <v>28.99</v>
      </c>
      <c r="E1008" s="3">
        <v>27.9</v>
      </c>
      <c r="F1008" s="3">
        <v>28.99</v>
      </c>
      <c r="G1008" s="3">
        <v>1478600</v>
      </c>
      <c r="H1008" s="8">
        <f t="shared" si="91"/>
        <v>-1.182795698924725</v>
      </c>
      <c r="I1008">
        <f t="shared" si="92"/>
        <v>27.898000000000003</v>
      </c>
      <c r="J1008" s="6" cm="1">
        <f t="array" ref="J1008">_xlfn.STDEV.S(IF($A:$A=A1008, $F:$F))</f>
        <v>0.93993084852025066</v>
      </c>
      <c r="P1008" s="8">
        <f t="shared" si="93"/>
        <v>-1.182795698924725</v>
      </c>
      <c r="Q1008" s="8">
        <f t="shared" si="94"/>
        <v>-1.182795698924725</v>
      </c>
      <c r="R1008" s="8">
        <f t="shared" si="95"/>
        <v>-1.182795698924725</v>
      </c>
    </row>
    <row r="1009" spans="1:18" x14ac:dyDescent="0.25">
      <c r="A1009" s="7">
        <f t="shared" si="90"/>
        <v>202</v>
      </c>
      <c r="B1009" s="2">
        <v>44393</v>
      </c>
      <c r="C1009" s="3">
        <v>29.1</v>
      </c>
      <c r="D1009" s="3">
        <v>29.48</v>
      </c>
      <c r="E1009" s="3">
        <v>28.44</v>
      </c>
      <c r="F1009" s="3">
        <v>28.5</v>
      </c>
      <c r="G1009" s="3">
        <v>1668600</v>
      </c>
      <c r="H1009" s="8">
        <f t="shared" si="91"/>
        <v>-1.182795698924725</v>
      </c>
      <c r="I1009">
        <f t="shared" si="92"/>
        <v>27.898000000000003</v>
      </c>
      <c r="J1009" s="6" cm="1">
        <f t="array" ref="J1009">_xlfn.STDEV.S(IF($A:$A=A1009, $F:$F))</f>
        <v>0.93993084852025066</v>
      </c>
      <c r="P1009" s="8">
        <f t="shared" si="93"/>
        <v>-1.182795698924725</v>
      </c>
      <c r="Q1009" s="8">
        <f t="shared" si="94"/>
        <v>-1.182795698924725</v>
      </c>
      <c r="R1009" s="8">
        <f t="shared" si="95"/>
        <v>-1.182795698924725</v>
      </c>
    </row>
    <row r="1010" spans="1:18" x14ac:dyDescent="0.25">
      <c r="A1010" s="7">
        <f t="shared" si="90"/>
        <v>202</v>
      </c>
      <c r="B1010" s="2">
        <v>44396</v>
      </c>
      <c r="C1010" s="3">
        <v>27.9</v>
      </c>
      <c r="D1010" s="3">
        <v>28.44</v>
      </c>
      <c r="E1010" s="3">
        <v>26.53</v>
      </c>
      <c r="F1010" s="3">
        <v>26.53</v>
      </c>
      <c r="G1010" s="3">
        <v>3460700</v>
      </c>
      <c r="H1010" s="8">
        <f t="shared" si="91"/>
        <v>-1.182795698924725</v>
      </c>
      <c r="I1010">
        <f t="shared" si="92"/>
        <v>27.898000000000003</v>
      </c>
      <c r="J1010" s="6" cm="1">
        <f t="array" ref="J1010">_xlfn.STDEV.S(IF($A:$A=A1010, $F:$F))</f>
        <v>0.93993084852025066</v>
      </c>
      <c r="P1010" s="8">
        <f t="shared" si="93"/>
        <v>-1.182795698924725</v>
      </c>
      <c r="Q1010" s="8">
        <f t="shared" si="94"/>
        <v>-1.182795698924725</v>
      </c>
      <c r="R1010" s="8">
        <f t="shared" si="95"/>
        <v>-1.182795698924725</v>
      </c>
    </row>
    <row r="1011" spans="1:18" x14ac:dyDescent="0.25">
      <c r="A1011" s="7">
        <f t="shared" si="90"/>
        <v>202</v>
      </c>
      <c r="B1011" s="2">
        <v>44397</v>
      </c>
      <c r="C1011" s="3">
        <v>26.53</v>
      </c>
      <c r="D1011" s="3">
        <v>27.62</v>
      </c>
      <c r="E1011" s="3">
        <v>24.72</v>
      </c>
      <c r="F1011" s="3">
        <v>27.57</v>
      </c>
      <c r="G1011" s="3">
        <v>8499600</v>
      </c>
      <c r="H1011" s="8">
        <f t="shared" si="91"/>
        <v>-1.182795698924725</v>
      </c>
      <c r="I1011">
        <f t="shared" si="92"/>
        <v>27.898000000000003</v>
      </c>
      <c r="J1011" s="6" cm="1">
        <f t="array" ref="J1011">_xlfn.STDEV.S(IF($A:$A=A1011, $F:$F))</f>
        <v>0.93993084852025066</v>
      </c>
      <c r="P1011" s="8">
        <f t="shared" si="93"/>
        <v>-1.182795698924725</v>
      </c>
      <c r="Q1011" s="8">
        <f t="shared" si="94"/>
        <v>-1.182795698924725</v>
      </c>
      <c r="R1011" s="8">
        <f t="shared" si="95"/>
        <v>-1.182795698924725</v>
      </c>
    </row>
    <row r="1012" spans="1:18" x14ac:dyDescent="0.25">
      <c r="A1012" s="7">
        <f t="shared" si="90"/>
        <v>203</v>
      </c>
      <c r="B1012" s="2">
        <v>44398</v>
      </c>
      <c r="C1012" s="3">
        <v>27.62</v>
      </c>
      <c r="D1012" s="3">
        <v>28.17</v>
      </c>
      <c r="E1012" s="3">
        <v>26.75</v>
      </c>
      <c r="F1012" s="3">
        <v>26.8</v>
      </c>
      <c r="G1012" s="3">
        <v>3506300</v>
      </c>
      <c r="H1012" s="8">
        <f t="shared" si="91"/>
        <v>-3.0597014925373145</v>
      </c>
      <c r="I1012">
        <f t="shared" si="92"/>
        <v>26.189999999999998</v>
      </c>
      <c r="J1012" s="6" cm="1">
        <f t="array" ref="J1012">_xlfn.STDEV.S(IF($A:$A=A1012, $F:$F))</f>
        <v>0.76432977176085415</v>
      </c>
      <c r="P1012" s="8">
        <f t="shared" si="93"/>
        <v>-3.0597014925373145</v>
      </c>
      <c r="Q1012" s="8">
        <f t="shared" si="94"/>
        <v>-3.0597014925373145</v>
      </c>
      <c r="R1012" s="8">
        <f t="shared" si="95"/>
        <v>-3.0597014925373145</v>
      </c>
    </row>
    <row r="1013" spans="1:18" x14ac:dyDescent="0.25">
      <c r="A1013" s="7">
        <f t="shared" si="90"/>
        <v>203</v>
      </c>
      <c r="B1013" s="2">
        <v>44399</v>
      </c>
      <c r="C1013" s="3">
        <v>26.64</v>
      </c>
      <c r="D1013" s="3">
        <v>27.32</v>
      </c>
      <c r="E1013" s="3">
        <v>26.64</v>
      </c>
      <c r="F1013" s="3">
        <v>27.08</v>
      </c>
      <c r="G1013" s="3">
        <v>2951500</v>
      </c>
      <c r="H1013" s="8">
        <f t="shared" si="91"/>
        <v>-3.0597014925373145</v>
      </c>
      <c r="I1013">
        <f t="shared" si="92"/>
        <v>26.189999999999998</v>
      </c>
      <c r="J1013" s="6" cm="1">
        <f t="array" ref="J1013">_xlfn.STDEV.S(IF($A:$A=A1013, $F:$F))</f>
        <v>0.76432977176085415</v>
      </c>
      <c r="P1013" s="8">
        <f t="shared" si="93"/>
        <v>-3.0597014925373145</v>
      </c>
      <c r="Q1013" s="8">
        <f t="shared" si="94"/>
        <v>-3.0597014925373145</v>
      </c>
      <c r="R1013" s="8">
        <f t="shared" si="95"/>
        <v>-3.0597014925373145</v>
      </c>
    </row>
    <row r="1014" spans="1:18" x14ac:dyDescent="0.25">
      <c r="A1014" s="7">
        <f t="shared" si="90"/>
        <v>203</v>
      </c>
      <c r="B1014" s="2">
        <v>44400</v>
      </c>
      <c r="C1014" s="3">
        <v>26.8</v>
      </c>
      <c r="D1014" s="3">
        <v>27.05</v>
      </c>
      <c r="E1014" s="3">
        <v>25.93</v>
      </c>
      <c r="F1014" s="3">
        <v>25.93</v>
      </c>
      <c r="G1014" s="3">
        <v>5806800</v>
      </c>
      <c r="H1014" s="8">
        <f t="shared" si="91"/>
        <v>-3.0597014925373145</v>
      </c>
      <c r="I1014">
        <f t="shared" si="92"/>
        <v>26.189999999999998</v>
      </c>
      <c r="J1014" s="6" cm="1">
        <f t="array" ref="J1014">_xlfn.STDEV.S(IF($A:$A=A1014, $F:$F))</f>
        <v>0.76432977176085415</v>
      </c>
      <c r="P1014" s="8">
        <f t="shared" si="93"/>
        <v>-3.0597014925373145</v>
      </c>
      <c r="Q1014" s="8">
        <f t="shared" si="94"/>
        <v>-3.0597014925373145</v>
      </c>
      <c r="R1014" s="8">
        <f t="shared" si="95"/>
        <v>-3.0597014925373145</v>
      </c>
    </row>
    <row r="1015" spans="1:18" x14ac:dyDescent="0.25">
      <c r="A1015" s="7">
        <f t="shared" si="90"/>
        <v>203</v>
      </c>
      <c r="B1015" s="2">
        <v>44403</v>
      </c>
      <c r="C1015" s="3">
        <v>25.41</v>
      </c>
      <c r="D1015" s="3">
        <v>25.82</v>
      </c>
      <c r="E1015" s="3">
        <v>24.62</v>
      </c>
      <c r="F1015" s="3">
        <v>25.16</v>
      </c>
      <c r="G1015" s="3">
        <v>4380200</v>
      </c>
      <c r="H1015" s="8">
        <f t="shared" si="91"/>
        <v>-3.0597014925373145</v>
      </c>
      <c r="I1015">
        <f t="shared" si="92"/>
        <v>26.189999999999998</v>
      </c>
      <c r="J1015" s="6" cm="1">
        <f t="array" ref="J1015">_xlfn.STDEV.S(IF($A:$A=A1015, $F:$F))</f>
        <v>0.76432977176085415</v>
      </c>
      <c r="P1015" s="8">
        <f t="shared" si="93"/>
        <v>-3.0597014925373145</v>
      </c>
      <c r="Q1015" s="8">
        <f t="shared" si="94"/>
        <v>-3.0597014925373145</v>
      </c>
      <c r="R1015" s="8">
        <f t="shared" si="95"/>
        <v>-3.0597014925373145</v>
      </c>
    </row>
    <row r="1016" spans="1:18" x14ac:dyDescent="0.25">
      <c r="A1016" s="7">
        <f t="shared" si="90"/>
        <v>203</v>
      </c>
      <c r="B1016" s="2">
        <v>44404</v>
      </c>
      <c r="C1016" s="3">
        <v>25.71</v>
      </c>
      <c r="D1016" s="3">
        <v>26.23</v>
      </c>
      <c r="E1016" s="3">
        <v>25.49</v>
      </c>
      <c r="F1016" s="3">
        <v>25.98</v>
      </c>
      <c r="G1016" s="3">
        <v>3575500</v>
      </c>
      <c r="H1016" s="8">
        <f t="shared" si="91"/>
        <v>-3.0597014925373145</v>
      </c>
      <c r="I1016">
        <f t="shared" si="92"/>
        <v>26.189999999999998</v>
      </c>
      <c r="J1016" s="6" cm="1">
        <f t="array" ref="J1016">_xlfn.STDEV.S(IF($A:$A=A1016, $F:$F))</f>
        <v>0.76432977176085415</v>
      </c>
      <c r="P1016" s="8">
        <f t="shared" si="93"/>
        <v>-3.0597014925373145</v>
      </c>
      <c r="Q1016" s="8">
        <f t="shared" si="94"/>
        <v>-3.0597014925373145</v>
      </c>
      <c r="R1016" s="8">
        <f t="shared" si="95"/>
        <v>-3.0597014925373145</v>
      </c>
    </row>
    <row r="1017" spans="1:18" x14ac:dyDescent="0.25">
      <c r="A1017" s="7">
        <f t="shared" si="90"/>
        <v>204</v>
      </c>
      <c r="B1017" s="2">
        <v>44405</v>
      </c>
      <c r="C1017" s="3">
        <v>25.71</v>
      </c>
      <c r="D1017" s="3">
        <v>26.2</v>
      </c>
      <c r="E1017" s="3">
        <v>25.6</v>
      </c>
      <c r="F1017" s="3">
        <v>25.65</v>
      </c>
      <c r="G1017" s="3">
        <v>1751200</v>
      </c>
      <c r="H1017" s="8">
        <f t="shared" si="91"/>
        <v>9.8245614035087847</v>
      </c>
      <c r="I1017">
        <f t="shared" si="92"/>
        <v>26.895999999999997</v>
      </c>
      <c r="J1017" s="6" cm="1">
        <f t="array" ref="J1017">_xlfn.STDEV.S(IF($A:$A=A1017, $F:$F))</f>
        <v>1.007387710864095</v>
      </c>
      <c r="P1017" s="8">
        <f t="shared" si="93"/>
        <v>9.8245614035087847</v>
      </c>
      <c r="Q1017" s="8">
        <f t="shared" si="94"/>
        <v>9.8245614035087847</v>
      </c>
      <c r="R1017" s="10">
        <f t="shared" si="95"/>
        <v>9.8245614035087847</v>
      </c>
    </row>
    <row r="1018" spans="1:18" x14ac:dyDescent="0.25">
      <c r="A1018" s="7">
        <f t="shared" si="90"/>
        <v>204</v>
      </c>
      <c r="B1018" s="2">
        <v>44406</v>
      </c>
      <c r="C1018" s="3">
        <v>25.82</v>
      </c>
      <c r="D1018" s="3">
        <v>26.2</v>
      </c>
      <c r="E1018" s="3">
        <v>25.65</v>
      </c>
      <c r="F1018" s="3">
        <v>26.12</v>
      </c>
      <c r="G1018" s="3">
        <v>3394900</v>
      </c>
      <c r="H1018" s="8">
        <f t="shared" si="91"/>
        <v>9.8245614035087847</v>
      </c>
      <c r="I1018">
        <f t="shared" si="92"/>
        <v>26.895999999999997</v>
      </c>
      <c r="J1018" s="6" cm="1">
        <f t="array" ref="J1018">_xlfn.STDEV.S(IF($A:$A=A1018, $F:$F))</f>
        <v>1.007387710864095</v>
      </c>
      <c r="P1018" s="8">
        <f t="shared" si="93"/>
        <v>9.8245614035087847</v>
      </c>
      <c r="Q1018" s="8">
        <f t="shared" si="94"/>
        <v>9.8245614035087847</v>
      </c>
      <c r="R1018" s="10">
        <f t="shared" si="95"/>
        <v>9.8245614035087847</v>
      </c>
    </row>
    <row r="1019" spans="1:18" x14ac:dyDescent="0.25">
      <c r="A1019" s="7">
        <f t="shared" si="90"/>
        <v>204</v>
      </c>
      <c r="B1019" s="2">
        <v>44407</v>
      </c>
      <c r="C1019" s="3">
        <v>26.26</v>
      </c>
      <c r="D1019" s="3">
        <v>27.46</v>
      </c>
      <c r="E1019" s="3">
        <v>26.26</v>
      </c>
      <c r="F1019" s="3">
        <v>27.24</v>
      </c>
      <c r="G1019" s="3">
        <v>5362300</v>
      </c>
      <c r="H1019" s="8">
        <f t="shared" si="91"/>
        <v>9.8245614035087847</v>
      </c>
      <c r="I1019">
        <f t="shared" si="92"/>
        <v>26.895999999999997</v>
      </c>
      <c r="J1019" s="6" cm="1">
        <f t="array" ref="J1019">_xlfn.STDEV.S(IF($A:$A=A1019, $F:$F))</f>
        <v>1.007387710864095</v>
      </c>
      <c r="P1019" s="8">
        <f t="shared" si="93"/>
        <v>9.8245614035087847</v>
      </c>
      <c r="Q1019" s="8">
        <f t="shared" si="94"/>
        <v>9.8245614035087847</v>
      </c>
      <c r="R1019" s="10">
        <f t="shared" si="95"/>
        <v>9.8245614035087847</v>
      </c>
    </row>
    <row r="1020" spans="1:18" x14ac:dyDescent="0.25">
      <c r="A1020" s="7">
        <f t="shared" si="90"/>
        <v>204</v>
      </c>
      <c r="B1020" s="2">
        <v>44410</v>
      </c>
      <c r="C1020" s="3">
        <v>27.35</v>
      </c>
      <c r="D1020" s="3">
        <v>28.01</v>
      </c>
      <c r="E1020" s="3">
        <v>27.19</v>
      </c>
      <c r="F1020" s="3">
        <v>27.3</v>
      </c>
      <c r="G1020" s="3">
        <v>5223100</v>
      </c>
      <c r="H1020" s="8">
        <f t="shared" si="91"/>
        <v>9.8245614035087847</v>
      </c>
      <c r="I1020">
        <f t="shared" si="92"/>
        <v>26.895999999999997</v>
      </c>
      <c r="J1020" s="6" cm="1">
        <f t="array" ref="J1020">_xlfn.STDEV.S(IF($A:$A=A1020, $F:$F))</f>
        <v>1.007387710864095</v>
      </c>
      <c r="P1020" s="8">
        <f t="shared" si="93"/>
        <v>9.8245614035087847</v>
      </c>
      <c r="Q1020" s="8">
        <f t="shared" si="94"/>
        <v>9.8245614035087847</v>
      </c>
      <c r="R1020" s="10">
        <f t="shared" si="95"/>
        <v>9.8245614035087847</v>
      </c>
    </row>
    <row r="1021" spans="1:18" x14ac:dyDescent="0.25">
      <c r="A1021" s="7">
        <f t="shared" si="90"/>
        <v>204</v>
      </c>
      <c r="B1021" s="2">
        <v>44411</v>
      </c>
      <c r="C1021" s="3">
        <v>27.24</v>
      </c>
      <c r="D1021" s="3">
        <v>28.17</v>
      </c>
      <c r="E1021" s="3">
        <v>26.97</v>
      </c>
      <c r="F1021" s="3">
        <v>28.17</v>
      </c>
      <c r="G1021" s="3">
        <v>7266200</v>
      </c>
      <c r="H1021" s="8">
        <f t="shared" si="91"/>
        <v>9.8245614035087847</v>
      </c>
      <c r="I1021">
        <f t="shared" si="92"/>
        <v>26.895999999999997</v>
      </c>
      <c r="J1021" s="6" cm="1">
        <f t="array" ref="J1021">_xlfn.STDEV.S(IF($A:$A=A1021, $F:$F))</f>
        <v>1.007387710864095</v>
      </c>
      <c r="P1021" s="8">
        <f t="shared" si="93"/>
        <v>9.8245614035087847</v>
      </c>
      <c r="Q1021" s="8">
        <f t="shared" si="94"/>
        <v>9.8245614035087847</v>
      </c>
      <c r="R1021" s="10">
        <f t="shared" si="95"/>
        <v>9.8245614035087847</v>
      </c>
    </row>
    <row r="1022" spans="1:18" x14ac:dyDescent="0.25">
      <c r="A1022" s="7">
        <f t="shared" si="90"/>
        <v>205</v>
      </c>
      <c r="B1022" s="2">
        <v>44412</v>
      </c>
      <c r="C1022" s="3">
        <v>28.55</v>
      </c>
      <c r="D1022" s="3">
        <v>29.54</v>
      </c>
      <c r="E1022" s="3">
        <v>28.39</v>
      </c>
      <c r="F1022" s="3">
        <v>29.21</v>
      </c>
      <c r="G1022" s="3">
        <v>8764000</v>
      </c>
      <c r="H1022" s="8">
        <f t="shared" si="91"/>
        <v>6.7442656624443638</v>
      </c>
      <c r="I1022">
        <f t="shared" si="92"/>
        <v>30.370000000000005</v>
      </c>
      <c r="J1022" s="6" cm="1">
        <f t="array" ref="J1022">_xlfn.STDEV.S(IF($A:$A=A1022, $F:$F))</f>
        <v>0.87355595127043739</v>
      </c>
      <c r="P1022" s="8">
        <f t="shared" si="93"/>
        <v>6.7442656624443638</v>
      </c>
      <c r="Q1022" s="8">
        <f t="shared" si="94"/>
        <v>6.7442656624443638</v>
      </c>
      <c r="R1022" s="8">
        <f t="shared" si="95"/>
        <v>6.7442656624443638</v>
      </c>
    </row>
    <row r="1023" spans="1:18" x14ac:dyDescent="0.25">
      <c r="A1023" s="7">
        <f t="shared" si="90"/>
        <v>205</v>
      </c>
      <c r="B1023" s="2">
        <v>44413</v>
      </c>
      <c r="C1023" s="3">
        <v>28.99</v>
      </c>
      <c r="D1023" s="3">
        <v>30.52</v>
      </c>
      <c r="E1023" s="3">
        <v>28.83</v>
      </c>
      <c r="F1023" s="3">
        <v>30.52</v>
      </c>
      <c r="G1023" s="3">
        <v>6351200</v>
      </c>
      <c r="H1023" s="8">
        <f t="shared" si="91"/>
        <v>6.7442656624443638</v>
      </c>
      <c r="I1023">
        <f t="shared" si="92"/>
        <v>30.370000000000005</v>
      </c>
      <c r="J1023" s="6" cm="1">
        <f t="array" ref="J1023">_xlfn.STDEV.S(IF($A:$A=A1023, $F:$F))</f>
        <v>0.87355595127043739</v>
      </c>
      <c r="P1023" s="8">
        <f t="shared" si="93"/>
        <v>6.7442656624443638</v>
      </c>
      <c r="Q1023" s="8">
        <f t="shared" si="94"/>
        <v>6.7442656624443638</v>
      </c>
      <c r="R1023" s="8">
        <f t="shared" si="95"/>
        <v>6.7442656624443638</v>
      </c>
    </row>
    <row r="1024" spans="1:18" x14ac:dyDescent="0.25">
      <c r="A1024" s="7">
        <f t="shared" si="90"/>
        <v>205</v>
      </c>
      <c r="B1024" s="2">
        <v>44414</v>
      </c>
      <c r="C1024" s="3">
        <v>30.19</v>
      </c>
      <c r="D1024" s="3">
        <v>30.36</v>
      </c>
      <c r="E1024" s="3">
        <v>29.76</v>
      </c>
      <c r="F1024" s="3">
        <v>29.76</v>
      </c>
      <c r="G1024" s="3">
        <v>6862800</v>
      </c>
      <c r="H1024" s="8">
        <f t="shared" si="91"/>
        <v>6.7442656624443638</v>
      </c>
      <c r="I1024">
        <f t="shared" si="92"/>
        <v>30.370000000000005</v>
      </c>
      <c r="J1024" s="6" cm="1">
        <f t="array" ref="J1024">_xlfn.STDEV.S(IF($A:$A=A1024, $F:$F))</f>
        <v>0.87355595127043739</v>
      </c>
      <c r="P1024" s="8">
        <f t="shared" si="93"/>
        <v>6.7442656624443638</v>
      </c>
      <c r="Q1024" s="8">
        <f t="shared" si="94"/>
        <v>6.7442656624443638</v>
      </c>
      <c r="R1024" s="8">
        <f t="shared" si="95"/>
        <v>6.7442656624443638</v>
      </c>
    </row>
    <row r="1025" spans="1:18" x14ac:dyDescent="0.25">
      <c r="A1025" s="7">
        <f t="shared" si="90"/>
        <v>205</v>
      </c>
      <c r="B1025" s="2">
        <v>44417</v>
      </c>
      <c r="C1025" s="3">
        <v>29.43</v>
      </c>
      <c r="D1025" s="3">
        <v>31.4</v>
      </c>
      <c r="E1025" s="3">
        <v>29.32</v>
      </c>
      <c r="F1025" s="3">
        <v>31.18</v>
      </c>
      <c r="G1025" s="3">
        <v>8073800</v>
      </c>
      <c r="H1025" s="8">
        <f t="shared" si="91"/>
        <v>6.7442656624443638</v>
      </c>
      <c r="I1025">
        <f t="shared" si="92"/>
        <v>30.370000000000005</v>
      </c>
      <c r="J1025" s="6" cm="1">
        <f t="array" ref="J1025">_xlfn.STDEV.S(IF($A:$A=A1025, $F:$F))</f>
        <v>0.87355595127043739</v>
      </c>
      <c r="P1025" s="8">
        <f t="shared" si="93"/>
        <v>6.7442656624443638</v>
      </c>
      <c r="Q1025" s="8">
        <f t="shared" si="94"/>
        <v>6.7442656624443638</v>
      </c>
      <c r="R1025" s="8">
        <f t="shared" si="95"/>
        <v>6.7442656624443638</v>
      </c>
    </row>
    <row r="1026" spans="1:18" x14ac:dyDescent="0.25">
      <c r="A1026" s="7">
        <f t="shared" si="90"/>
        <v>205</v>
      </c>
      <c r="B1026" s="2">
        <v>44418</v>
      </c>
      <c r="C1026" s="3">
        <v>31.67</v>
      </c>
      <c r="D1026" s="3">
        <v>31.67</v>
      </c>
      <c r="E1026" s="3">
        <v>30.58</v>
      </c>
      <c r="F1026" s="3">
        <v>31.18</v>
      </c>
      <c r="G1026" s="3">
        <v>4749100</v>
      </c>
      <c r="H1026" s="8">
        <f t="shared" si="91"/>
        <v>6.7442656624443638</v>
      </c>
      <c r="I1026">
        <f t="shared" si="92"/>
        <v>30.370000000000005</v>
      </c>
      <c r="J1026" s="6" cm="1">
        <f t="array" ref="J1026">_xlfn.STDEV.S(IF($A:$A=A1026, $F:$F))</f>
        <v>0.87355595127043739</v>
      </c>
      <c r="P1026" s="8">
        <f t="shared" si="93"/>
        <v>6.7442656624443638</v>
      </c>
      <c r="Q1026" s="8">
        <f t="shared" si="94"/>
        <v>6.7442656624443638</v>
      </c>
      <c r="R1026" s="8">
        <f t="shared" si="95"/>
        <v>6.7442656624443638</v>
      </c>
    </row>
    <row r="1027" spans="1:18" x14ac:dyDescent="0.25">
      <c r="A1027" s="7">
        <f t="shared" ref="A1027:A1090" si="96">INT((ROW(A1027)-ROW($A$2))/5) + 1</f>
        <v>206</v>
      </c>
      <c r="B1027" s="2">
        <v>44419</v>
      </c>
      <c r="C1027" s="3">
        <v>31.18</v>
      </c>
      <c r="D1027" s="3">
        <v>31.29</v>
      </c>
      <c r="E1027" s="3">
        <v>30.14</v>
      </c>
      <c r="F1027" s="3">
        <v>30.14</v>
      </c>
      <c r="G1027" s="3">
        <v>7182700</v>
      </c>
      <c r="H1027" s="8">
        <f t="shared" ref="H1027:H1090" si="97">IF(A1027=A1026, H1026, (F1031-F1027)/F1027*100)</f>
        <v>12.342402123424018</v>
      </c>
      <c r="I1027">
        <f t="shared" ref="I1027:I1090" si="98">AVERAGEIF($A:$A, A1027, $F:$F)</f>
        <v>31.736000000000001</v>
      </c>
      <c r="J1027" s="6" cm="1">
        <f t="array" ref="J1027">_xlfn.STDEV.S(IF($A:$A=A1027, $F:$F))</f>
        <v>1.7489511142396177</v>
      </c>
      <c r="P1027" s="8">
        <f t="shared" ref="P1027:P1090" si="99">IF(A1027=A1026,P1026,(F1031-F1027)/F1027*100)</f>
        <v>12.342402123424018</v>
      </c>
      <c r="Q1027" s="8">
        <f t="shared" ref="Q1027:Q1090" si="100">IF(A1027=A1026,Q1026,(F1031-F1027)/F1027*100)</f>
        <v>12.342402123424018</v>
      </c>
      <c r="R1027" s="10">
        <f t="shared" ref="R1027:R1090" si="101">IF(A1027=A1026,R1026,(F1031-F1027)/F1027*100)</f>
        <v>12.342402123424018</v>
      </c>
    </row>
    <row r="1028" spans="1:18" x14ac:dyDescent="0.25">
      <c r="A1028" s="7">
        <f t="shared" si="96"/>
        <v>206</v>
      </c>
      <c r="B1028" s="2">
        <v>44420</v>
      </c>
      <c r="C1028" s="3">
        <v>30.19</v>
      </c>
      <c r="D1028" s="3">
        <v>30.85</v>
      </c>
      <c r="E1028" s="3">
        <v>30.03</v>
      </c>
      <c r="F1028" s="3">
        <v>30.19</v>
      </c>
      <c r="G1028" s="3">
        <v>5002400</v>
      </c>
      <c r="H1028" s="8">
        <f t="shared" si="97"/>
        <v>12.342402123424018</v>
      </c>
      <c r="I1028">
        <f t="shared" si="98"/>
        <v>31.736000000000001</v>
      </c>
      <c r="J1028" s="6" cm="1">
        <f t="array" ref="J1028">_xlfn.STDEV.S(IF($A:$A=A1028, $F:$F))</f>
        <v>1.7489511142396177</v>
      </c>
      <c r="P1028" s="8">
        <f t="shared" si="99"/>
        <v>12.342402123424018</v>
      </c>
      <c r="Q1028" s="8">
        <f t="shared" si="100"/>
        <v>12.342402123424018</v>
      </c>
      <c r="R1028" s="10">
        <f t="shared" si="101"/>
        <v>12.342402123424018</v>
      </c>
    </row>
    <row r="1029" spans="1:18" x14ac:dyDescent="0.25">
      <c r="A1029" s="7">
        <f t="shared" si="96"/>
        <v>206</v>
      </c>
      <c r="B1029" s="2">
        <v>44421</v>
      </c>
      <c r="C1029" s="3">
        <v>30.3</v>
      </c>
      <c r="D1029" s="3">
        <v>31.18</v>
      </c>
      <c r="E1029" s="3">
        <v>30.19</v>
      </c>
      <c r="F1029" s="3">
        <v>31.18</v>
      </c>
      <c r="G1029" s="3">
        <v>6303100</v>
      </c>
      <c r="H1029" s="8">
        <f t="shared" si="97"/>
        <v>12.342402123424018</v>
      </c>
      <c r="I1029">
        <f t="shared" si="98"/>
        <v>31.736000000000001</v>
      </c>
      <c r="J1029" s="6" cm="1">
        <f t="array" ref="J1029">_xlfn.STDEV.S(IF($A:$A=A1029, $F:$F))</f>
        <v>1.7489511142396177</v>
      </c>
      <c r="P1029" s="8">
        <f t="shared" si="99"/>
        <v>12.342402123424018</v>
      </c>
      <c r="Q1029" s="8">
        <f t="shared" si="100"/>
        <v>12.342402123424018</v>
      </c>
      <c r="R1029" s="10">
        <f t="shared" si="101"/>
        <v>12.342402123424018</v>
      </c>
    </row>
    <row r="1030" spans="1:18" x14ac:dyDescent="0.25">
      <c r="A1030" s="7">
        <f t="shared" si="96"/>
        <v>206</v>
      </c>
      <c r="B1030" s="2">
        <v>44424</v>
      </c>
      <c r="C1030" s="3">
        <v>32.049999999999997</v>
      </c>
      <c r="D1030" s="3">
        <v>33.31</v>
      </c>
      <c r="E1030" s="3">
        <v>31.84</v>
      </c>
      <c r="F1030" s="3">
        <v>33.31</v>
      </c>
      <c r="G1030" s="3">
        <v>7731500</v>
      </c>
      <c r="H1030" s="8">
        <f t="shared" si="97"/>
        <v>12.342402123424018</v>
      </c>
      <c r="I1030">
        <f t="shared" si="98"/>
        <v>31.736000000000001</v>
      </c>
      <c r="J1030" s="6" cm="1">
        <f t="array" ref="J1030">_xlfn.STDEV.S(IF($A:$A=A1030, $F:$F))</f>
        <v>1.7489511142396177</v>
      </c>
      <c r="P1030" s="8">
        <f t="shared" si="99"/>
        <v>12.342402123424018</v>
      </c>
      <c r="Q1030" s="8">
        <f t="shared" si="100"/>
        <v>12.342402123424018</v>
      </c>
      <c r="R1030" s="10">
        <f t="shared" si="101"/>
        <v>12.342402123424018</v>
      </c>
    </row>
    <row r="1031" spans="1:18" x14ac:dyDescent="0.25">
      <c r="A1031" s="7">
        <f t="shared" si="96"/>
        <v>206</v>
      </c>
      <c r="B1031" s="2">
        <v>44425</v>
      </c>
      <c r="C1031" s="3">
        <v>33.31</v>
      </c>
      <c r="D1031" s="3">
        <v>34.46</v>
      </c>
      <c r="E1031" s="3">
        <v>33.15</v>
      </c>
      <c r="F1031" s="3">
        <v>33.86</v>
      </c>
      <c r="G1031" s="3">
        <v>6971800</v>
      </c>
      <c r="H1031" s="8">
        <f t="shared" si="97"/>
        <v>12.342402123424018</v>
      </c>
      <c r="I1031">
        <f t="shared" si="98"/>
        <v>31.736000000000001</v>
      </c>
      <c r="J1031" s="6" cm="1">
        <f t="array" ref="J1031">_xlfn.STDEV.S(IF($A:$A=A1031, $F:$F))</f>
        <v>1.7489511142396177</v>
      </c>
      <c r="P1031" s="8">
        <f t="shared" si="99"/>
        <v>12.342402123424018</v>
      </c>
      <c r="Q1031" s="8">
        <f t="shared" si="100"/>
        <v>12.342402123424018</v>
      </c>
      <c r="R1031" s="10">
        <f t="shared" si="101"/>
        <v>12.342402123424018</v>
      </c>
    </row>
    <row r="1032" spans="1:18" x14ac:dyDescent="0.25">
      <c r="A1032" s="7">
        <f t="shared" si="96"/>
        <v>207</v>
      </c>
      <c r="B1032" s="2">
        <v>44426</v>
      </c>
      <c r="C1032" s="3">
        <v>33.81</v>
      </c>
      <c r="D1032" s="3">
        <v>35.229999999999997</v>
      </c>
      <c r="E1032" s="3">
        <v>33.479999999999997</v>
      </c>
      <c r="F1032" s="3">
        <v>34.520000000000003</v>
      </c>
      <c r="G1032" s="3">
        <v>6286000</v>
      </c>
      <c r="H1032" s="8">
        <f t="shared" si="97"/>
        <v>-7.9374275782155319</v>
      </c>
      <c r="I1032">
        <f t="shared" si="98"/>
        <v>33.847999999999999</v>
      </c>
      <c r="J1032" s="6" cm="1">
        <f t="array" ref="J1032">_xlfn.STDEV.S(IF($A:$A=A1032, $F:$F))</f>
        <v>1.2234255187791374</v>
      </c>
      <c r="P1032" s="8">
        <f t="shared" si="99"/>
        <v>-7.9374275782155319</v>
      </c>
      <c r="Q1032" s="8">
        <f t="shared" si="100"/>
        <v>-7.9374275782155319</v>
      </c>
      <c r="R1032" s="8">
        <f t="shared" si="101"/>
        <v>-7.9374275782155319</v>
      </c>
    </row>
    <row r="1033" spans="1:18" x14ac:dyDescent="0.25">
      <c r="A1033" s="7">
        <f t="shared" si="96"/>
        <v>207</v>
      </c>
      <c r="B1033" s="2">
        <v>44427</v>
      </c>
      <c r="C1033" s="3">
        <v>34.520000000000003</v>
      </c>
      <c r="D1033" s="3">
        <v>35.119999999999997</v>
      </c>
      <c r="E1033" s="3">
        <v>34.19</v>
      </c>
      <c r="F1033" s="3">
        <v>34.950000000000003</v>
      </c>
      <c r="G1033" s="3">
        <v>4872400</v>
      </c>
      <c r="H1033" s="8">
        <f t="shared" si="97"/>
        <v>-7.9374275782155319</v>
      </c>
      <c r="I1033">
        <f t="shared" si="98"/>
        <v>33.847999999999999</v>
      </c>
      <c r="J1033" s="6" cm="1">
        <f t="array" ref="J1033">_xlfn.STDEV.S(IF($A:$A=A1033, $F:$F))</f>
        <v>1.2234255187791374</v>
      </c>
      <c r="P1033" s="8">
        <f t="shared" si="99"/>
        <v>-7.9374275782155319</v>
      </c>
      <c r="Q1033" s="8">
        <f t="shared" si="100"/>
        <v>-7.9374275782155319</v>
      </c>
      <c r="R1033" s="8">
        <f t="shared" si="101"/>
        <v>-7.9374275782155319</v>
      </c>
    </row>
    <row r="1034" spans="1:18" x14ac:dyDescent="0.25">
      <c r="A1034" s="7">
        <f t="shared" si="96"/>
        <v>207</v>
      </c>
      <c r="B1034" s="2">
        <v>44428</v>
      </c>
      <c r="C1034" s="3">
        <v>34.630000000000003</v>
      </c>
      <c r="D1034" s="3">
        <v>35.17</v>
      </c>
      <c r="E1034" s="3">
        <v>32.880000000000003</v>
      </c>
      <c r="F1034" s="3">
        <v>33.97</v>
      </c>
      <c r="G1034" s="3">
        <v>11686500</v>
      </c>
      <c r="H1034" s="8">
        <f t="shared" si="97"/>
        <v>-7.9374275782155319</v>
      </c>
      <c r="I1034">
        <f t="shared" si="98"/>
        <v>33.847999999999999</v>
      </c>
      <c r="J1034" s="6" cm="1">
        <f t="array" ref="J1034">_xlfn.STDEV.S(IF($A:$A=A1034, $F:$F))</f>
        <v>1.2234255187791374</v>
      </c>
      <c r="P1034" s="8">
        <f t="shared" si="99"/>
        <v>-7.9374275782155319</v>
      </c>
      <c r="Q1034" s="8">
        <f t="shared" si="100"/>
        <v>-7.9374275782155319</v>
      </c>
      <c r="R1034" s="8">
        <f t="shared" si="101"/>
        <v>-7.9374275782155319</v>
      </c>
    </row>
    <row r="1035" spans="1:18" x14ac:dyDescent="0.25">
      <c r="A1035" s="7">
        <f t="shared" si="96"/>
        <v>207</v>
      </c>
      <c r="B1035" s="2">
        <v>44431</v>
      </c>
      <c r="C1035" s="3">
        <v>33.97</v>
      </c>
      <c r="D1035" s="3">
        <v>34.950000000000003</v>
      </c>
      <c r="E1035" s="3">
        <v>33.15</v>
      </c>
      <c r="F1035" s="3">
        <v>34.020000000000003</v>
      </c>
      <c r="G1035" s="3">
        <v>6703800</v>
      </c>
      <c r="H1035" s="8">
        <f t="shared" si="97"/>
        <v>-7.9374275782155319</v>
      </c>
      <c r="I1035">
        <f t="shared" si="98"/>
        <v>33.847999999999999</v>
      </c>
      <c r="J1035" s="6" cm="1">
        <f t="array" ref="J1035">_xlfn.STDEV.S(IF($A:$A=A1035, $F:$F))</f>
        <v>1.2234255187791374</v>
      </c>
      <c r="P1035" s="8">
        <f t="shared" si="99"/>
        <v>-7.9374275782155319</v>
      </c>
      <c r="Q1035" s="8">
        <f t="shared" si="100"/>
        <v>-7.9374275782155319</v>
      </c>
      <c r="R1035" s="8">
        <f t="shared" si="101"/>
        <v>-7.9374275782155319</v>
      </c>
    </row>
    <row r="1036" spans="1:18" x14ac:dyDescent="0.25">
      <c r="A1036" s="7">
        <f t="shared" si="96"/>
        <v>207</v>
      </c>
      <c r="B1036" s="2">
        <v>44432</v>
      </c>
      <c r="C1036" s="3">
        <v>34.020000000000003</v>
      </c>
      <c r="D1036" s="3">
        <v>34.19</v>
      </c>
      <c r="E1036" s="3">
        <v>31.73</v>
      </c>
      <c r="F1036" s="3">
        <v>31.78</v>
      </c>
      <c r="G1036" s="3">
        <v>8679400</v>
      </c>
      <c r="H1036" s="8">
        <f t="shared" si="97"/>
        <v>-7.9374275782155319</v>
      </c>
      <c r="I1036">
        <f t="shared" si="98"/>
        <v>33.847999999999999</v>
      </c>
      <c r="J1036" s="6" cm="1">
        <f t="array" ref="J1036">_xlfn.STDEV.S(IF($A:$A=A1036, $F:$F))</f>
        <v>1.2234255187791374</v>
      </c>
      <c r="P1036" s="8">
        <f t="shared" si="99"/>
        <v>-7.9374275782155319</v>
      </c>
      <c r="Q1036" s="8">
        <f t="shared" si="100"/>
        <v>-7.9374275782155319</v>
      </c>
      <c r="R1036" s="8">
        <f t="shared" si="101"/>
        <v>-7.9374275782155319</v>
      </c>
    </row>
    <row r="1037" spans="1:18" x14ac:dyDescent="0.25">
      <c r="A1037" s="7">
        <f t="shared" si="96"/>
        <v>208</v>
      </c>
      <c r="B1037" s="2">
        <v>44433</v>
      </c>
      <c r="C1037" s="3">
        <v>31.84</v>
      </c>
      <c r="D1037" s="3">
        <v>32.82</v>
      </c>
      <c r="E1037" s="3">
        <v>31.62</v>
      </c>
      <c r="F1037" s="3">
        <v>32.71</v>
      </c>
      <c r="G1037" s="3">
        <v>3708300</v>
      </c>
      <c r="H1037" s="8">
        <f t="shared" si="97"/>
        <v>0.67257719351879808</v>
      </c>
      <c r="I1037">
        <f t="shared" si="98"/>
        <v>32.742000000000004</v>
      </c>
      <c r="J1037" s="6" cm="1">
        <f t="array" ref="J1037">_xlfn.STDEV.S(IF($A:$A=A1037, $F:$F))</f>
        <v>0.45795196254629322</v>
      </c>
      <c r="P1037" s="8">
        <f t="shared" si="99"/>
        <v>0.67257719351879808</v>
      </c>
      <c r="Q1037" s="8">
        <f t="shared" si="100"/>
        <v>0.67257719351879808</v>
      </c>
      <c r="R1037" s="8">
        <f t="shared" si="101"/>
        <v>0.67257719351879808</v>
      </c>
    </row>
    <row r="1038" spans="1:18" x14ac:dyDescent="0.25">
      <c r="A1038" s="7">
        <f t="shared" si="96"/>
        <v>208</v>
      </c>
      <c r="B1038" s="2">
        <v>44434</v>
      </c>
      <c r="C1038" s="3">
        <v>32.71</v>
      </c>
      <c r="D1038" s="3">
        <v>33.04</v>
      </c>
      <c r="E1038" s="3">
        <v>31.73</v>
      </c>
      <c r="F1038" s="3">
        <v>32.049999999999997</v>
      </c>
      <c r="G1038" s="3">
        <v>3982000</v>
      </c>
      <c r="H1038" s="8">
        <f t="shared" si="97"/>
        <v>0.67257719351879808</v>
      </c>
      <c r="I1038">
        <f t="shared" si="98"/>
        <v>32.742000000000004</v>
      </c>
      <c r="J1038" s="6" cm="1">
        <f t="array" ref="J1038">_xlfn.STDEV.S(IF($A:$A=A1038, $F:$F))</f>
        <v>0.45795196254629322</v>
      </c>
      <c r="P1038" s="8">
        <f t="shared" si="99"/>
        <v>0.67257719351879808</v>
      </c>
      <c r="Q1038" s="8">
        <f t="shared" si="100"/>
        <v>0.67257719351879808</v>
      </c>
      <c r="R1038" s="8">
        <f t="shared" si="101"/>
        <v>0.67257719351879808</v>
      </c>
    </row>
    <row r="1039" spans="1:18" x14ac:dyDescent="0.25">
      <c r="A1039" s="7">
        <f t="shared" si="96"/>
        <v>208</v>
      </c>
      <c r="B1039" s="2">
        <v>44435</v>
      </c>
      <c r="C1039" s="3">
        <v>31.67</v>
      </c>
      <c r="D1039" s="3">
        <v>32.770000000000003</v>
      </c>
      <c r="E1039" s="3">
        <v>31.34</v>
      </c>
      <c r="F1039" s="3">
        <v>32.71</v>
      </c>
      <c r="G1039" s="3">
        <v>4332900</v>
      </c>
      <c r="H1039" s="8">
        <f t="shared" si="97"/>
        <v>0.67257719351879808</v>
      </c>
      <c r="I1039">
        <f t="shared" si="98"/>
        <v>32.742000000000004</v>
      </c>
      <c r="J1039" s="6" cm="1">
        <f t="array" ref="J1039">_xlfn.STDEV.S(IF($A:$A=A1039, $F:$F))</f>
        <v>0.45795196254629322</v>
      </c>
      <c r="P1039" s="8">
        <f t="shared" si="99"/>
        <v>0.67257719351879808</v>
      </c>
      <c r="Q1039" s="8">
        <f t="shared" si="100"/>
        <v>0.67257719351879808</v>
      </c>
      <c r="R1039" s="8">
        <f t="shared" si="101"/>
        <v>0.67257719351879808</v>
      </c>
    </row>
    <row r="1040" spans="1:18" x14ac:dyDescent="0.25">
      <c r="A1040" s="7">
        <f t="shared" si="96"/>
        <v>208</v>
      </c>
      <c r="B1040" s="2">
        <v>44438</v>
      </c>
      <c r="C1040" s="3">
        <v>33.369999999999997</v>
      </c>
      <c r="D1040" s="3">
        <v>33.369999999999997</v>
      </c>
      <c r="E1040" s="3">
        <v>32.549999999999997</v>
      </c>
      <c r="F1040" s="3">
        <v>33.31</v>
      </c>
      <c r="G1040" s="3">
        <v>5027400</v>
      </c>
      <c r="H1040" s="8">
        <f t="shared" si="97"/>
        <v>0.67257719351879808</v>
      </c>
      <c r="I1040">
        <f t="shared" si="98"/>
        <v>32.742000000000004</v>
      </c>
      <c r="J1040" s="6" cm="1">
        <f t="array" ref="J1040">_xlfn.STDEV.S(IF($A:$A=A1040, $F:$F))</f>
        <v>0.45795196254629322</v>
      </c>
      <c r="P1040" s="8">
        <f t="shared" si="99"/>
        <v>0.67257719351879808</v>
      </c>
      <c r="Q1040" s="8">
        <f t="shared" si="100"/>
        <v>0.67257719351879808</v>
      </c>
      <c r="R1040" s="8">
        <f t="shared" si="101"/>
        <v>0.67257719351879808</v>
      </c>
    </row>
    <row r="1041" spans="1:18" x14ac:dyDescent="0.25">
      <c r="A1041" s="7">
        <f t="shared" si="96"/>
        <v>208</v>
      </c>
      <c r="B1041" s="2">
        <v>44439</v>
      </c>
      <c r="C1041" s="3">
        <v>33.53</v>
      </c>
      <c r="D1041" s="3">
        <v>33.64</v>
      </c>
      <c r="E1041" s="3">
        <v>32.549999999999997</v>
      </c>
      <c r="F1041" s="3">
        <v>32.93</v>
      </c>
      <c r="G1041" s="3">
        <v>5765000</v>
      </c>
      <c r="H1041" s="8">
        <f t="shared" si="97"/>
        <v>0.67257719351879808</v>
      </c>
      <c r="I1041">
        <f t="shared" si="98"/>
        <v>32.742000000000004</v>
      </c>
      <c r="J1041" s="6" cm="1">
        <f t="array" ref="J1041">_xlfn.STDEV.S(IF($A:$A=A1041, $F:$F))</f>
        <v>0.45795196254629322</v>
      </c>
      <c r="P1041" s="8">
        <f t="shared" si="99"/>
        <v>0.67257719351879808</v>
      </c>
      <c r="Q1041" s="8">
        <f t="shared" si="100"/>
        <v>0.67257719351879808</v>
      </c>
      <c r="R1041" s="8">
        <f t="shared" si="101"/>
        <v>0.67257719351879808</v>
      </c>
    </row>
    <row r="1042" spans="1:18" x14ac:dyDescent="0.25">
      <c r="A1042" s="7">
        <f t="shared" si="96"/>
        <v>209</v>
      </c>
      <c r="B1042" s="2">
        <v>44440</v>
      </c>
      <c r="C1042" s="3">
        <v>32.82</v>
      </c>
      <c r="D1042" s="3">
        <v>33.26</v>
      </c>
      <c r="E1042" s="3">
        <v>32.380000000000003</v>
      </c>
      <c r="F1042" s="3">
        <v>32.93</v>
      </c>
      <c r="G1042" s="3">
        <v>5253700</v>
      </c>
      <c r="H1042" s="8">
        <f t="shared" si="97"/>
        <v>5.4661402976009636</v>
      </c>
      <c r="I1042">
        <f t="shared" si="98"/>
        <v>34.186</v>
      </c>
      <c r="J1042" s="6" cm="1">
        <f t="array" ref="J1042">_xlfn.STDEV.S(IF($A:$A=A1042, $F:$F))</f>
        <v>0.9245972095999424</v>
      </c>
      <c r="P1042" s="8">
        <f t="shared" si="99"/>
        <v>5.4661402976009636</v>
      </c>
      <c r="Q1042" s="8">
        <f t="shared" si="100"/>
        <v>5.4661402976009636</v>
      </c>
      <c r="R1042" s="8">
        <f t="shared" si="101"/>
        <v>5.4661402976009636</v>
      </c>
    </row>
    <row r="1043" spans="1:18" x14ac:dyDescent="0.25">
      <c r="A1043" s="7">
        <f t="shared" si="96"/>
        <v>209</v>
      </c>
      <c r="B1043" s="2">
        <v>44445</v>
      </c>
      <c r="C1043" s="3">
        <v>33.369999999999997</v>
      </c>
      <c r="D1043" s="3">
        <v>33.590000000000003</v>
      </c>
      <c r="E1043" s="3">
        <v>32.71</v>
      </c>
      <c r="F1043" s="3">
        <v>33.53</v>
      </c>
      <c r="G1043" s="3">
        <v>6138100</v>
      </c>
      <c r="H1043" s="8">
        <f t="shared" si="97"/>
        <v>5.4661402976009636</v>
      </c>
      <c r="I1043">
        <f t="shared" si="98"/>
        <v>34.186</v>
      </c>
      <c r="J1043" s="6" cm="1">
        <f t="array" ref="J1043">_xlfn.STDEV.S(IF($A:$A=A1043, $F:$F))</f>
        <v>0.9245972095999424</v>
      </c>
      <c r="P1043" s="8">
        <f t="shared" si="99"/>
        <v>5.4661402976009636</v>
      </c>
      <c r="Q1043" s="8">
        <f t="shared" si="100"/>
        <v>5.4661402976009636</v>
      </c>
      <c r="R1043" s="8">
        <f t="shared" si="101"/>
        <v>5.4661402976009636</v>
      </c>
    </row>
    <row r="1044" spans="1:18" x14ac:dyDescent="0.25">
      <c r="A1044" s="7">
        <f t="shared" si="96"/>
        <v>209</v>
      </c>
      <c r="B1044" s="2">
        <v>44446</v>
      </c>
      <c r="C1044" s="3">
        <v>33.64</v>
      </c>
      <c r="D1044" s="3">
        <v>35.83</v>
      </c>
      <c r="E1044" s="3">
        <v>33.64</v>
      </c>
      <c r="F1044" s="3">
        <v>35.17</v>
      </c>
      <c r="G1044" s="3">
        <v>9923700</v>
      </c>
      <c r="H1044" s="8">
        <f t="shared" si="97"/>
        <v>5.4661402976009636</v>
      </c>
      <c r="I1044">
        <f t="shared" si="98"/>
        <v>34.186</v>
      </c>
      <c r="J1044" s="6" cm="1">
        <f t="array" ref="J1044">_xlfn.STDEV.S(IF($A:$A=A1044, $F:$F))</f>
        <v>0.9245972095999424</v>
      </c>
      <c r="P1044" s="8">
        <f t="shared" si="99"/>
        <v>5.4661402976009636</v>
      </c>
      <c r="Q1044" s="8">
        <f t="shared" si="100"/>
        <v>5.4661402976009636</v>
      </c>
      <c r="R1044" s="8">
        <f t="shared" si="101"/>
        <v>5.4661402976009636</v>
      </c>
    </row>
    <row r="1045" spans="1:18" x14ac:dyDescent="0.25">
      <c r="A1045" s="7">
        <f t="shared" si="96"/>
        <v>209</v>
      </c>
      <c r="B1045" s="2">
        <v>44447</v>
      </c>
      <c r="C1045" s="3">
        <v>35.56</v>
      </c>
      <c r="D1045" s="3">
        <v>35.56</v>
      </c>
      <c r="E1045" s="3">
        <v>34.08</v>
      </c>
      <c r="F1045" s="3">
        <v>34.57</v>
      </c>
      <c r="G1045" s="3">
        <v>5975100</v>
      </c>
      <c r="H1045" s="8">
        <f t="shared" si="97"/>
        <v>5.4661402976009636</v>
      </c>
      <c r="I1045">
        <f t="shared" si="98"/>
        <v>34.186</v>
      </c>
      <c r="J1045" s="6" cm="1">
        <f t="array" ref="J1045">_xlfn.STDEV.S(IF($A:$A=A1045, $F:$F))</f>
        <v>0.9245972095999424</v>
      </c>
      <c r="P1045" s="8">
        <f t="shared" si="99"/>
        <v>5.4661402976009636</v>
      </c>
      <c r="Q1045" s="8">
        <f t="shared" si="100"/>
        <v>5.4661402976009636</v>
      </c>
      <c r="R1045" s="8">
        <f t="shared" si="101"/>
        <v>5.4661402976009636</v>
      </c>
    </row>
    <row r="1046" spans="1:18" x14ac:dyDescent="0.25">
      <c r="A1046" s="7">
        <f t="shared" si="96"/>
        <v>209</v>
      </c>
      <c r="B1046" s="2">
        <v>44448</v>
      </c>
      <c r="C1046" s="3">
        <v>34.46</v>
      </c>
      <c r="D1046" s="3">
        <v>34.729999999999997</v>
      </c>
      <c r="E1046" s="3">
        <v>33.97</v>
      </c>
      <c r="F1046" s="3">
        <v>34.729999999999997</v>
      </c>
      <c r="G1046" s="3">
        <v>4864700</v>
      </c>
      <c r="H1046" s="8">
        <f t="shared" si="97"/>
        <v>5.4661402976009636</v>
      </c>
      <c r="I1046">
        <f t="shared" si="98"/>
        <v>34.186</v>
      </c>
      <c r="J1046" s="6" cm="1">
        <f t="array" ref="J1046">_xlfn.STDEV.S(IF($A:$A=A1046, $F:$F))</f>
        <v>0.9245972095999424</v>
      </c>
      <c r="P1046" s="8">
        <f t="shared" si="99"/>
        <v>5.4661402976009636</v>
      </c>
      <c r="Q1046" s="8">
        <f t="shared" si="100"/>
        <v>5.4661402976009636</v>
      </c>
      <c r="R1046" s="8">
        <f t="shared" si="101"/>
        <v>5.4661402976009636</v>
      </c>
    </row>
    <row r="1047" spans="1:18" x14ac:dyDescent="0.25">
      <c r="A1047" s="7">
        <f t="shared" si="96"/>
        <v>210</v>
      </c>
      <c r="B1047" s="2">
        <v>44449</v>
      </c>
      <c r="C1047" s="3">
        <v>34.729999999999997</v>
      </c>
      <c r="D1047" s="3">
        <v>35.72</v>
      </c>
      <c r="E1047" s="3">
        <v>34.68</v>
      </c>
      <c r="F1047" s="3">
        <v>35.01</v>
      </c>
      <c r="G1047" s="3">
        <v>4718900</v>
      </c>
      <c r="H1047" s="8">
        <f t="shared" si="97"/>
        <v>-1.8851756640959629</v>
      </c>
      <c r="I1047">
        <f t="shared" si="98"/>
        <v>34.515999999999998</v>
      </c>
      <c r="J1047" s="6" cm="1">
        <f t="array" ref="J1047">_xlfn.STDEV.S(IF($A:$A=A1047, $F:$F))</f>
        <v>0.36370317568038829</v>
      </c>
      <c r="P1047" s="8">
        <f t="shared" si="99"/>
        <v>-1.8851756640959629</v>
      </c>
      <c r="Q1047" s="8">
        <f t="shared" si="100"/>
        <v>-1.8851756640959629</v>
      </c>
      <c r="R1047" s="8">
        <f t="shared" si="101"/>
        <v>-1.8851756640959629</v>
      </c>
    </row>
    <row r="1048" spans="1:18" x14ac:dyDescent="0.25">
      <c r="A1048" s="7">
        <f t="shared" si="96"/>
        <v>210</v>
      </c>
      <c r="B1048" s="2">
        <v>44452</v>
      </c>
      <c r="C1048" s="3">
        <v>34.79</v>
      </c>
      <c r="D1048" s="3">
        <v>34.950000000000003</v>
      </c>
      <c r="E1048" s="3">
        <v>34.19</v>
      </c>
      <c r="F1048" s="3">
        <v>34.79</v>
      </c>
      <c r="G1048" s="3">
        <v>4723600</v>
      </c>
      <c r="H1048" s="8">
        <f t="shared" si="97"/>
        <v>-1.8851756640959629</v>
      </c>
      <c r="I1048">
        <f t="shared" si="98"/>
        <v>34.515999999999998</v>
      </c>
      <c r="J1048" s="6" cm="1">
        <f t="array" ref="J1048">_xlfn.STDEV.S(IF($A:$A=A1048, $F:$F))</f>
        <v>0.36370317568038829</v>
      </c>
      <c r="P1048" s="8">
        <f t="shared" si="99"/>
        <v>-1.8851756640959629</v>
      </c>
      <c r="Q1048" s="8">
        <f t="shared" si="100"/>
        <v>-1.8851756640959629</v>
      </c>
      <c r="R1048" s="8">
        <f t="shared" si="101"/>
        <v>-1.8851756640959629</v>
      </c>
    </row>
    <row r="1049" spans="1:18" x14ac:dyDescent="0.25">
      <c r="A1049" s="7">
        <f t="shared" si="96"/>
        <v>210</v>
      </c>
      <c r="B1049" s="2">
        <v>44453</v>
      </c>
      <c r="C1049" s="3">
        <v>34.729999999999997</v>
      </c>
      <c r="D1049" s="3">
        <v>34.729999999999997</v>
      </c>
      <c r="E1049" s="3">
        <v>34.19</v>
      </c>
      <c r="F1049" s="3">
        <v>34.24</v>
      </c>
      <c r="G1049" s="3">
        <v>2986700</v>
      </c>
      <c r="H1049" s="8">
        <f t="shared" si="97"/>
        <v>-1.8851756640959629</v>
      </c>
      <c r="I1049">
        <f t="shared" si="98"/>
        <v>34.515999999999998</v>
      </c>
      <c r="J1049" s="6" cm="1">
        <f t="array" ref="J1049">_xlfn.STDEV.S(IF($A:$A=A1049, $F:$F))</f>
        <v>0.36370317568038829</v>
      </c>
      <c r="P1049" s="8">
        <f t="shared" si="99"/>
        <v>-1.8851756640959629</v>
      </c>
      <c r="Q1049" s="8">
        <f t="shared" si="100"/>
        <v>-1.8851756640959629</v>
      </c>
      <c r="R1049" s="8">
        <f t="shared" si="101"/>
        <v>-1.8851756640959629</v>
      </c>
    </row>
    <row r="1050" spans="1:18" x14ac:dyDescent="0.25">
      <c r="A1050" s="7">
        <f t="shared" si="96"/>
        <v>210</v>
      </c>
      <c r="B1050" s="2">
        <v>44454</v>
      </c>
      <c r="C1050" s="3">
        <v>33.909999999999997</v>
      </c>
      <c r="D1050" s="3">
        <v>34.68</v>
      </c>
      <c r="E1050" s="3">
        <v>33.53</v>
      </c>
      <c r="F1050" s="3">
        <v>34.19</v>
      </c>
      <c r="G1050" s="3">
        <v>2861600</v>
      </c>
      <c r="H1050" s="8">
        <f t="shared" si="97"/>
        <v>-1.8851756640959629</v>
      </c>
      <c r="I1050">
        <f t="shared" si="98"/>
        <v>34.515999999999998</v>
      </c>
      <c r="J1050" s="6" cm="1">
        <f t="array" ref="J1050">_xlfn.STDEV.S(IF($A:$A=A1050, $F:$F))</f>
        <v>0.36370317568038829</v>
      </c>
      <c r="P1050" s="8">
        <f t="shared" si="99"/>
        <v>-1.8851756640959629</v>
      </c>
      <c r="Q1050" s="8">
        <f t="shared" si="100"/>
        <v>-1.8851756640959629</v>
      </c>
      <c r="R1050" s="8">
        <f t="shared" si="101"/>
        <v>-1.8851756640959629</v>
      </c>
    </row>
    <row r="1051" spans="1:18" x14ac:dyDescent="0.25">
      <c r="A1051" s="7">
        <f t="shared" si="96"/>
        <v>210</v>
      </c>
      <c r="B1051" s="2">
        <v>44455</v>
      </c>
      <c r="C1051" s="3">
        <v>34.19</v>
      </c>
      <c r="D1051" s="3">
        <v>34.68</v>
      </c>
      <c r="E1051" s="3">
        <v>34.130000000000003</v>
      </c>
      <c r="F1051" s="3">
        <v>34.35</v>
      </c>
      <c r="G1051" s="3">
        <v>2269600</v>
      </c>
      <c r="H1051" s="8">
        <f t="shared" si="97"/>
        <v>-1.8851756640959629</v>
      </c>
      <c r="I1051">
        <f t="shared" si="98"/>
        <v>34.515999999999998</v>
      </c>
      <c r="J1051" s="6" cm="1">
        <f t="array" ref="J1051">_xlfn.STDEV.S(IF($A:$A=A1051, $F:$F))</f>
        <v>0.36370317568038829</v>
      </c>
      <c r="P1051" s="8">
        <f t="shared" si="99"/>
        <v>-1.8851756640959629</v>
      </c>
      <c r="Q1051" s="8">
        <f t="shared" si="100"/>
        <v>-1.8851756640959629</v>
      </c>
      <c r="R1051" s="8">
        <f t="shared" si="101"/>
        <v>-1.8851756640959629</v>
      </c>
    </row>
    <row r="1052" spans="1:18" x14ac:dyDescent="0.25">
      <c r="A1052" s="7">
        <f t="shared" si="96"/>
        <v>211</v>
      </c>
      <c r="B1052" s="2">
        <v>44456</v>
      </c>
      <c r="C1052" s="3">
        <v>34.409999999999997</v>
      </c>
      <c r="D1052" s="3">
        <v>36.1</v>
      </c>
      <c r="E1052" s="3">
        <v>34.299999999999997</v>
      </c>
      <c r="F1052" s="3">
        <v>34.729999999999997</v>
      </c>
      <c r="G1052" s="3">
        <v>11472700</v>
      </c>
      <c r="H1052" s="8">
        <f t="shared" si="97"/>
        <v>-0.46069680391591306</v>
      </c>
      <c r="I1052">
        <f t="shared" si="98"/>
        <v>34.775999999999996</v>
      </c>
      <c r="J1052" s="6" cm="1">
        <f t="array" ref="J1052">_xlfn.STDEV.S(IF($A:$A=A1052, $F:$F))</f>
        <v>0.18609137540466641</v>
      </c>
      <c r="P1052" s="8">
        <f t="shared" si="99"/>
        <v>-0.46069680391591306</v>
      </c>
      <c r="Q1052" s="8">
        <f t="shared" si="100"/>
        <v>-0.46069680391591306</v>
      </c>
      <c r="R1052" s="8">
        <f t="shared" si="101"/>
        <v>-0.46069680391591306</v>
      </c>
    </row>
    <row r="1053" spans="1:18" x14ac:dyDescent="0.25">
      <c r="A1053" s="7">
        <f t="shared" si="96"/>
        <v>211</v>
      </c>
      <c r="B1053" s="2">
        <v>44459</v>
      </c>
      <c r="C1053" s="3">
        <v>35.72</v>
      </c>
      <c r="D1053" s="3">
        <v>35.72</v>
      </c>
      <c r="E1053" s="3">
        <v>34.840000000000003</v>
      </c>
      <c r="F1053" s="3">
        <v>35.06</v>
      </c>
      <c r="G1053" s="3">
        <v>5330600</v>
      </c>
      <c r="H1053" s="8">
        <f t="shared" si="97"/>
        <v>-0.46069680391591306</v>
      </c>
      <c r="I1053">
        <f t="shared" si="98"/>
        <v>34.775999999999996</v>
      </c>
      <c r="J1053" s="6" cm="1">
        <f t="array" ref="J1053">_xlfn.STDEV.S(IF($A:$A=A1053, $F:$F))</f>
        <v>0.18609137540466641</v>
      </c>
      <c r="P1053" s="8">
        <f t="shared" si="99"/>
        <v>-0.46069680391591306</v>
      </c>
      <c r="Q1053" s="8">
        <f t="shared" si="100"/>
        <v>-0.46069680391591306</v>
      </c>
      <c r="R1053" s="8">
        <f t="shared" si="101"/>
        <v>-0.46069680391591306</v>
      </c>
    </row>
    <row r="1054" spans="1:18" x14ac:dyDescent="0.25">
      <c r="A1054" s="7">
        <f t="shared" si="96"/>
        <v>211</v>
      </c>
      <c r="B1054" s="2">
        <v>44460</v>
      </c>
      <c r="C1054" s="3">
        <v>34.520000000000003</v>
      </c>
      <c r="D1054" s="3">
        <v>35.06</v>
      </c>
      <c r="E1054" s="3">
        <v>34.08</v>
      </c>
      <c r="F1054" s="3">
        <v>34.840000000000003</v>
      </c>
      <c r="G1054" s="3">
        <v>4799100</v>
      </c>
      <c r="H1054" s="8">
        <f t="shared" si="97"/>
        <v>-0.46069680391591306</v>
      </c>
      <c r="I1054">
        <f t="shared" si="98"/>
        <v>34.775999999999996</v>
      </c>
      <c r="J1054" s="6" cm="1">
        <f t="array" ref="J1054">_xlfn.STDEV.S(IF($A:$A=A1054, $F:$F))</f>
        <v>0.18609137540466641</v>
      </c>
      <c r="P1054" s="8">
        <f t="shared" si="99"/>
        <v>-0.46069680391591306</v>
      </c>
      <c r="Q1054" s="8">
        <f t="shared" si="100"/>
        <v>-0.46069680391591306</v>
      </c>
      <c r="R1054" s="8">
        <f t="shared" si="101"/>
        <v>-0.46069680391591306</v>
      </c>
    </row>
    <row r="1055" spans="1:18" x14ac:dyDescent="0.25">
      <c r="A1055" s="7">
        <f t="shared" si="96"/>
        <v>211</v>
      </c>
      <c r="B1055" s="2">
        <v>44461</v>
      </c>
      <c r="C1055" s="3">
        <v>34.630000000000003</v>
      </c>
      <c r="D1055" s="3">
        <v>34.79</v>
      </c>
      <c r="E1055" s="3">
        <v>34.24</v>
      </c>
      <c r="F1055" s="3">
        <v>34.68</v>
      </c>
      <c r="G1055" s="3">
        <v>3952200</v>
      </c>
      <c r="H1055" s="8">
        <f t="shared" si="97"/>
        <v>-0.46069680391591306</v>
      </c>
      <c r="I1055">
        <f t="shared" si="98"/>
        <v>34.775999999999996</v>
      </c>
      <c r="J1055" s="6" cm="1">
        <f t="array" ref="J1055">_xlfn.STDEV.S(IF($A:$A=A1055, $F:$F))</f>
        <v>0.18609137540466641</v>
      </c>
      <c r="P1055" s="8">
        <f t="shared" si="99"/>
        <v>-0.46069680391591306</v>
      </c>
      <c r="Q1055" s="8">
        <f t="shared" si="100"/>
        <v>-0.46069680391591306</v>
      </c>
      <c r="R1055" s="8">
        <f t="shared" si="101"/>
        <v>-0.46069680391591306</v>
      </c>
    </row>
    <row r="1056" spans="1:18" x14ac:dyDescent="0.25">
      <c r="A1056" s="7">
        <f t="shared" si="96"/>
        <v>211</v>
      </c>
      <c r="B1056" s="2">
        <v>44462</v>
      </c>
      <c r="C1056" s="3">
        <v>35.01</v>
      </c>
      <c r="D1056" s="3">
        <v>35.229999999999997</v>
      </c>
      <c r="E1056" s="3">
        <v>34.57</v>
      </c>
      <c r="F1056" s="3">
        <v>34.57</v>
      </c>
      <c r="G1056" s="3">
        <v>3882400</v>
      </c>
      <c r="H1056" s="8">
        <f t="shared" si="97"/>
        <v>-0.46069680391591306</v>
      </c>
      <c r="I1056">
        <f t="shared" si="98"/>
        <v>34.775999999999996</v>
      </c>
      <c r="J1056" s="6" cm="1">
        <f t="array" ref="J1056">_xlfn.STDEV.S(IF($A:$A=A1056, $F:$F))</f>
        <v>0.18609137540466641</v>
      </c>
      <c r="P1056" s="8">
        <f t="shared" si="99"/>
        <v>-0.46069680391591306</v>
      </c>
      <c r="Q1056" s="8">
        <f t="shared" si="100"/>
        <v>-0.46069680391591306</v>
      </c>
      <c r="R1056" s="8">
        <f t="shared" si="101"/>
        <v>-0.46069680391591306</v>
      </c>
    </row>
    <row r="1057" spans="1:18" x14ac:dyDescent="0.25">
      <c r="A1057" s="7">
        <f t="shared" si="96"/>
        <v>212</v>
      </c>
      <c r="B1057" s="2">
        <v>44463</v>
      </c>
      <c r="C1057" s="3">
        <v>34.630000000000003</v>
      </c>
      <c r="D1057" s="3">
        <v>34.729999999999997</v>
      </c>
      <c r="E1057" s="3">
        <v>34.19</v>
      </c>
      <c r="F1057" s="3">
        <v>34.19</v>
      </c>
      <c r="G1057" s="3">
        <v>2456700</v>
      </c>
      <c r="H1057" s="8">
        <f t="shared" si="97"/>
        <v>-4.7967241883591711</v>
      </c>
      <c r="I1057">
        <f t="shared" si="98"/>
        <v>32.886000000000003</v>
      </c>
      <c r="J1057" s="6" cm="1">
        <f t="array" ref="J1057">_xlfn.STDEV.S(IF($A:$A=A1057, $F:$F))</f>
        <v>0.82488180971579139</v>
      </c>
      <c r="P1057" s="8">
        <f t="shared" si="99"/>
        <v>-4.7967241883591711</v>
      </c>
      <c r="Q1057" s="8">
        <f t="shared" si="100"/>
        <v>-4.7967241883591711</v>
      </c>
      <c r="R1057" s="8">
        <f t="shared" si="101"/>
        <v>-4.7967241883591711</v>
      </c>
    </row>
    <row r="1058" spans="1:18" x14ac:dyDescent="0.25">
      <c r="A1058" s="7">
        <f t="shared" si="96"/>
        <v>212</v>
      </c>
      <c r="B1058" s="2">
        <v>44466</v>
      </c>
      <c r="C1058" s="3">
        <v>34.19</v>
      </c>
      <c r="D1058" s="3">
        <v>34.409999999999997</v>
      </c>
      <c r="E1058" s="3">
        <v>32</v>
      </c>
      <c r="F1058" s="3">
        <v>32</v>
      </c>
      <c r="G1058" s="3">
        <v>6777900</v>
      </c>
      <c r="H1058" s="8">
        <f t="shared" si="97"/>
        <v>-4.7967241883591711</v>
      </c>
      <c r="I1058">
        <f t="shared" si="98"/>
        <v>32.886000000000003</v>
      </c>
      <c r="J1058" s="6" cm="1">
        <f t="array" ref="J1058">_xlfn.STDEV.S(IF($A:$A=A1058, $F:$F))</f>
        <v>0.82488180971579139</v>
      </c>
      <c r="P1058" s="8">
        <f t="shared" si="99"/>
        <v>-4.7967241883591711</v>
      </c>
      <c r="Q1058" s="8">
        <f t="shared" si="100"/>
        <v>-4.7967241883591711</v>
      </c>
      <c r="R1058" s="8">
        <f t="shared" si="101"/>
        <v>-4.7967241883591711</v>
      </c>
    </row>
    <row r="1059" spans="1:18" x14ac:dyDescent="0.25">
      <c r="A1059" s="7">
        <f t="shared" si="96"/>
        <v>212</v>
      </c>
      <c r="B1059" s="2">
        <v>44467</v>
      </c>
      <c r="C1059" s="3">
        <v>31.84</v>
      </c>
      <c r="D1059" s="3">
        <v>33.090000000000003</v>
      </c>
      <c r="E1059" s="3">
        <v>31.78</v>
      </c>
      <c r="F1059" s="3">
        <v>33.090000000000003</v>
      </c>
      <c r="G1059" s="3">
        <v>3703000</v>
      </c>
      <c r="H1059" s="8">
        <f t="shared" si="97"/>
        <v>-4.7967241883591711</v>
      </c>
      <c r="I1059">
        <f t="shared" si="98"/>
        <v>32.886000000000003</v>
      </c>
      <c r="J1059" s="6" cm="1">
        <f t="array" ref="J1059">_xlfn.STDEV.S(IF($A:$A=A1059, $F:$F))</f>
        <v>0.82488180971579139</v>
      </c>
      <c r="P1059" s="8">
        <f t="shared" si="99"/>
        <v>-4.7967241883591711</v>
      </c>
      <c r="Q1059" s="8">
        <f t="shared" si="100"/>
        <v>-4.7967241883591711</v>
      </c>
      <c r="R1059" s="8">
        <f t="shared" si="101"/>
        <v>-4.7967241883591711</v>
      </c>
    </row>
    <row r="1060" spans="1:18" x14ac:dyDescent="0.25">
      <c r="A1060" s="7">
        <f t="shared" si="96"/>
        <v>212</v>
      </c>
      <c r="B1060" s="2">
        <v>44468</v>
      </c>
      <c r="C1060" s="3">
        <v>32.82</v>
      </c>
      <c r="D1060" s="3">
        <v>32.93</v>
      </c>
      <c r="E1060" s="3">
        <v>32.270000000000003</v>
      </c>
      <c r="F1060" s="3">
        <v>32.6</v>
      </c>
      <c r="G1060" s="3">
        <v>2258900</v>
      </c>
      <c r="H1060" s="8">
        <f t="shared" si="97"/>
        <v>-4.7967241883591711</v>
      </c>
      <c r="I1060">
        <f t="shared" si="98"/>
        <v>32.886000000000003</v>
      </c>
      <c r="J1060" s="6" cm="1">
        <f t="array" ref="J1060">_xlfn.STDEV.S(IF($A:$A=A1060, $F:$F))</f>
        <v>0.82488180971579139</v>
      </c>
      <c r="P1060" s="8">
        <f t="shared" si="99"/>
        <v>-4.7967241883591711</v>
      </c>
      <c r="Q1060" s="8">
        <f t="shared" si="100"/>
        <v>-4.7967241883591711</v>
      </c>
      <c r="R1060" s="8">
        <f t="shared" si="101"/>
        <v>-4.7967241883591711</v>
      </c>
    </row>
    <row r="1061" spans="1:18" x14ac:dyDescent="0.25">
      <c r="A1061" s="7">
        <f t="shared" si="96"/>
        <v>212</v>
      </c>
      <c r="B1061" s="2">
        <v>44469</v>
      </c>
      <c r="C1061" s="3">
        <v>32.82</v>
      </c>
      <c r="D1061" s="3">
        <v>33.04</v>
      </c>
      <c r="E1061" s="3">
        <v>32.380000000000003</v>
      </c>
      <c r="F1061" s="3">
        <v>32.549999999999997</v>
      </c>
      <c r="G1061" s="3">
        <v>1776200</v>
      </c>
      <c r="H1061" s="8">
        <f t="shared" si="97"/>
        <v>-4.7967241883591711</v>
      </c>
      <c r="I1061">
        <f t="shared" si="98"/>
        <v>32.886000000000003</v>
      </c>
      <c r="J1061" s="6" cm="1">
        <f t="array" ref="J1061">_xlfn.STDEV.S(IF($A:$A=A1061, $F:$F))</f>
        <v>0.82488180971579139</v>
      </c>
      <c r="P1061" s="8">
        <f t="shared" si="99"/>
        <v>-4.7967241883591711</v>
      </c>
      <c r="Q1061" s="8">
        <f t="shared" si="100"/>
        <v>-4.7967241883591711</v>
      </c>
      <c r="R1061" s="8">
        <f t="shared" si="101"/>
        <v>-4.7967241883591711</v>
      </c>
    </row>
    <row r="1062" spans="1:18" x14ac:dyDescent="0.25">
      <c r="A1062" s="7">
        <f t="shared" si="96"/>
        <v>213</v>
      </c>
      <c r="B1062" s="2">
        <v>44470</v>
      </c>
      <c r="C1062" s="3">
        <v>32.44</v>
      </c>
      <c r="D1062" s="3">
        <v>32.71</v>
      </c>
      <c r="E1062" s="3">
        <v>31.45</v>
      </c>
      <c r="F1062" s="3">
        <v>31.56</v>
      </c>
      <c r="G1062" s="3">
        <v>4775900</v>
      </c>
      <c r="H1062" s="8">
        <f t="shared" si="97"/>
        <v>4.847908745247163</v>
      </c>
      <c r="I1062">
        <f t="shared" si="98"/>
        <v>32.043999999999997</v>
      </c>
      <c r="J1062" s="6" cm="1">
        <f t="array" ref="J1062">_xlfn.STDEV.S(IF($A:$A=A1062, $F:$F))</f>
        <v>1.0389802693025512</v>
      </c>
      <c r="P1062" s="8">
        <f t="shared" si="99"/>
        <v>4.847908745247163</v>
      </c>
      <c r="Q1062" s="8">
        <f t="shared" si="100"/>
        <v>4.847908745247163</v>
      </c>
      <c r="R1062" s="8">
        <f t="shared" si="101"/>
        <v>4.847908745247163</v>
      </c>
    </row>
    <row r="1063" spans="1:18" x14ac:dyDescent="0.25">
      <c r="A1063" s="7">
        <f t="shared" si="96"/>
        <v>213</v>
      </c>
      <c r="B1063" s="2">
        <v>44473</v>
      </c>
      <c r="C1063" s="3">
        <v>31.23</v>
      </c>
      <c r="D1063" s="3">
        <v>31.45</v>
      </c>
      <c r="E1063" s="3">
        <v>30.14</v>
      </c>
      <c r="F1063" s="3">
        <v>30.47</v>
      </c>
      <c r="G1063" s="3">
        <v>6105700</v>
      </c>
      <c r="H1063" s="8">
        <f t="shared" si="97"/>
        <v>4.847908745247163</v>
      </c>
      <c r="I1063">
        <f t="shared" si="98"/>
        <v>32.043999999999997</v>
      </c>
      <c r="J1063" s="6" cm="1">
        <f t="array" ref="J1063">_xlfn.STDEV.S(IF($A:$A=A1063, $F:$F))</f>
        <v>1.0389802693025512</v>
      </c>
      <c r="P1063" s="8">
        <f t="shared" si="99"/>
        <v>4.847908745247163</v>
      </c>
      <c r="Q1063" s="8">
        <f t="shared" si="100"/>
        <v>4.847908745247163</v>
      </c>
      <c r="R1063" s="8">
        <f t="shared" si="101"/>
        <v>4.847908745247163</v>
      </c>
    </row>
    <row r="1064" spans="1:18" x14ac:dyDescent="0.25">
      <c r="A1064" s="7">
        <f t="shared" si="96"/>
        <v>213</v>
      </c>
      <c r="B1064" s="2">
        <v>44474</v>
      </c>
      <c r="C1064" s="3">
        <v>31.18</v>
      </c>
      <c r="D1064" s="3">
        <v>32.549999999999997</v>
      </c>
      <c r="E1064" s="3">
        <v>31.02</v>
      </c>
      <c r="F1064" s="3">
        <v>32.549999999999997</v>
      </c>
      <c r="G1064" s="3">
        <v>4807800</v>
      </c>
      <c r="H1064" s="8">
        <f t="shared" si="97"/>
        <v>4.847908745247163</v>
      </c>
      <c r="I1064">
        <f t="shared" si="98"/>
        <v>32.043999999999997</v>
      </c>
      <c r="J1064" s="6" cm="1">
        <f t="array" ref="J1064">_xlfn.STDEV.S(IF($A:$A=A1064, $F:$F))</f>
        <v>1.0389802693025512</v>
      </c>
      <c r="P1064" s="8">
        <f t="shared" si="99"/>
        <v>4.847908745247163</v>
      </c>
      <c r="Q1064" s="8">
        <f t="shared" si="100"/>
        <v>4.847908745247163</v>
      </c>
      <c r="R1064" s="8">
        <f t="shared" si="101"/>
        <v>4.847908745247163</v>
      </c>
    </row>
    <row r="1065" spans="1:18" x14ac:dyDescent="0.25">
      <c r="A1065" s="7">
        <f t="shared" si="96"/>
        <v>213</v>
      </c>
      <c r="B1065" s="2">
        <v>44475</v>
      </c>
      <c r="C1065" s="3">
        <v>32.770000000000003</v>
      </c>
      <c r="D1065" s="3">
        <v>32.82</v>
      </c>
      <c r="E1065" s="3">
        <v>32.11</v>
      </c>
      <c r="F1065" s="3">
        <v>32.549999999999997</v>
      </c>
      <c r="G1065" s="3">
        <v>2300200</v>
      </c>
      <c r="H1065" s="8">
        <f t="shared" si="97"/>
        <v>4.847908745247163</v>
      </c>
      <c r="I1065">
        <f t="shared" si="98"/>
        <v>32.043999999999997</v>
      </c>
      <c r="J1065" s="6" cm="1">
        <f t="array" ref="J1065">_xlfn.STDEV.S(IF($A:$A=A1065, $F:$F))</f>
        <v>1.0389802693025512</v>
      </c>
      <c r="P1065" s="8">
        <f t="shared" si="99"/>
        <v>4.847908745247163</v>
      </c>
      <c r="Q1065" s="8">
        <f t="shared" si="100"/>
        <v>4.847908745247163</v>
      </c>
      <c r="R1065" s="8">
        <f t="shared" si="101"/>
        <v>4.847908745247163</v>
      </c>
    </row>
    <row r="1066" spans="1:18" x14ac:dyDescent="0.25">
      <c r="A1066" s="7">
        <f t="shared" si="96"/>
        <v>213</v>
      </c>
      <c r="B1066" s="2">
        <v>44476</v>
      </c>
      <c r="C1066" s="3">
        <v>32.549999999999997</v>
      </c>
      <c r="D1066" s="3">
        <v>33.31</v>
      </c>
      <c r="E1066" s="3">
        <v>32.159999999999997</v>
      </c>
      <c r="F1066" s="3">
        <v>33.090000000000003</v>
      </c>
      <c r="G1066" s="3">
        <v>3740100</v>
      </c>
      <c r="H1066" s="8">
        <f t="shared" si="97"/>
        <v>4.847908745247163</v>
      </c>
      <c r="I1066">
        <f t="shared" si="98"/>
        <v>32.043999999999997</v>
      </c>
      <c r="J1066" s="6" cm="1">
        <f t="array" ref="J1066">_xlfn.STDEV.S(IF($A:$A=A1066, $F:$F))</f>
        <v>1.0389802693025512</v>
      </c>
      <c r="P1066" s="8">
        <f t="shared" si="99"/>
        <v>4.847908745247163</v>
      </c>
      <c r="Q1066" s="8">
        <f t="shared" si="100"/>
        <v>4.847908745247163</v>
      </c>
      <c r="R1066" s="8">
        <f t="shared" si="101"/>
        <v>4.847908745247163</v>
      </c>
    </row>
    <row r="1067" spans="1:18" x14ac:dyDescent="0.25">
      <c r="A1067" s="7">
        <f t="shared" si="96"/>
        <v>214</v>
      </c>
      <c r="B1067" s="2">
        <v>44477</v>
      </c>
      <c r="C1067" s="3">
        <v>33.31</v>
      </c>
      <c r="D1067" s="3">
        <v>33.81</v>
      </c>
      <c r="E1067" s="3">
        <v>32.979999999999997</v>
      </c>
      <c r="F1067" s="3">
        <v>33.64</v>
      </c>
      <c r="G1067" s="3">
        <v>3574600</v>
      </c>
      <c r="H1067" s="8">
        <f t="shared" si="97"/>
        <v>0.65398335315100731</v>
      </c>
      <c r="I1067">
        <f t="shared" si="98"/>
        <v>33.739999999999995</v>
      </c>
      <c r="J1067" s="6" cm="1">
        <f t="array" ref="J1067">_xlfn.STDEV.S(IF($A:$A=A1067, $F:$F))</f>
        <v>0.19039432764659828</v>
      </c>
      <c r="P1067" s="8">
        <f t="shared" si="99"/>
        <v>0.65398335315100731</v>
      </c>
      <c r="Q1067" s="8">
        <f t="shared" si="100"/>
        <v>0.65398335315100731</v>
      </c>
      <c r="R1067" s="8">
        <f t="shared" si="101"/>
        <v>0.65398335315100731</v>
      </c>
    </row>
    <row r="1068" spans="1:18" x14ac:dyDescent="0.25">
      <c r="A1068" s="7">
        <f t="shared" si="96"/>
        <v>214</v>
      </c>
      <c r="B1068" s="2">
        <v>44480</v>
      </c>
      <c r="C1068" s="3">
        <v>34.130000000000003</v>
      </c>
      <c r="D1068" s="3">
        <v>34.24</v>
      </c>
      <c r="E1068" s="3">
        <v>33.64</v>
      </c>
      <c r="F1068" s="3">
        <v>33.97</v>
      </c>
      <c r="G1068" s="3">
        <v>2472000</v>
      </c>
      <c r="H1068" s="8">
        <f t="shared" si="97"/>
        <v>0.65398335315100731</v>
      </c>
      <c r="I1068">
        <f t="shared" si="98"/>
        <v>33.739999999999995</v>
      </c>
      <c r="J1068" s="6" cm="1">
        <f t="array" ref="J1068">_xlfn.STDEV.S(IF($A:$A=A1068, $F:$F))</f>
        <v>0.19039432764659828</v>
      </c>
      <c r="P1068" s="8">
        <f t="shared" si="99"/>
        <v>0.65398335315100731</v>
      </c>
      <c r="Q1068" s="8">
        <f t="shared" si="100"/>
        <v>0.65398335315100731</v>
      </c>
      <c r="R1068" s="8">
        <f t="shared" si="101"/>
        <v>0.65398335315100731</v>
      </c>
    </row>
    <row r="1069" spans="1:18" x14ac:dyDescent="0.25">
      <c r="A1069" s="7">
        <f t="shared" si="96"/>
        <v>214</v>
      </c>
      <c r="B1069" s="2">
        <v>44481</v>
      </c>
      <c r="C1069" s="3">
        <v>33.909999999999997</v>
      </c>
      <c r="D1069" s="3">
        <v>34.020000000000003</v>
      </c>
      <c r="E1069" s="3">
        <v>33.42</v>
      </c>
      <c r="F1069" s="3">
        <v>33.75</v>
      </c>
      <c r="G1069" s="3">
        <v>3444000</v>
      </c>
      <c r="H1069" s="8">
        <f t="shared" si="97"/>
        <v>0.65398335315100731</v>
      </c>
      <c r="I1069">
        <f t="shared" si="98"/>
        <v>33.739999999999995</v>
      </c>
      <c r="J1069" s="6" cm="1">
        <f t="array" ref="J1069">_xlfn.STDEV.S(IF($A:$A=A1069, $F:$F))</f>
        <v>0.19039432764659828</v>
      </c>
      <c r="P1069" s="8">
        <f t="shared" si="99"/>
        <v>0.65398335315100731</v>
      </c>
      <c r="Q1069" s="8">
        <f t="shared" si="100"/>
        <v>0.65398335315100731</v>
      </c>
      <c r="R1069" s="8">
        <f t="shared" si="101"/>
        <v>0.65398335315100731</v>
      </c>
    </row>
    <row r="1070" spans="1:18" x14ac:dyDescent="0.25">
      <c r="A1070" s="7">
        <f t="shared" si="96"/>
        <v>214</v>
      </c>
      <c r="B1070" s="2">
        <v>44482</v>
      </c>
      <c r="C1070" s="3">
        <v>33.75</v>
      </c>
      <c r="D1070" s="3">
        <v>33.909999999999997</v>
      </c>
      <c r="E1070" s="3">
        <v>33.31</v>
      </c>
      <c r="F1070" s="3">
        <v>33.479999999999997</v>
      </c>
      <c r="G1070" s="3">
        <v>2534700</v>
      </c>
      <c r="H1070" s="8">
        <f t="shared" si="97"/>
        <v>0.65398335315100731</v>
      </c>
      <c r="I1070">
        <f t="shared" si="98"/>
        <v>33.739999999999995</v>
      </c>
      <c r="J1070" s="6" cm="1">
        <f t="array" ref="J1070">_xlfn.STDEV.S(IF($A:$A=A1070, $F:$F))</f>
        <v>0.19039432764659828</v>
      </c>
      <c r="P1070" s="8">
        <f t="shared" si="99"/>
        <v>0.65398335315100731</v>
      </c>
      <c r="Q1070" s="8">
        <f t="shared" si="100"/>
        <v>0.65398335315100731</v>
      </c>
      <c r="R1070" s="8">
        <f t="shared" si="101"/>
        <v>0.65398335315100731</v>
      </c>
    </row>
    <row r="1071" spans="1:18" x14ac:dyDescent="0.25">
      <c r="A1071" s="7">
        <f t="shared" si="96"/>
        <v>214</v>
      </c>
      <c r="B1071" s="2">
        <v>44483</v>
      </c>
      <c r="C1071" s="3">
        <v>33.53</v>
      </c>
      <c r="D1071" s="3">
        <v>34.19</v>
      </c>
      <c r="E1071" s="3">
        <v>33.479999999999997</v>
      </c>
      <c r="F1071" s="3">
        <v>33.86</v>
      </c>
      <c r="G1071" s="3">
        <v>2976900</v>
      </c>
      <c r="H1071" s="8">
        <f t="shared" si="97"/>
        <v>0.65398335315100731</v>
      </c>
      <c r="I1071">
        <f t="shared" si="98"/>
        <v>33.739999999999995</v>
      </c>
      <c r="J1071" s="6" cm="1">
        <f t="array" ref="J1071">_xlfn.STDEV.S(IF($A:$A=A1071, $F:$F))</f>
        <v>0.19039432764659828</v>
      </c>
      <c r="P1071" s="8">
        <f t="shared" si="99"/>
        <v>0.65398335315100731</v>
      </c>
      <c r="Q1071" s="8">
        <f t="shared" si="100"/>
        <v>0.65398335315100731</v>
      </c>
      <c r="R1071" s="8">
        <f t="shared" si="101"/>
        <v>0.65398335315100731</v>
      </c>
    </row>
    <row r="1072" spans="1:18" x14ac:dyDescent="0.25">
      <c r="A1072" s="7">
        <f t="shared" si="96"/>
        <v>215</v>
      </c>
      <c r="B1072" s="2">
        <v>44484</v>
      </c>
      <c r="C1072" s="3">
        <v>33.909999999999997</v>
      </c>
      <c r="D1072" s="3">
        <v>34.46</v>
      </c>
      <c r="E1072" s="3">
        <v>33.81</v>
      </c>
      <c r="F1072" s="3">
        <v>34.08</v>
      </c>
      <c r="G1072" s="3">
        <v>2857200</v>
      </c>
      <c r="H1072" s="8">
        <f t="shared" si="97"/>
        <v>1.9072769953051603</v>
      </c>
      <c r="I1072">
        <f t="shared" si="98"/>
        <v>34.875999999999991</v>
      </c>
      <c r="J1072" s="6" cm="1">
        <f t="array" ref="J1072">_xlfn.STDEV.S(IF($A:$A=A1072, $F:$F))</f>
        <v>0.52662130606347546</v>
      </c>
      <c r="P1072" s="8">
        <f t="shared" si="99"/>
        <v>1.9072769953051603</v>
      </c>
      <c r="Q1072" s="8">
        <f t="shared" si="100"/>
        <v>1.9072769953051603</v>
      </c>
      <c r="R1072" s="8">
        <f t="shared" si="101"/>
        <v>1.9072769953051603</v>
      </c>
    </row>
    <row r="1073" spans="1:18" x14ac:dyDescent="0.25">
      <c r="A1073" s="7">
        <f t="shared" si="96"/>
        <v>215</v>
      </c>
      <c r="B1073" s="2">
        <v>44487</v>
      </c>
      <c r="C1073" s="3">
        <v>34.130000000000003</v>
      </c>
      <c r="D1073" s="3">
        <v>35.5</v>
      </c>
      <c r="E1073" s="3">
        <v>33.81</v>
      </c>
      <c r="F1073" s="3">
        <v>35.119999999999997</v>
      </c>
      <c r="G1073" s="3">
        <v>7532200</v>
      </c>
      <c r="H1073" s="8">
        <f t="shared" si="97"/>
        <v>1.9072769953051603</v>
      </c>
      <c r="I1073">
        <f t="shared" si="98"/>
        <v>34.875999999999991</v>
      </c>
      <c r="J1073" s="6" cm="1">
        <f t="array" ref="J1073">_xlfn.STDEV.S(IF($A:$A=A1073, $F:$F))</f>
        <v>0.52662130606347546</v>
      </c>
      <c r="P1073" s="8">
        <f t="shared" si="99"/>
        <v>1.9072769953051603</v>
      </c>
      <c r="Q1073" s="8">
        <f t="shared" si="100"/>
        <v>1.9072769953051603</v>
      </c>
      <c r="R1073" s="8">
        <f t="shared" si="101"/>
        <v>1.9072769953051603</v>
      </c>
    </row>
    <row r="1074" spans="1:18" x14ac:dyDescent="0.25">
      <c r="A1074" s="7">
        <f t="shared" si="96"/>
        <v>215</v>
      </c>
      <c r="B1074" s="2">
        <v>44488</v>
      </c>
      <c r="C1074" s="3">
        <v>35.17</v>
      </c>
      <c r="D1074" s="3">
        <v>36.43</v>
      </c>
      <c r="E1074" s="3">
        <v>34.950000000000003</v>
      </c>
      <c r="F1074" s="3">
        <v>35.5</v>
      </c>
      <c r="G1074" s="3">
        <v>7443400</v>
      </c>
      <c r="H1074" s="8">
        <f t="shared" si="97"/>
        <v>1.9072769953051603</v>
      </c>
      <c r="I1074">
        <f t="shared" si="98"/>
        <v>34.875999999999991</v>
      </c>
      <c r="J1074" s="6" cm="1">
        <f t="array" ref="J1074">_xlfn.STDEV.S(IF($A:$A=A1074, $F:$F))</f>
        <v>0.52662130606347546</v>
      </c>
      <c r="P1074" s="8">
        <f t="shared" si="99"/>
        <v>1.9072769953051603</v>
      </c>
      <c r="Q1074" s="8">
        <f t="shared" si="100"/>
        <v>1.9072769953051603</v>
      </c>
      <c r="R1074" s="8">
        <f t="shared" si="101"/>
        <v>1.9072769953051603</v>
      </c>
    </row>
    <row r="1075" spans="1:18" x14ac:dyDescent="0.25">
      <c r="A1075" s="7">
        <f t="shared" si="96"/>
        <v>215</v>
      </c>
      <c r="B1075" s="2">
        <v>44489</v>
      </c>
      <c r="C1075" s="3">
        <v>35.83</v>
      </c>
      <c r="D1075" s="3">
        <v>35.83</v>
      </c>
      <c r="E1075" s="3">
        <v>34.57</v>
      </c>
      <c r="F1075" s="3">
        <v>34.950000000000003</v>
      </c>
      <c r="G1075" s="3">
        <v>4645200</v>
      </c>
      <c r="H1075" s="8">
        <f t="shared" si="97"/>
        <v>1.9072769953051603</v>
      </c>
      <c r="I1075">
        <f t="shared" si="98"/>
        <v>34.875999999999991</v>
      </c>
      <c r="J1075" s="6" cm="1">
        <f t="array" ref="J1075">_xlfn.STDEV.S(IF($A:$A=A1075, $F:$F))</f>
        <v>0.52662130606347546</v>
      </c>
      <c r="P1075" s="8">
        <f t="shared" si="99"/>
        <v>1.9072769953051603</v>
      </c>
      <c r="Q1075" s="8">
        <f t="shared" si="100"/>
        <v>1.9072769953051603</v>
      </c>
      <c r="R1075" s="8">
        <f t="shared" si="101"/>
        <v>1.9072769953051603</v>
      </c>
    </row>
    <row r="1076" spans="1:18" x14ac:dyDescent="0.25">
      <c r="A1076" s="7">
        <f t="shared" si="96"/>
        <v>215</v>
      </c>
      <c r="B1076" s="2">
        <v>44490</v>
      </c>
      <c r="C1076" s="3">
        <v>35.17</v>
      </c>
      <c r="D1076" s="3">
        <v>35.28</v>
      </c>
      <c r="E1076" s="3">
        <v>34.409999999999997</v>
      </c>
      <c r="F1076" s="3">
        <v>34.729999999999997</v>
      </c>
      <c r="G1076" s="3">
        <v>3704900</v>
      </c>
      <c r="H1076" s="8">
        <f t="shared" si="97"/>
        <v>1.9072769953051603</v>
      </c>
      <c r="I1076">
        <f t="shared" si="98"/>
        <v>34.875999999999991</v>
      </c>
      <c r="J1076" s="6" cm="1">
        <f t="array" ref="J1076">_xlfn.STDEV.S(IF($A:$A=A1076, $F:$F))</f>
        <v>0.52662130606347546</v>
      </c>
      <c r="P1076" s="8">
        <f t="shared" si="99"/>
        <v>1.9072769953051603</v>
      </c>
      <c r="Q1076" s="8">
        <f t="shared" si="100"/>
        <v>1.9072769953051603</v>
      </c>
      <c r="R1076" s="8">
        <f t="shared" si="101"/>
        <v>1.9072769953051603</v>
      </c>
    </row>
    <row r="1077" spans="1:18" x14ac:dyDescent="0.25">
      <c r="A1077" s="7">
        <f t="shared" si="96"/>
        <v>216</v>
      </c>
      <c r="B1077" s="2">
        <v>44491</v>
      </c>
      <c r="C1077" s="3">
        <v>35.01</v>
      </c>
      <c r="D1077" s="3">
        <v>35.01</v>
      </c>
      <c r="E1077" s="3">
        <v>33.64</v>
      </c>
      <c r="F1077" s="3">
        <v>33.86</v>
      </c>
      <c r="G1077" s="3">
        <v>7264900</v>
      </c>
      <c r="H1077" s="8">
        <f t="shared" si="97"/>
        <v>3.2191376255168445</v>
      </c>
      <c r="I1077">
        <f t="shared" si="98"/>
        <v>33.958000000000006</v>
      </c>
      <c r="J1077" s="6" cm="1">
        <f t="array" ref="J1077">_xlfn.STDEV.S(IF($A:$A=A1077, $F:$F))</f>
        <v>0.85490935191984063</v>
      </c>
      <c r="P1077" s="8">
        <f t="shared" si="99"/>
        <v>3.2191376255168445</v>
      </c>
      <c r="Q1077" s="8">
        <f t="shared" si="100"/>
        <v>3.2191376255168445</v>
      </c>
      <c r="R1077" s="8">
        <f t="shared" si="101"/>
        <v>3.2191376255168445</v>
      </c>
    </row>
    <row r="1078" spans="1:18" x14ac:dyDescent="0.25">
      <c r="A1078" s="7">
        <f t="shared" si="96"/>
        <v>216</v>
      </c>
      <c r="B1078" s="2">
        <v>44494</v>
      </c>
      <c r="C1078" s="3">
        <v>33.53</v>
      </c>
      <c r="D1078" s="3">
        <v>33.81</v>
      </c>
      <c r="E1078" s="3">
        <v>32.659999999999997</v>
      </c>
      <c r="F1078" s="3">
        <v>32.82</v>
      </c>
      <c r="G1078" s="3">
        <v>7522100</v>
      </c>
      <c r="H1078" s="8">
        <f t="shared" si="97"/>
        <v>3.2191376255168445</v>
      </c>
      <c r="I1078">
        <f t="shared" si="98"/>
        <v>33.958000000000006</v>
      </c>
      <c r="J1078" s="6" cm="1">
        <f t="array" ref="J1078">_xlfn.STDEV.S(IF($A:$A=A1078, $F:$F))</f>
        <v>0.85490935191984063</v>
      </c>
      <c r="P1078" s="8">
        <f t="shared" si="99"/>
        <v>3.2191376255168445</v>
      </c>
      <c r="Q1078" s="8">
        <f t="shared" si="100"/>
        <v>3.2191376255168445</v>
      </c>
      <c r="R1078" s="8">
        <f t="shared" si="101"/>
        <v>3.2191376255168445</v>
      </c>
    </row>
    <row r="1079" spans="1:18" x14ac:dyDescent="0.25">
      <c r="A1079" s="7">
        <f t="shared" si="96"/>
        <v>216</v>
      </c>
      <c r="B1079" s="2">
        <v>44495</v>
      </c>
      <c r="C1079" s="3">
        <v>32.6</v>
      </c>
      <c r="D1079" s="3">
        <v>33.75</v>
      </c>
      <c r="E1079" s="3">
        <v>32.33</v>
      </c>
      <c r="F1079" s="3">
        <v>33.53</v>
      </c>
      <c r="G1079" s="3">
        <v>2783700</v>
      </c>
      <c r="H1079" s="8">
        <f t="shared" si="97"/>
        <v>3.2191376255168445</v>
      </c>
      <c r="I1079">
        <f t="shared" si="98"/>
        <v>33.958000000000006</v>
      </c>
      <c r="J1079" s="6" cm="1">
        <f t="array" ref="J1079">_xlfn.STDEV.S(IF($A:$A=A1079, $F:$F))</f>
        <v>0.85490935191984063</v>
      </c>
      <c r="P1079" s="8">
        <f t="shared" si="99"/>
        <v>3.2191376255168445</v>
      </c>
      <c r="Q1079" s="8">
        <f t="shared" si="100"/>
        <v>3.2191376255168445</v>
      </c>
      <c r="R1079" s="8">
        <f t="shared" si="101"/>
        <v>3.2191376255168445</v>
      </c>
    </row>
    <row r="1080" spans="1:18" x14ac:dyDescent="0.25">
      <c r="A1080" s="7">
        <f t="shared" si="96"/>
        <v>216</v>
      </c>
      <c r="B1080" s="2">
        <v>44496</v>
      </c>
      <c r="C1080" s="3">
        <v>33.700000000000003</v>
      </c>
      <c r="D1080" s="3">
        <v>34.630000000000003</v>
      </c>
      <c r="E1080" s="3">
        <v>33.42</v>
      </c>
      <c r="F1080" s="3">
        <v>34.630000000000003</v>
      </c>
      <c r="G1080" s="3">
        <v>3081900</v>
      </c>
      <c r="H1080" s="8">
        <f t="shared" si="97"/>
        <v>3.2191376255168445</v>
      </c>
      <c r="I1080">
        <f t="shared" si="98"/>
        <v>33.958000000000006</v>
      </c>
      <c r="J1080" s="6" cm="1">
        <f t="array" ref="J1080">_xlfn.STDEV.S(IF($A:$A=A1080, $F:$F))</f>
        <v>0.85490935191984063</v>
      </c>
      <c r="P1080" s="8">
        <f t="shared" si="99"/>
        <v>3.2191376255168445</v>
      </c>
      <c r="Q1080" s="8">
        <f t="shared" si="100"/>
        <v>3.2191376255168445</v>
      </c>
      <c r="R1080" s="8">
        <f t="shared" si="101"/>
        <v>3.2191376255168445</v>
      </c>
    </row>
    <row r="1081" spans="1:18" x14ac:dyDescent="0.25">
      <c r="A1081" s="7">
        <f t="shared" si="96"/>
        <v>216</v>
      </c>
      <c r="B1081" s="2">
        <v>44497</v>
      </c>
      <c r="C1081" s="3">
        <v>34.9</v>
      </c>
      <c r="D1081" s="3">
        <v>36.049999999999997</v>
      </c>
      <c r="E1081" s="3">
        <v>34.79</v>
      </c>
      <c r="F1081" s="3">
        <v>34.950000000000003</v>
      </c>
      <c r="G1081" s="3">
        <v>7621200</v>
      </c>
      <c r="H1081" s="8">
        <f t="shared" si="97"/>
        <v>3.2191376255168445</v>
      </c>
      <c r="I1081">
        <f t="shared" si="98"/>
        <v>33.958000000000006</v>
      </c>
      <c r="J1081" s="6" cm="1">
        <f t="array" ref="J1081">_xlfn.STDEV.S(IF($A:$A=A1081, $F:$F))</f>
        <v>0.85490935191984063</v>
      </c>
      <c r="P1081" s="8">
        <f t="shared" si="99"/>
        <v>3.2191376255168445</v>
      </c>
      <c r="Q1081" s="8">
        <f t="shared" si="100"/>
        <v>3.2191376255168445</v>
      </c>
      <c r="R1081" s="8">
        <f t="shared" si="101"/>
        <v>3.2191376255168445</v>
      </c>
    </row>
    <row r="1082" spans="1:18" x14ac:dyDescent="0.25">
      <c r="A1082" s="7">
        <f t="shared" si="96"/>
        <v>217</v>
      </c>
      <c r="B1082" s="2">
        <v>44498</v>
      </c>
      <c r="C1082" s="3">
        <v>35.28</v>
      </c>
      <c r="D1082" s="3">
        <v>35.450000000000003</v>
      </c>
      <c r="E1082" s="3">
        <v>34.46</v>
      </c>
      <c r="F1082" s="3">
        <v>35.06</v>
      </c>
      <c r="G1082" s="3">
        <v>5225600</v>
      </c>
      <c r="H1082" s="8">
        <f t="shared" si="97"/>
        <v>12.17912150598972</v>
      </c>
      <c r="I1082">
        <f t="shared" si="98"/>
        <v>37.405999999999992</v>
      </c>
      <c r="J1082" s="6" cm="1">
        <f t="array" ref="J1082">_xlfn.STDEV.S(IF($A:$A=A1082, $F:$F))</f>
        <v>1.5512188755942844</v>
      </c>
      <c r="P1082" s="8">
        <f t="shared" si="99"/>
        <v>12.17912150598972</v>
      </c>
      <c r="Q1082" s="8">
        <f t="shared" si="100"/>
        <v>12.17912150598972</v>
      </c>
      <c r="R1082" s="10">
        <f t="shared" si="101"/>
        <v>12.17912150598972</v>
      </c>
    </row>
    <row r="1083" spans="1:18" x14ac:dyDescent="0.25">
      <c r="A1083" s="7">
        <f t="shared" si="96"/>
        <v>217</v>
      </c>
      <c r="B1083" s="2">
        <v>44501</v>
      </c>
      <c r="C1083" s="3">
        <v>35.39</v>
      </c>
      <c r="D1083" s="3">
        <v>37.42</v>
      </c>
      <c r="E1083" s="3">
        <v>35.340000000000003</v>
      </c>
      <c r="F1083" s="3">
        <v>37.200000000000003</v>
      </c>
      <c r="G1083" s="3">
        <v>12424300</v>
      </c>
      <c r="H1083" s="8">
        <f t="shared" si="97"/>
        <v>12.17912150598972</v>
      </c>
      <c r="I1083">
        <f t="shared" si="98"/>
        <v>37.405999999999992</v>
      </c>
      <c r="J1083" s="6" cm="1">
        <f t="array" ref="J1083">_xlfn.STDEV.S(IF($A:$A=A1083, $F:$F))</f>
        <v>1.5512188755942844</v>
      </c>
      <c r="P1083" s="8">
        <f t="shared" si="99"/>
        <v>12.17912150598972</v>
      </c>
      <c r="Q1083" s="8">
        <f t="shared" si="100"/>
        <v>12.17912150598972</v>
      </c>
      <c r="R1083" s="10">
        <f t="shared" si="101"/>
        <v>12.17912150598972</v>
      </c>
    </row>
    <row r="1084" spans="1:18" x14ac:dyDescent="0.25">
      <c r="A1084" s="7">
        <f t="shared" si="96"/>
        <v>217</v>
      </c>
      <c r="B1084" s="2">
        <v>44502</v>
      </c>
      <c r="C1084" s="3">
        <v>37.31</v>
      </c>
      <c r="D1084" s="3">
        <v>38.4</v>
      </c>
      <c r="E1084" s="3">
        <v>37.25</v>
      </c>
      <c r="F1084" s="3">
        <v>38.020000000000003</v>
      </c>
      <c r="G1084" s="3">
        <v>7007500</v>
      </c>
      <c r="H1084" s="8">
        <f t="shared" si="97"/>
        <v>12.17912150598972</v>
      </c>
      <c r="I1084">
        <f t="shared" si="98"/>
        <v>37.405999999999992</v>
      </c>
      <c r="J1084" s="6" cm="1">
        <f t="array" ref="J1084">_xlfn.STDEV.S(IF($A:$A=A1084, $F:$F))</f>
        <v>1.5512188755942844</v>
      </c>
      <c r="P1084" s="8">
        <f t="shared" si="99"/>
        <v>12.17912150598972</v>
      </c>
      <c r="Q1084" s="8">
        <f t="shared" si="100"/>
        <v>12.17912150598972</v>
      </c>
      <c r="R1084" s="10">
        <f t="shared" si="101"/>
        <v>12.17912150598972</v>
      </c>
    </row>
    <row r="1085" spans="1:18" x14ac:dyDescent="0.25">
      <c r="A1085" s="7">
        <f t="shared" si="96"/>
        <v>217</v>
      </c>
      <c r="B1085" s="2">
        <v>44503</v>
      </c>
      <c r="C1085" s="3">
        <v>38.29</v>
      </c>
      <c r="D1085" s="3">
        <v>38.29</v>
      </c>
      <c r="E1085" s="3">
        <v>37.200000000000003</v>
      </c>
      <c r="F1085" s="3">
        <v>37.42</v>
      </c>
      <c r="G1085" s="3">
        <v>7036800</v>
      </c>
      <c r="H1085" s="8">
        <f t="shared" si="97"/>
        <v>12.17912150598972</v>
      </c>
      <c r="I1085">
        <f t="shared" si="98"/>
        <v>37.405999999999992</v>
      </c>
      <c r="J1085" s="6" cm="1">
        <f t="array" ref="J1085">_xlfn.STDEV.S(IF($A:$A=A1085, $F:$F))</f>
        <v>1.5512188755942844</v>
      </c>
      <c r="P1085" s="8">
        <f t="shared" si="99"/>
        <v>12.17912150598972</v>
      </c>
      <c r="Q1085" s="8">
        <f t="shared" si="100"/>
        <v>12.17912150598972</v>
      </c>
      <c r="R1085" s="10">
        <f t="shared" si="101"/>
        <v>12.17912150598972</v>
      </c>
    </row>
    <row r="1086" spans="1:18" x14ac:dyDescent="0.25">
      <c r="A1086" s="7">
        <f t="shared" si="96"/>
        <v>217</v>
      </c>
      <c r="B1086" s="2">
        <v>44504</v>
      </c>
      <c r="C1086" s="3">
        <v>37.47</v>
      </c>
      <c r="D1086" s="3">
        <v>39.93</v>
      </c>
      <c r="E1086" s="3">
        <v>37.47</v>
      </c>
      <c r="F1086" s="3">
        <v>39.33</v>
      </c>
      <c r="G1086" s="3">
        <v>6994900</v>
      </c>
      <c r="H1086" s="8">
        <f t="shared" si="97"/>
        <v>12.17912150598972</v>
      </c>
      <c r="I1086">
        <f t="shared" si="98"/>
        <v>37.405999999999992</v>
      </c>
      <c r="J1086" s="6" cm="1">
        <f t="array" ref="J1086">_xlfn.STDEV.S(IF($A:$A=A1086, $F:$F))</f>
        <v>1.5512188755942844</v>
      </c>
      <c r="P1086" s="8">
        <f t="shared" si="99"/>
        <v>12.17912150598972</v>
      </c>
      <c r="Q1086" s="8">
        <f t="shared" si="100"/>
        <v>12.17912150598972</v>
      </c>
      <c r="R1086" s="10">
        <f t="shared" si="101"/>
        <v>12.17912150598972</v>
      </c>
    </row>
    <row r="1087" spans="1:18" x14ac:dyDescent="0.25">
      <c r="A1087" s="7">
        <f t="shared" si="96"/>
        <v>218</v>
      </c>
      <c r="B1087" s="2">
        <v>44505</v>
      </c>
      <c r="C1087" s="3">
        <v>39.49</v>
      </c>
      <c r="D1087" s="3">
        <v>39.71</v>
      </c>
      <c r="E1087" s="3">
        <v>39</v>
      </c>
      <c r="F1087" s="3">
        <v>39.22</v>
      </c>
      <c r="G1087" s="3">
        <v>4128700</v>
      </c>
      <c r="H1087" s="8">
        <f t="shared" si="97"/>
        <v>-0.40795512493624836</v>
      </c>
      <c r="I1087">
        <f t="shared" si="98"/>
        <v>39.540000000000006</v>
      </c>
      <c r="J1087" s="6" cm="1">
        <f t="array" ref="J1087">_xlfn.STDEV.S(IF($A:$A=A1087, $F:$F))</f>
        <v>0.3881365739015073</v>
      </c>
      <c r="P1087" s="8">
        <f t="shared" si="99"/>
        <v>-0.40795512493624836</v>
      </c>
      <c r="Q1087" s="8">
        <f t="shared" si="100"/>
        <v>-0.40795512493624836</v>
      </c>
      <c r="R1087" s="8">
        <f t="shared" si="101"/>
        <v>-0.40795512493624836</v>
      </c>
    </row>
    <row r="1088" spans="1:18" x14ac:dyDescent="0.25">
      <c r="A1088" s="7">
        <f t="shared" si="96"/>
        <v>218</v>
      </c>
      <c r="B1088" s="2">
        <v>44508</v>
      </c>
      <c r="C1088" s="3">
        <v>39.22</v>
      </c>
      <c r="D1088" s="3">
        <v>40.42</v>
      </c>
      <c r="E1088" s="3">
        <v>38.89</v>
      </c>
      <c r="F1088" s="3">
        <v>39.770000000000003</v>
      </c>
      <c r="G1088" s="3">
        <v>4056900</v>
      </c>
      <c r="H1088" s="8">
        <f t="shared" si="97"/>
        <v>-0.40795512493624836</v>
      </c>
      <c r="I1088">
        <f t="shared" si="98"/>
        <v>39.540000000000006</v>
      </c>
      <c r="J1088" s="6" cm="1">
        <f t="array" ref="J1088">_xlfn.STDEV.S(IF($A:$A=A1088, $F:$F))</f>
        <v>0.3881365739015073</v>
      </c>
      <c r="P1088" s="8">
        <f t="shared" si="99"/>
        <v>-0.40795512493624836</v>
      </c>
      <c r="Q1088" s="8">
        <f t="shared" si="100"/>
        <v>-0.40795512493624836</v>
      </c>
      <c r="R1088" s="8">
        <f t="shared" si="101"/>
        <v>-0.40795512493624836</v>
      </c>
    </row>
    <row r="1089" spans="1:18" x14ac:dyDescent="0.25">
      <c r="A1089" s="7">
        <f t="shared" si="96"/>
        <v>218</v>
      </c>
      <c r="B1089" s="2">
        <v>44509</v>
      </c>
      <c r="C1089" s="3">
        <v>39.380000000000003</v>
      </c>
      <c r="D1089" s="3">
        <v>39.93</v>
      </c>
      <c r="E1089" s="3">
        <v>38.729999999999997</v>
      </c>
      <c r="F1089" s="3">
        <v>39.659999999999997</v>
      </c>
      <c r="G1089" s="3">
        <v>6082700</v>
      </c>
      <c r="H1089" s="8">
        <f t="shared" si="97"/>
        <v>-0.40795512493624836</v>
      </c>
      <c r="I1089">
        <f t="shared" si="98"/>
        <v>39.540000000000006</v>
      </c>
      <c r="J1089" s="6" cm="1">
        <f t="array" ref="J1089">_xlfn.STDEV.S(IF($A:$A=A1089, $F:$F))</f>
        <v>0.3881365739015073</v>
      </c>
      <c r="P1089" s="8">
        <f t="shared" si="99"/>
        <v>-0.40795512493624836</v>
      </c>
      <c r="Q1089" s="8">
        <f t="shared" si="100"/>
        <v>-0.40795512493624836</v>
      </c>
      <c r="R1089" s="8">
        <f t="shared" si="101"/>
        <v>-0.40795512493624836</v>
      </c>
    </row>
    <row r="1090" spans="1:18" x14ac:dyDescent="0.25">
      <c r="A1090" s="7">
        <f t="shared" si="96"/>
        <v>218</v>
      </c>
      <c r="B1090" s="2">
        <v>44510</v>
      </c>
      <c r="C1090" s="3">
        <v>39.82</v>
      </c>
      <c r="D1090" s="3">
        <v>40.479999999999997</v>
      </c>
      <c r="E1090" s="3">
        <v>39.44</v>
      </c>
      <c r="F1090" s="3">
        <v>39.99</v>
      </c>
      <c r="G1090" s="3">
        <v>4880600</v>
      </c>
      <c r="H1090" s="8">
        <f t="shared" si="97"/>
        <v>-0.40795512493624836</v>
      </c>
      <c r="I1090">
        <f t="shared" si="98"/>
        <v>39.540000000000006</v>
      </c>
      <c r="J1090" s="6" cm="1">
        <f t="array" ref="J1090">_xlfn.STDEV.S(IF($A:$A=A1090, $F:$F))</f>
        <v>0.3881365739015073</v>
      </c>
      <c r="P1090" s="8">
        <f t="shared" si="99"/>
        <v>-0.40795512493624836</v>
      </c>
      <c r="Q1090" s="8">
        <f t="shared" si="100"/>
        <v>-0.40795512493624836</v>
      </c>
      <c r="R1090" s="8">
        <f t="shared" si="101"/>
        <v>-0.40795512493624836</v>
      </c>
    </row>
    <row r="1091" spans="1:18" x14ac:dyDescent="0.25">
      <c r="A1091" s="7">
        <f t="shared" ref="A1091:A1154" si="102">INT((ROW(A1091)-ROW($A$2))/5) + 1</f>
        <v>218</v>
      </c>
      <c r="B1091" s="2">
        <v>44511</v>
      </c>
      <c r="C1091" s="3">
        <v>39.99</v>
      </c>
      <c r="D1091" s="3">
        <v>40.369999999999997</v>
      </c>
      <c r="E1091" s="3">
        <v>38.78</v>
      </c>
      <c r="F1091" s="3">
        <v>39.06</v>
      </c>
      <c r="G1091" s="3">
        <v>7613600</v>
      </c>
      <c r="H1091" s="8">
        <f t="shared" ref="H1091:H1154" si="103">IF(A1091=A1090, H1090, (F1095-F1091)/F1091*100)</f>
        <v>-0.40795512493624836</v>
      </c>
      <c r="I1091">
        <f t="shared" ref="I1091:I1154" si="104">AVERAGEIF($A:$A, A1091, $F:$F)</f>
        <v>39.540000000000006</v>
      </c>
      <c r="J1091" s="6" cm="1">
        <f t="array" ref="J1091">_xlfn.STDEV.S(IF($A:$A=A1091, $F:$F))</f>
        <v>0.3881365739015073</v>
      </c>
      <c r="P1091" s="8">
        <f t="shared" ref="P1091:P1154" si="105">IF(A1091=A1090,P1090,(F1095-F1091)/F1091*100)</f>
        <v>-0.40795512493624836</v>
      </c>
      <c r="Q1091" s="8">
        <f t="shared" ref="Q1091:Q1154" si="106">IF(A1091=A1090,Q1090,(F1095-F1091)/F1091*100)</f>
        <v>-0.40795512493624836</v>
      </c>
      <c r="R1091" s="8">
        <f t="shared" ref="R1091:R1154" si="107">IF(A1091=A1090,R1090,(F1095-F1091)/F1091*100)</f>
        <v>-0.40795512493624836</v>
      </c>
    </row>
    <row r="1092" spans="1:18" x14ac:dyDescent="0.25">
      <c r="A1092" s="7">
        <f t="shared" si="102"/>
        <v>219</v>
      </c>
      <c r="B1092" s="2">
        <v>44512</v>
      </c>
      <c r="C1092" s="3">
        <v>39.06</v>
      </c>
      <c r="D1092" s="3">
        <v>39.71</v>
      </c>
      <c r="E1092" s="3">
        <v>38.840000000000003</v>
      </c>
      <c r="F1092" s="3">
        <v>39.380000000000003</v>
      </c>
      <c r="G1092" s="3">
        <v>3523200</v>
      </c>
      <c r="H1092" s="8">
        <f t="shared" si="103"/>
        <v>6.272219400711017</v>
      </c>
      <c r="I1092">
        <f t="shared" si="104"/>
        <v>39.942</v>
      </c>
      <c r="J1092" s="6" cm="1">
        <f t="array" ref="J1092">_xlfn.STDEV.S(IF($A:$A=A1092, $F:$F))</f>
        <v>1.1098513413966757</v>
      </c>
      <c r="P1092" s="8">
        <f t="shared" si="105"/>
        <v>6.272219400711017</v>
      </c>
      <c r="Q1092" s="8">
        <f t="shared" si="106"/>
        <v>6.272219400711017</v>
      </c>
      <c r="R1092" s="8">
        <f t="shared" si="107"/>
        <v>6.272219400711017</v>
      </c>
    </row>
    <row r="1093" spans="1:18" x14ac:dyDescent="0.25">
      <c r="A1093" s="7">
        <f t="shared" si="102"/>
        <v>219</v>
      </c>
      <c r="B1093" s="2">
        <v>44515</v>
      </c>
      <c r="C1093" s="3">
        <v>39.99</v>
      </c>
      <c r="D1093" s="3">
        <v>41.03</v>
      </c>
      <c r="E1093" s="3">
        <v>39.380000000000003</v>
      </c>
      <c r="F1093" s="3">
        <v>39.770000000000003</v>
      </c>
      <c r="G1093" s="3">
        <v>4210600</v>
      </c>
      <c r="H1093" s="8">
        <f t="shared" si="103"/>
        <v>6.272219400711017</v>
      </c>
      <c r="I1093">
        <f t="shared" si="104"/>
        <v>39.942</v>
      </c>
      <c r="J1093" s="6" cm="1">
        <f t="array" ref="J1093">_xlfn.STDEV.S(IF($A:$A=A1093, $F:$F))</f>
        <v>1.1098513413966757</v>
      </c>
      <c r="P1093" s="8">
        <f t="shared" si="105"/>
        <v>6.272219400711017</v>
      </c>
      <c r="Q1093" s="8">
        <f t="shared" si="106"/>
        <v>6.272219400711017</v>
      </c>
      <c r="R1093" s="8">
        <f t="shared" si="107"/>
        <v>6.272219400711017</v>
      </c>
    </row>
    <row r="1094" spans="1:18" x14ac:dyDescent="0.25">
      <c r="A1094" s="7">
        <f t="shared" si="102"/>
        <v>219</v>
      </c>
      <c r="B1094" s="2">
        <v>44516</v>
      </c>
      <c r="C1094" s="3">
        <v>39.380000000000003</v>
      </c>
      <c r="D1094" s="3">
        <v>39.880000000000003</v>
      </c>
      <c r="E1094" s="3">
        <v>38.729999999999997</v>
      </c>
      <c r="F1094" s="3">
        <v>39</v>
      </c>
      <c r="G1094" s="3">
        <v>4419100</v>
      </c>
      <c r="H1094" s="8">
        <f t="shared" si="103"/>
        <v>6.272219400711017</v>
      </c>
      <c r="I1094">
        <f t="shared" si="104"/>
        <v>39.942</v>
      </c>
      <c r="J1094" s="6" cm="1">
        <f t="array" ref="J1094">_xlfn.STDEV.S(IF($A:$A=A1094, $F:$F))</f>
        <v>1.1098513413966757</v>
      </c>
      <c r="P1094" s="8">
        <f t="shared" si="105"/>
        <v>6.272219400711017</v>
      </c>
      <c r="Q1094" s="8">
        <f t="shared" si="106"/>
        <v>6.272219400711017</v>
      </c>
      <c r="R1094" s="8">
        <f t="shared" si="107"/>
        <v>6.272219400711017</v>
      </c>
    </row>
    <row r="1095" spans="1:18" x14ac:dyDescent="0.25">
      <c r="A1095" s="7">
        <f t="shared" si="102"/>
        <v>219</v>
      </c>
      <c r="B1095" s="2">
        <v>44517</v>
      </c>
      <c r="C1095" s="3">
        <v>39.380000000000003</v>
      </c>
      <c r="D1095" s="3">
        <v>41.19</v>
      </c>
      <c r="E1095" s="3">
        <v>39.11</v>
      </c>
      <c r="F1095" s="3">
        <v>39.71</v>
      </c>
      <c r="G1095" s="3">
        <v>5138100</v>
      </c>
      <c r="H1095" s="8">
        <f t="shared" si="103"/>
        <v>6.272219400711017</v>
      </c>
      <c r="I1095">
        <f t="shared" si="104"/>
        <v>39.942</v>
      </c>
      <c r="J1095" s="6" cm="1">
        <f t="array" ref="J1095">_xlfn.STDEV.S(IF($A:$A=A1095, $F:$F))</f>
        <v>1.1098513413966757</v>
      </c>
      <c r="P1095" s="8">
        <f t="shared" si="105"/>
        <v>6.272219400711017</v>
      </c>
      <c r="Q1095" s="8">
        <f t="shared" si="106"/>
        <v>6.272219400711017</v>
      </c>
      <c r="R1095" s="8">
        <f t="shared" si="107"/>
        <v>6.272219400711017</v>
      </c>
    </row>
    <row r="1096" spans="1:18" x14ac:dyDescent="0.25">
      <c r="A1096" s="7">
        <f t="shared" si="102"/>
        <v>219</v>
      </c>
      <c r="B1096" s="2">
        <v>44518</v>
      </c>
      <c r="C1096" s="3">
        <v>40.479999999999997</v>
      </c>
      <c r="D1096" s="3">
        <v>42.34</v>
      </c>
      <c r="E1096" s="3">
        <v>40.21</v>
      </c>
      <c r="F1096" s="3">
        <v>41.85</v>
      </c>
      <c r="G1096" s="3">
        <v>7314800</v>
      </c>
      <c r="H1096" s="8">
        <f t="shared" si="103"/>
        <v>6.272219400711017</v>
      </c>
      <c r="I1096">
        <f t="shared" si="104"/>
        <v>39.942</v>
      </c>
      <c r="J1096" s="6" cm="1">
        <f t="array" ref="J1096">_xlfn.STDEV.S(IF($A:$A=A1096, $F:$F))</f>
        <v>1.1098513413966757</v>
      </c>
      <c r="P1096" s="8">
        <f t="shared" si="105"/>
        <v>6.272219400711017</v>
      </c>
      <c r="Q1096" s="8">
        <f t="shared" si="106"/>
        <v>6.272219400711017</v>
      </c>
      <c r="R1096" s="8">
        <f t="shared" si="107"/>
        <v>6.272219400711017</v>
      </c>
    </row>
    <row r="1097" spans="1:18" x14ac:dyDescent="0.25">
      <c r="A1097" s="7">
        <f t="shared" si="102"/>
        <v>220</v>
      </c>
      <c r="B1097" s="2">
        <v>44519</v>
      </c>
      <c r="C1097" s="3">
        <v>42.12</v>
      </c>
      <c r="D1097" s="3">
        <v>42.12</v>
      </c>
      <c r="E1097" s="3">
        <v>38.950000000000003</v>
      </c>
      <c r="F1097" s="3">
        <v>40.479999999999997</v>
      </c>
      <c r="G1097" s="3">
        <v>6929100</v>
      </c>
      <c r="H1097" s="8">
        <f t="shared" si="103"/>
        <v>8.9179841897233363</v>
      </c>
      <c r="I1097">
        <f t="shared" si="104"/>
        <v>41.54</v>
      </c>
      <c r="J1097" s="6" cm="1">
        <f t="array" ref="J1097">_xlfn.STDEV.S(IF($A:$A=A1097, $F:$F))</f>
        <v>1.729783223412694</v>
      </c>
      <c r="P1097" s="8">
        <f t="shared" si="105"/>
        <v>8.9179841897233363</v>
      </c>
      <c r="Q1097" s="8">
        <f t="shared" si="106"/>
        <v>8.9179841897233363</v>
      </c>
      <c r="R1097" s="8">
        <f t="shared" si="107"/>
        <v>8.9179841897233363</v>
      </c>
    </row>
    <row r="1098" spans="1:18" x14ac:dyDescent="0.25">
      <c r="A1098" s="7">
        <f t="shared" si="102"/>
        <v>220</v>
      </c>
      <c r="B1098" s="2">
        <v>44522</v>
      </c>
      <c r="C1098" s="3">
        <v>40.26</v>
      </c>
      <c r="D1098" s="3">
        <v>41.13</v>
      </c>
      <c r="E1098" s="3">
        <v>39.28</v>
      </c>
      <c r="F1098" s="3">
        <v>39.659999999999997</v>
      </c>
      <c r="G1098" s="3">
        <v>5141600</v>
      </c>
      <c r="H1098" s="8">
        <f t="shared" si="103"/>
        <v>8.9179841897233363</v>
      </c>
      <c r="I1098">
        <f t="shared" si="104"/>
        <v>41.54</v>
      </c>
      <c r="J1098" s="6" cm="1">
        <f t="array" ref="J1098">_xlfn.STDEV.S(IF($A:$A=A1098, $F:$F))</f>
        <v>1.729783223412694</v>
      </c>
      <c r="P1098" s="8">
        <f t="shared" si="105"/>
        <v>8.9179841897233363</v>
      </c>
      <c r="Q1098" s="8">
        <f t="shared" si="106"/>
        <v>8.9179841897233363</v>
      </c>
      <c r="R1098" s="8">
        <f t="shared" si="107"/>
        <v>8.9179841897233363</v>
      </c>
    </row>
    <row r="1099" spans="1:18" x14ac:dyDescent="0.25">
      <c r="A1099" s="7">
        <f t="shared" si="102"/>
        <v>220</v>
      </c>
      <c r="B1099" s="2">
        <v>44523</v>
      </c>
      <c r="C1099" s="3">
        <v>39.44</v>
      </c>
      <c r="D1099" s="3">
        <v>41.13</v>
      </c>
      <c r="E1099" s="3">
        <v>39.06</v>
      </c>
      <c r="F1099" s="3">
        <v>41.13</v>
      </c>
      <c r="G1099" s="3">
        <v>4130700</v>
      </c>
      <c r="H1099" s="8">
        <f t="shared" si="103"/>
        <v>8.9179841897233363</v>
      </c>
      <c r="I1099">
        <f t="shared" si="104"/>
        <v>41.54</v>
      </c>
      <c r="J1099" s="6" cm="1">
        <f t="array" ref="J1099">_xlfn.STDEV.S(IF($A:$A=A1099, $F:$F))</f>
        <v>1.729783223412694</v>
      </c>
      <c r="P1099" s="8">
        <f t="shared" si="105"/>
        <v>8.9179841897233363</v>
      </c>
      <c r="Q1099" s="8">
        <f t="shared" si="106"/>
        <v>8.9179841897233363</v>
      </c>
      <c r="R1099" s="8">
        <f t="shared" si="107"/>
        <v>8.9179841897233363</v>
      </c>
    </row>
    <row r="1100" spans="1:18" x14ac:dyDescent="0.25">
      <c r="A1100" s="7">
        <f t="shared" si="102"/>
        <v>220</v>
      </c>
      <c r="B1100" s="2">
        <v>44524</v>
      </c>
      <c r="C1100" s="3">
        <v>43.21</v>
      </c>
      <c r="D1100" s="3">
        <v>43.21</v>
      </c>
      <c r="E1100" s="3">
        <v>41.9</v>
      </c>
      <c r="F1100" s="3">
        <v>42.34</v>
      </c>
      <c r="G1100" s="3">
        <v>7249800</v>
      </c>
      <c r="H1100" s="8">
        <f t="shared" si="103"/>
        <v>8.9179841897233363</v>
      </c>
      <c r="I1100">
        <f t="shared" si="104"/>
        <v>41.54</v>
      </c>
      <c r="J1100" s="6" cm="1">
        <f t="array" ref="J1100">_xlfn.STDEV.S(IF($A:$A=A1100, $F:$F))</f>
        <v>1.729783223412694</v>
      </c>
      <c r="P1100" s="8">
        <f t="shared" si="105"/>
        <v>8.9179841897233363</v>
      </c>
      <c r="Q1100" s="8">
        <f t="shared" si="106"/>
        <v>8.9179841897233363</v>
      </c>
      <c r="R1100" s="8">
        <f t="shared" si="107"/>
        <v>8.9179841897233363</v>
      </c>
    </row>
    <row r="1101" spans="1:18" x14ac:dyDescent="0.25">
      <c r="A1101" s="7">
        <f t="shared" si="102"/>
        <v>220</v>
      </c>
      <c r="B1101" s="2">
        <v>44525</v>
      </c>
      <c r="C1101" s="3">
        <v>42.34</v>
      </c>
      <c r="D1101" s="3">
        <v>44.2</v>
      </c>
      <c r="E1101" s="3">
        <v>41.85</v>
      </c>
      <c r="F1101" s="3">
        <v>44.09</v>
      </c>
      <c r="G1101" s="3">
        <v>5604900</v>
      </c>
      <c r="H1101" s="8">
        <f t="shared" si="103"/>
        <v>8.9179841897233363</v>
      </c>
      <c r="I1101">
        <f t="shared" si="104"/>
        <v>41.54</v>
      </c>
      <c r="J1101" s="6" cm="1">
        <f t="array" ref="J1101">_xlfn.STDEV.S(IF($A:$A=A1101, $F:$F))</f>
        <v>1.729783223412694</v>
      </c>
      <c r="P1101" s="8">
        <f t="shared" si="105"/>
        <v>8.9179841897233363</v>
      </c>
      <c r="Q1101" s="8">
        <f t="shared" si="106"/>
        <v>8.9179841897233363</v>
      </c>
      <c r="R1101" s="8">
        <f t="shared" si="107"/>
        <v>8.9179841897233363</v>
      </c>
    </row>
    <row r="1102" spans="1:18" x14ac:dyDescent="0.25">
      <c r="A1102" s="7">
        <f t="shared" si="102"/>
        <v>221</v>
      </c>
      <c r="B1102" s="2">
        <v>44526</v>
      </c>
      <c r="C1102" s="3">
        <v>43.98</v>
      </c>
      <c r="D1102" s="3">
        <v>44.2</v>
      </c>
      <c r="E1102" s="3">
        <v>42.67</v>
      </c>
      <c r="F1102" s="3">
        <v>42.99</v>
      </c>
      <c r="G1102" s="3">
        <v>5493100</v>
      </c>
      <c r="H1102" s="8">
        <f t="shared" si="103"/>
        <v>-0.48848569434752465</v>
      </c>
      <c r="I1102">
        <f t="shared" si="104"/>
        <v>43.05</v>
      </c>
      <c r="J1102" s="6" cm="1">
        <f t="array" ref="J1102">_xlfn.STDEV.S(IF($A:$A=A1102, $F:$F))</f>
        <v>0.35686131760110845</v>
      </c>
      <c r="P1102" s="8">
        <f t="shared" si="105"/>
        <v>-0.48848569434752465</v>
      </c>
      <c r="Q1102" s="8">
        <f t="shared" si="106"/>
        <v>-0.48848569434752465</v>
      </c>
      <c r="R1102" s="8">
        <f t="shared" si="107"/>
        <v>-0.48848569434752465</v>
      </c>
    </row>
    <row r="1103" spans="1:18" x14ac:dyDescent="0.25">
      <c r="A1103" s="7">
        <f t="shared" si="102"/>
        <v>221</v>
      </c>
      <c r="B1103" s="2">
        <v>44529</v>
      </c>
      <c r="C1103" s="3">
        <v>41.85</v>
      </c>
      <c r="D1103" s="3">
        <v>43.43</v>
      </c>
      <c r="E1103" s="3">
        <v>41.85</v>
      </c>
      <c r="F1103" s="3">
        <v>43.05</v>
      </c>
      <c r="G1103" s="3">
        <v>3716300</v>
      </c>
      <c r="H1103" s="8">
        <f t="shared" si="103"/>
        <v>-0.48848569434752465</v>
      </c>
      <c r="I1103">
        <f t="shared" si="104"/>
        <v>43.05</v>
      </c>
      <c r="J1103" s="6" cm="1">
        <f t="array" ref="J1103">_xlfn.STDEV.S(IF($A:$A=A1103, $F:$F))</f>
        <v>0.35686131760110845</v>
      </c>
      <c r="P1103" s="8">
        <f t="shared" si="105"/>
        <v>-0.48848569434752465</v>
      </c>
      <c r="Q1103" s="8">
        <f t="shared" si="106"/>
        <v>-0.48848569434752465</v>
      </c>
      <c r="R1103" s="8">
        <f t="shared" si="107"/>
        <v>-0.48848569434752465</v>
      </c>
    </row>
    <row r="1104" spans="1:18" x14ac:dyDescent="0.25">
      <c r="A1104" s="7">
        <f t="shared" si="102"/>
        <v>221</v>
      </c>
      <c r="B1104" s="2">
        <v>44530</v>
      </c>
      <c r="C1104" s="3">
        <v>43.54</v>
      </c>
      <c r="D1104" s="3">
        <v>44.85</v>
      </c>
      <c r="E1104" s="3">
        <v>42.67</v>
      </c>
      <c r="F1104" s="3">
        <v>43.65</v>
      </c>
      <c r="G1104" s="3">
        <v>5704100</v>
      </c>
      <c r="H1104" s="8">
        <f t="shared" si="103"/>
        <v>-0.48848569434752465</v>
      </c>
      <c r="I1104">
        <f t="shared" si="104"/>
        <v>43.05</v>
      </c>
      <c r="J1104" s="6" cm="1">
        <f t="array" ref="J1104">_xlfn.STDEV.S(IF($A:$A=A1104, $F:$F))</f>
        <v>0.35686131760110845</v>
      </c>
      <c r="P1104" s="8">
        <f t="shared" si="105"/>
        <v>-0.48848569434752465</v>
      </c>
      <c r="Q1104" s="8">
        <f t="shared" si="106"/>
        <v>-0.48848569434752465</v>
      </c>
      <c r="R1104" s="8">
        <f t="shared" si="107"/>
        <v>-0.48848569434752465</v>
      </c>
    </row>
    <row r="1105" spans="1:18" x14ac:dyDescent="0.25">
      <c r="A1105" s="7">
        <f t="shared" si="102"/>
        <v>221</v>
      </c>
      <c r="B1105" s="2">
        <v>44531</v>
      </c>
      <c r="C1105" s="3">
        <v>43.43</v>
      </c>
      <c r="D1105" s="3">
        <v>43.65</v>
      </c>
      <c r="E1105" s="3">
        <v>42.39</v>
      </c>
      <c r="F1105" s="3">
        <v>42.78</v>
      </c>
      <c r="G1105" s="3">
        <v>2946900</v>
      </c>
      <c r="H1105" s="8">
        <f t="shared" si="103"/>
        <v>-0.48848569434752465</v>
      </c>
      <c r="I1105">
        <f t="shared" si="104"/>
        <v>43.05</v>
      </c>
      <c r="J1105" s="6" cm="1">
        <f t="array" ref="J1105">_xlfn.STDEV.S(IF($A:$A=A1105, $F:$F))</f>
        <v>0.35686131760110845</v>
      </c>
      <c r="P1105" s="8">
        <f t="shared" si="105"/>
        <v>-0.48848569434752465</v>
      </c>
      <c r="Q1105" s="8">
        <f t="shared" si="106"/>
        <v>-0.48848569434752465</v>
      </c>
      <c r="R1105" s="8">
        <f t="shared" si="107"/>
        <v>-0.48848569434752465</v>
      </c>
    </row>
    <row r="1106" spans="1:18" x14ac:dyDescent="0.25">
      <c r="A1106" s="7">
        <f t="shared" si="102"/>
        <v>221</v>
      </c>
      <c r="B1106" s="2">
        <v>44532</v>
      </c>
      <c r="C1106" s="3">
        <v>42.83</v>
      </c>
      <c r="D1106" s="3">
        <v>43.71</v>
      </c>
      <c r="E1106" s="3">
        <v>42.34</v>
      </c>
      <c r="F1106" s="3">
        <v>42.78</v>
      </c>
      <c r="G1106" s="3">
        <v>2540800</v>
      </c>
      <c r="H1106" s="8">
        <f t="shared" si="103"/>
        <v>-0.48848569434752465</v>
      </c>
      <c r="I1106">
        <f t="shared" si="104"/>
        <v>43.05</v>
      </c>
      <c r="J1106" s="6" cm="1">
        <f t="array" ref="J1106">_xlfn.STDEV.S(IF($A:$A=A1106, $F:$F))</f>
        <v>0.35686131760110845</v>
      </c>
      <c r="P1106" s="8">
        <f t="shared" si="105"/>
        <v>-0.48848569434752465</v>
      </c>
      <c r="Q1106" s="8">
        <f t="shared" si="106"/>
        <v>-0.48848569434752465</v>
      </c>
      <c r="R1106" s="8">
        <f t="shared" si="107"/>
        <v>-0.48848569434752465</v>
      </c>
    </row>
    <row r="1107" spans="1:18" x14ac:dyDescent="0.25">
      <c r="A1107" s="7">
        <f t="shared" si="102"/>
        <v>222</v>
      </c>
      <c r="B1107" s="2">
        <v>44533</v>
      </c>
      <c r="C1107" s="3">
        <v>43.21</v>
      </c>
      <c r="D1107" s="3">
        <v>43.32</v>
      </c>
      <c r="E1107" s="3">
        <v>40.1</v>
      </c>
      <c r="F1107" s="3">
        <v>40.1</v>
      </c>
      <c r="G1107" s="3">
        <v>5301500</v>
      </c>
      <c r="H1107" s="8">
        <f t="shared" si="103"/>
        <v>3.6658354114713187</v>
      </c>
      <c r="I1107">
        <f t="shared" si="104"/>
        <v>40.236000000000004</v>
      </c>
      <c r="J1107" s="6" cm="1">
        <f t="array" ref="J1107">_xlfn.STDEV.S(IF($A:$A=A1107, $F:$F))</f>
        <v>0.82300060753318949</v>
      </c>
      <c r="P1107" s="8">
        <f t="shared" si="105"/>
        <v>3.6658354114713187</v>
      </c>
      <c r="Q1107" s="8">
        <f t="shared" si="106"/>
        <v>3.6658354114713187</v>
      </c>
      <c r="R1107" s="8">
        <f t="shared" si="107"/>
        <v>3.6658354114713187</v>
      </c>
    </row>
    <row r="1108" spans="1:18" x14ac:dyDescent="0.25">
      <c r="A1108" s="7">
        <f t="shared" si="102"/>
        <v>222</v>
      </c>
      <c r="B1108" s="2">
        <v>44536</v>
      </c>
      <c r="C1108" s="3">
        <v>40.21</v>
      </c>
      <c r="D1108" s="3">
        <v>40.92</v>
      </c>
      <c r="E1108" s="3">
        <v>37.36</v>
      </c>
      <c r="F1108" s="3">
        <v>39.380000000000003</v>
      </c>
      <c r="G1108" s="3">
        <v>5826700</v>
      </c>
      <c r="H1108" s="8">
        <f t="shared" si="103"/>
        <v>3.6658354114713187</v>
      </c>
      <c r="I1108">
        <f t="shared" si="104"/>
        <v>40.236000000000004</v>
      </c>
      <c r="J1108" s="6" cm="1">
        <f t="array" ref="J1108">_xlfn.STDEV.S(IF($A:$A=A1108, $F:$F))</f>
        <v>0.82300060753318949</v>
      </c>
      <c r="P1108" s="8">
        <f t="shared" si="105"/>
        <v>3.6658354114713187</v>
      </c>
      <c r="Q1108" s="8">
        <f t="shared" si="106"/>
        <v>3.6658354114713187</v>
      </c>
      <c r="R1108" s="8">
        <f t="shared" si="107"/>
        <v>3.6658354114713187</v>
      </c>
    </row>
    <row r="1109" spans="1:18" x14ac:dyDescent="0.25">
      <c r="A1109" s="7">
        <f t="shared" si="102"/>
        <v>222</v>
      </c>
      <c r="B1109" s="2">
        <v>44537</v>
      </c>
      <c r="C1109" s="3">
        <v>39.880000000000003</v>
      </c>
      <c r="D1109" s="3">
        <v>40.31</v>
      </c>
      <c r="E1109" s="3">
        <v>39.11</v>
      </c>
      <c r="F1109" s="3">
        <v>39.82</v>
      </c>
      <c r="G1109" s="3">
        <v>3704700</v>
      </c>
      <c r="H1109" s="8">
        <f t="shared" si="103"/>
        <v>3.6658354114713187</v>
      </c>
      <c r="I1109">
        <f t="shared" si="104"/>
        <v>40.236000000000004</v>
      </c>
      <c r="J1109" s="6" cm="1">
        <f t="array" ref="J1109">_xlfn.STDEV.S(IF($A:$A=A1109, $F:$F))</f>
        <v>0.82300060753318949</v>
      </c>
      <c r="P1109" s="8">
        <f t="shared" si="105"/>
        <v>3.6658354114713187</v>
      </c>
      <c r="Q1109" s="8">
        <f t="shared" si="106"/>
        <v>3.6658354114713187</v>
      </c>
      <c r="R1109" s="8">
        <f t="shared" si="107"/>
        <v>3.6658354114713187</v>
      </c>
    </row>
    <row r="1110" spans="1:18" x14ac:dyDescent="0.25">
      <c r="A1110" s="7">
        <f t="shared" si="102"/>
        <v>222</v>
      </c>
      <c r="B1110" s="2">
        <v>44538</v>
      </c>
      <c r="C1110" s="3">
        <v>39.93</v>
      </c>
      <c r="D1110" s="3">
        <v>40.75</v>
      </c>
      <c r="E1110" s="3">
        <v>39.659999999999997</v>
      </c>
      <c r="F1110" s="3">
        <v>40.31</v>
      </c>
      <c r="G1110" s="3">
        <v>2474300</v>
      </c>
      <c r="H1110" s="8">
        <f t="shared" si="103"/>
        <v>3.6658354114713187</v>
      </c>
      <c r="I1110">
        <f t="shared" si="104"/>
        <v>40.236000000000004</v>
      </c>
      <c r="J1110" s="6" cm="1">
        <f t="array" ref="J1110">_xlfn.STDEV.S(IF($A:$A=A1110, $F:$F))</f>
        <v>0.82300060753318949</v>
      </c>
      <c r="P1110" s="8">
        <f t="shared" si="105"/>
        <v>3.6658354114713187</v>
      </c>
      <c r="Q1110" s="8">
        <f t="shared" si="106"/>
        <v>3.6658354114713187</v>
      </c>
      <c r="R1110" s="8">
        <f t="shared" si="107"/>
        <v>3.6658354114713187</v>
      </c>
    </row>
    <row r="1111" spans="1:18" x14ac:dyDescent="0.25">
      <c r="A1111" s="7">
        <f t="shared" si="102"/>
        <v>222</v>
      </c>
      <c r="B1111" s="2">
        <v>44539</v>
      </c>
      <c r="C1111" s="3">
        <v>39.93</v>
      </c>
      <c r="D1111" s="3">
        <v>41.57</v>
      </c>
      <c r="E1111" s="3">
        <v>39.93</v>
      </c>
      <c r="F1111" s="3">
        <v>41.57</v>
      </c>
      <c r="G1111" s="3">
        <v>2369500</v>
      </c>
      <c r="H1111" s="8">
        <f t="shared" si="103"/>
        <v>3.6658354114713187</v>
      </c>
      <c r="I1111">
        <f t="shared" si="104"/>
        <v>40.236000000000004</v>
      </c>
      <c r="J1111" s="6" cm="1">
        <f t="array" ref="J1111">_xlfn.STDEV.S(IF($A:$A=A1111, $F:$F))</f>
        <v>0.82300060753318949</v>
      </c>
      <c r="P1111" s="8">
        <f t="shared" si="105"/>
        <v>3.6658354114713187</v>
      </c>
      <c r="Q1111" s="8">
        <f t="shared" si="106"/>
        <v>3.6658354114713187</v>
      </c>
      <c r="R1111" s="8">
        <f t="shared" si="107"/>
        <v>3.6658354114713187</v>
      </c>
    </row>
    <row r="1112" spans="1:18" x14ac:dyDescent="0.25">
      <c r="A1112" s="7">
        <f t="shared" si="102"/>
        <v>223</v>
      </c>
      <c r="B1112" s="2">
        <v>44540</v>
      </c>
      <c r="C1112" s="3">
        <v>41.74</v>
      </c>
      <c r="D1112" s="3">
        <v>42.12</v>
      </c>
      <c r="E1112" s="3">
        <v>41.19</v>
      </c>
      <c r="F1112" s="3">
        <v>41.68</v>
      </c>
      <c r="G1112" s="3">
        <v>2280200</v>
      </c>
      <c r="H1112" s="8">
        <f t="shared" si="103"/>
        <v>-3.0230326295585366</v>
      </c>
      <c r="I1112">
        <f t="shared" si="104"/>
        <v>41.484000000000002</v>
      </c>
      <c r="J1112" s="6" cm="1">
        <f t="array" ref="J1112">_xlfn.STDEV.S(IF($A:$A=A1112, $F:$F))</f>
        <v>0.71142814113584252</v>
      </c>
      <c r="P1112" s="8">
        <f t="shared" si="105"/>
        <v>-3.0230326295585366</v>
      </c>
      <c r="Q1112" s="8">
        <f t="shared" si="106"/>
        <v>-3.0230326295585366</v>
      </c>
      <c r="R1112" s="8">
        <f t="shared" si="107"/>
        <v>-3.0230326295585366</v>
      </c>
    </row>
    <row r="1113" spans="1:18" x14ac:dyDescent="0.25">
      <c r="A1113" s="7">
        <f t="shared" si="102"/>
        <v>223</v>
      </c>
      <c r="B1113" s="2">
        <v>44543</v>
      </c>
      <c r="C1113" s="3">
        <v>42.01</v>
      </c>
      <c r="D1113" s="3">
        <v>42.56</v>
      </c>
      <c r="E1113" s="3">
        <v>41.3</v>
      </c>
      <c r="F1113" s="3">
        <v>42.28</v>
      </c>
      <c r="G1113" s="3">
        <v>2274900</v>
      </c>
      <c r="H1113" s="8">
        <f t="shared" si="103"/>
        <v>-3.0230326295585366</v>
      </c>
      <c r="I1113">
        <f t="shared" si="104"/>
        <v>41.484000000000002</v>
      </c>
      <c r="J1113" s="6" cm="1">
        <f t="array" ref="J1113">_xlfn.STDEV.S(IF($A:$A=A1113, $F:$F))</f>
        <v>0.71142814113584252</v>
      </c>
      <c r="P1113" s="8">
        <f t="shared" si="105"/>
        <v>-3.0230326295585366</v>
      </c>
      <c r="Q1113" s="8">
        <f t="shared" si="106"/>
        <v>-3.0230326295585366</v>
      </c>
      <c r="R1113" s="8">
        <f t="shared" si="107"/>
        <v>-3.0230326295585366</v>
      </c>
    </row>
    <row r="1114" spans="1:18" x14ac:dyDescent="0.25">
      <c r="A1114" s="7">
        <f t="shared" si="102"/>
        <v>223</v>
      </c>
      <c r="B1114" s="2">
        <v>44544</v>
      </c>
      <c r="C1114" s="3">
        <v>42.45</v>
      </c>
      <c r="D1114" s="3">
        <v>42.67</v>
      </c>
      <c r="E1114" s="3">
        <v>41.74</v>
      </c>
      <c r="F1114" s="3">
        <v>41.85</v>
      </c>
      <c r="G1114" s="3">
        <v>2277400</v>
      </c>
      <c r="H1114" s="8">
        <f t="shared" si="103"/>
        <v>-3.0230326295585366</v>
      </c>
      <c r="I1114">
        <f t="shared" si="104"/>
        <v>41.484000000000002</v>
      </c>
      <c r="J1114" s="6" cm="1">
        <f t="array" ref="J1114">_xlfn.STDEV.S(IF($A:$A=A1114, $F:$F))</f>
        <v>0.71142814113584252</v>
      </c>
      <c r="P1114" s="8">
        <f t="shared" si="105"/>
        <v>-3.0230326295585366</v>
      </c>
      <c r="Q1114" s="8">
        <f t="shared" si="106"/>
        <v>-3.0230326295585366</v>
      </c>
      <c r="R1114" s="8">
        <f t="shared" si="107"/>
        <v>-3.0230326295585366</v>
      </c>
    </row>
    <row r="1115" spans="1:18" x14ac:dyDescent="0.25">
      <c r="A1115" s="7">
        <f t="shared" si="102"/>
        <v>223</v>
      </c>
      <c r="B1115" s="2">
        <v>44545</v>
      </c>
      <c r="C1115" s="3">
        <v>41.85</v>
      </c>
      <c r="D1115" s="3">
        <v>42.01</v>
      </c>
      <c r="E1115" s="3">
        <v>41.03</v>
      </c>
      <c r="F1115" s="3">
        <v>41.19</v>
      </c>
      <c r="G1115" s="3">
        <v>2182000</v>
      </c>
      <c r="H1115" s="8">
        <f t="shared" si="103"/>
        <v>-3.0230326295585366</v>
      </c>
      <c r="I1115">
        <f t="shared" si="104"/>
        <v>41.484000000000002</v>
      </c>
      <c r="J1115" s="6" cm="1">
        <f t="array" ref="J1115">_xlfn.STDEV.S(IF($A:$A=A1115, $F:$F))</f>
        <v>0.71142814113584252</v>
      </c>
      <c r="P1115" s="8">
        <f t="shared" si="105"/>
        <v>-3.0230326295585366</v>
      </c>
      <c r="Q1115" s="8">
        <f t="shared" si="106"/>
        <v>-3.0230326295585366</v>
      </c>
      <c r="R1115" s="8">
        <f t="shared" si="107"/>
        <v>-3.0230326295585366</v>
      </c>
    </row>
    <row r="1116" spans="1:18" x14ac:dyDescent="0.25">
      <c r="A1116" s="7">
        <f t="shared" si="102"/>
        <v>223</v>
      </c>
      <c r="B1116" s="2">
        <v>44546</v>
      </c>
      <c r="C1116" s="3">
        <v>41.85</v>
      </c>
      <c r="D1116" s="3">
        <v>41.85</v>
      </c>
      <c r="E1116" s="3">
        <v>40.26</v>
      </c>
      <c r="F1116" s="3">
        <v>40.42</v>
      </c>
      <c r="G1116" s="3">
        <v>2949000</v>
      </c>
      <c r="H1116" s="8">
        <f t="shared" si="103"/>
        <v>-3.0230326295585366</v>
      </c>
      <c r="I1116">
        <f t="shared" si="104"/>
        <v>41.484000000000002</v>
      </c>
      <c r="J1116" s="6" cm="1">
        <f t="array" ref="J1116">_xlfn.STDEV.S(IF($A:$A=A1116, $F:$F))</f>
        <v>0.71142814113584252</v>
      </c>
      <c r="P1116" s="8">
        <f t="shared" si="105"/>
        <v>-3.0230326295585366</v>
      </c>
      <c r="Q1116" s="8">
        <f t="shared" si="106"/>
        <v>-3.0230326295585366</v>
      </c>
      <c r="R1116" s="8">
        <f t="shared" si="107"/>
        <v>-3.0230326295585366</v>
      </c>
    </row>
    <row r="1117" spans="1:18" x14ac:dyDescent="0.25">
      <c r="A1117" s="7">
        <f t="shared" si="102"/>
        <v>224</v>
      </c>
      <c r="B1117" s="2">
        <v>44547</v>
      </c>
      <c r="C1117" s="3">
        <v>40.98</v>
      </c>
      <c r="D1117" s="3">
        <v>41.92</v>
      </c>
      <c r="E1117" s="3">
        <v>40.479999999999997</v>
      </c>
      <c r="F1117" s="3">
        <v>41.7</v>
      </c>
      <c r="G1117" s="3">
        <v>3298300</v>
      </c>
      <c r="H1117" s="8">
        <f t="shared" si="103"/>
        <v>-5.9952038369304548</v>
      </c>
      <c r="I1117">
        <f t="shared" si="104"/>
        <v>41.267999999999994</v>
      </c>
      <c r="J1117" s="6" cm="1">
        <f t="array" ref="J1117">_xlfn.STDEV.S(IF($A:$A=A1117, $F:$F))</f>
        <v>1.3092631515474633</v>
      </c>
      <c r="P1117" s="8">
        <f t="shared" si="105"/>
        <v>-5.9952038369304548</v>
      </c>
      <c r="Q1117" s="8">
        <f t="shared" si="106"/>
        <v>-5.9952038369304548</v>
      </c>
      <c r="R1117" s="8">
        <f t="shared" si="107"/>
        <v>-5.9952038369304548</v>
      </c>
    </row>
    <row r="1118" spans="1:18" x14ac:dyDescent="0.25">
      <c r="A1118" s="7">
        <f t="shared" si="102"/>
        <v>224</v>
      </c>
      <c r="B1118" s="2">
        <v>44550</v>
      </c>
      <c r="C1118" s="3">
        <v>41.53</v>
      </c>
      <c r="D1118" s="3">
        <v>43.37</v>
      </c>
      <c r="E1118" s="3">
        <v>41.42</v>
      </c>
      <c r="F1118" s="3">
        <v>42.65</v>
      </c>
      <c r="G1118" s="3">
        <v>3250700</v>
      </c>
      <c r="H1118" s="8">
        <f t="shared" si="103"/>
        <v>-5.9952038369304548</v>
      </c>
      <c r="I1118">
        <f t="shared" si="104"/>
        <v>41.267999999999994</v>
      </c>
      <c r="J1118" s="6" cm="1">
        <f t="array" ref="J1118">_xlfn.STDEV.S(IF($A:$A=A1118, $F:$F))</f>
        <v>1.3092631515474633</v>
      </c>
      <c r="P1118" s="8">
        <f t="shared" si="105"/>
        <v>-5.9952038369304548</v>
      </c>
      <c r="Q1118" s="8">
        <f t="shared" si="106"/>
        <v>-5.9952038369304548</v>
      </c>
      <c r="R1118" s="8">
        <f t="shared" si="107"/>
        <v>-5.9952038369304548</v>
      </c>
    </row>
    <row r="1119" spans="1:18" x14ac:dyDescent="0.25">
      <c r="A1119" s="7">
        <f t="shared" si="102"/>
        <v>224</v>
      </c>
      <c r="B1119" s="2">
        <v>44551</v>
      </c>
      <c r="C1119" s="3">
        <v>42.26</v>
      </c>
      <c r="D1119" s="3">
        <v>42.92</v>
      </c>
      <c r="E1119" s="3">
        <v>41.87</v>
      </c>
      <c r="F1119" s="3">
        <v>41.87</v>
      </c>
      <c r="G1119" s="3">
        <v>2128100</v>
      </c>
      <c r="H1119" s="8">
        <f t="shared" si="103"/>
        <v>-5.9952038369304548</v>
      </c>
      <c r="I1119">
        <f t="shared" si="104"/>
        <v>41.267999999999994</v>
      </c>
      <c r="J1119" s="6" cm="1">
        <f t="array" ref="J1119">_xlfn.STDEV.S(IF($A:$A=A1119, $F:$F))</f>
        <v>1.3092631515474633</v>
      </c>
      <c r="P1119" s="8">
        <f t="shared" si="105"/>
        <v>-5.9952038369304548</v>
      </c>
      <c r="Q1119" s="8">
        <f t="shared" si="106"/>
        <v>-5.9952038369304548</v>
      </c>
      <c r="R1119" s="8">
        <f t="shared" si="107"/>
        <v>-5.9952038369304548</v>
      </c>
    </row>
    <row r="1120" spans="1:18" x14ac:dyDescent="0.25">
      <c r="A1120" s="7">
        <f t="shared" si="102"/>
        <v>224</v>
      </c>
      <c r="B1120" s="2">
        <v>44552</v>
      </c>
      <c r="C1120" s="3">
        <v>42.15</v>
      </c>
      <c r="D1120" s="3">
        <v>42.15</v>
      </c>
      <c r="E1120" s="3">
        <v>40.700000000000003</v>
      </c>
      <c r="F1120" s="3">
        <v>40.92</v>
      </c>
      <c r="G1120" s="3">
        <v>2984300</v>
      </c>
      <c r="H1120" s="8">
        <f t="shared" si="103"/>
        <v>-5.9952038369304548</v>
      </c>
      <c r="I1120">
        <f t="shared" si="104"/>
        <v>41.267999999999994</v>
      </c>
      <c r="J1120" s="6" cm="1">
        <f t="array" ref="J1120">_xlfn.STDEV.S(IF($A:$A=A1120, $F:$F))</f>
        <v>1.3092631515474633</v>
      </c>
      <c r="P1120" s="8">
        <f t="shared" si="105"/>
        <v>-5.9952038369304548</v>
      </c>
      <c r="Q1120" s="8">
        <f t="shared" si="106"/>
        <v>-5.9952038369304548</v>
      </c>
      <c r="R1120" s="8">
        <f t="shared" si="107"/>
        <v>-5.9952038369304548</v>
      </c>
    </row>
    <row r="1121" spans="1:18" x14ac:dyDescent="0.25">
      <c r="A1121" s="7">
        <f t="shared" si="102"/>
        <v>224</v>
      </c>
      <c r="B1121" s="2">
        <v>44553</v>
      </c>
      <c r="C1121" s="3">
        <v>40.700000000000003</v>
      </c>
      <c r="D1121" s="3">
        <v>40.869999999999997</v>
      </c>
      <c r="E1121" s="3">
        <v>38.479999999999997</v>
      </c>
      <c r="F1121" s="3">
        <v>39.200000000000003</v>
      </c>
      <c r="G1121" s="3">
        <v>4918900</v>
      </c>
      <c r="H1121" s="8">
        <f t="shared" si="103"/>
        <v>-5.9952038369304548</v>
      </c>
      <c r="I1121">
        <f t="shared" si="104"/>
        <v>41.267999999999994</v>
      </c>
      <c r="J1121" s="6" cm="1">
        <f t="array" ref="J1121">_xlfn.STDEV.S(IF($A:$A=A1121, $F:$F))</f>
        <v>1.3092631515474633</v>
      </c>
      <c r="P1121" s="8">
        <f t="shared" si="105"/>
        <v>-5.9952038369304548</v>
      </c>
      <c r="Q1121" s="8">
        <f t="shared" si="106"/>
        <v>-5.9952038369304548</v>
      </c>
      <c r="R1121" s="8">
        <f t="shared" si="107"/>
        <v>-5.9952038369304548</v>
      </c>
    </row>
    <row r="1122" spans="1:18" x14ac:dyDescent="0.25">
      <c r="A1122" s="7">
        <f t="shared" si="102"/>
        <v>225</v>
      </c>
      <c r="B1122" s="2">
        <v>44554</v>
      </c>
      <c r="C1122" s="3">
        <v>40.03</v>
      </c>
      <c r="D1122" s="3">
        <v>40.03</v>
      </c>
      <c r="E1122" s="3">
        <v>39.090000000000003</v>
      </c>
      <c r="F1122" s="3">
        <v>39.869999999999997</v>
      </c>
      <c r="G1122" s="3">
        <v>1611100</v>
      </c>
      <c r="H1122" s="8">
        <f t="shared" si="103"/>
        <v>3.0599448206671833</v>
      </c>
      <c r="I1122">
        <f t="shared" si="104"/>
        <v>40.033999999999999</v>
      </c>
      <c r="J1122" s="6" cm="1">
        <f t="array" ref="J1122">_xlfn.STDEV.S(IF($A:$A=A1122, $F:$F))</f>
        <v>0.61484144297534349</v>
      </c>
      <c r="P1122" s="8">
        <f t="shared" si="105"/>
        <v>3.0599448206671833</v>
      </c>
      <c r="Q1122" s="8">
        <f t="shared" si="106"/>
        <v>3.0599448206671833</v>
      </c>
      <c r="R1122" s="8">
        <f t="shared" si="107"/>
        <v>3.0599448206671833</v>
      </c>
    </row>
    <row r="1123" spans="1:18" x14ac:dyDescent="0.25">
      <c r="A1123" s="7">
        <f t="shared" si="102"/>
        <v>225</v>
      </c>
      <c r="B1123" s="2">
        <v>44557</v>
      </c>
      <c r="C1123" s="3">
        <v>40.53</v>
      </c>
      <c r="D1123" s="3">
        <v>40.53</v>
      </c>
      <c r="E1123" s="3">
        <v>39.53</v>
      </c>
      <c r="F1123" s="3">
        <v>39.81</v>
      </c>
      <c r="G1123" s="3">
        <v>1214000</v>
      </c>
      <c r="H1123" s="8">
        <f t="shared" si="103"/>
        <v>3.0599448206671833</v>
      </c>
      <c r="I1123">
        <f t="shared" si="104"/>
        <v>40.033999999999999</v>
      </c>
      <c r="J1123" s="6" cm="1">
        <f t="array" ref="J1123">_xlfn.STDEV.S(IF($A:$A=A1123, $F:$F))</f>
        <v>0.61484144297534349</v>
      </c>
      <c r="P1123" s="8">
        <f t="shared" si="105"/>
        <v>3.0599448206671833</v>
      </c>
      <c r="Q1123" s="8">
        <f t="shared" si="106"/>
        <v>3.0599448206671833</v>
      </c>
      <c r="R1123" s="8">
        <f t="shared" si="107"/>
        <v>3.0599448206671833</v>
      </c>
    </row>
    <row r="1124" spans="1:18" x14ac:dyDescent="0.25">
      <c r="A1124" s="7">
        <f t="shared" si="102"/>
        <v>225</v>
      </c>
      <c r="B1124" s="2">
        <v>44558</v>
      </c>
      <c r="C1124" s="3">
        <v>39.700000000000003</v>
      </c>
      <c r="D1124" s="3">
        <v>40.26</v>
      </c>
      <c r="E1124" s="3">
        <v>39.479999999999997</v>
      </c>
      <c r="F1124" s="3">
        <v>39.479999999999997</v>
      </c>
      <c r="G1124" s="3">
        <v>1892100</v>
      </c>
      <c r="H1124" s="8">
        <f t="shared" si="103"/>
        <v>3.0599448206671833</v>
      </c>
      <c r="I1124">
        <f t="shared" si="104"/>
        <v>40.033999999999999</v>
      </c>
      <c r="J1124" s="6" cm="1">
        <f t="array" ref="J1124">_xlfn.STDEV.S(IF($A:$A=A1124, $F:$F))</f>
        <v>0.61484144297534349</v>
      </c>
      <c r="P1124" s="8">
        <f t="shared" si="105"/>
        <v>3.0599448206671833</v>
      </c>
      <c r="Q1124" s="8">
        <f t="shared" si="106"/>
        <v>3.0599448206671833</v>
      </c>
      <c r="R1124" s="8">
        <f t="shared" si="107"/>
        <v>3.0599448206671833</v>
      </c>
    </row>
    <row r="1125" spans="1:18" x14ac:dyDescent="0.25">
      <c r="A1125" s="7">
        <f t="shared" si="102"/>
        <v>225</v>
      </c>
      <c r="B1125" s="2">
        <v>44559</v>
      </c>
      <c r="C1125" s="3">
        <v>39.479999999999997</v>
      </c>
      <c r="D1125" s="3">
        <v>40.42</v>
      </c>
      <c r="E1125" s="3">
        <v>39.200000000000003</v>
      </c>
      <c r="F1125" s="3">
        <v>39.92</v>
      </c>
      <c r="G1125" s="3">
        <v>1343600</v>
      </c>
      <c r="H1125" s="8">
        <f t="shared" si="103"/>
        <v>3.0599448206671833</v>
      </c>
      <c r="I1125">
        <f t="shared" si="104"/>
        <v>40.033999999999999</v>
      </c>
      <c r="J1125" s="6" cm="1">
        <f t="array" ref="J1125">_xlfn.STDEV.S(IF($A:$A=A1125, $F:$F))</f>
        <v>0.61484144297534349</v>
      </c>
      <c r="P1125" s="8">
        <f t="shared" si="105"/>
        <v>3.0599448206671833</v>
      </c>
      <c r="Q1125" s="8">
        <f t="shared" si="106"/>
        <v>3.0599448206671833</v>
      </c>
      <c r="R1125" s="8">
        <f t="shared" si="107"/>
        <v>3.0599448206671833</v>
      </c>
    </row>
    <row r="1126" spans="1:18" x14ac:dyDescent="0.25">
      <c r="A1126" s="7">
        <f t="shared" si="102"/>
        <v>225</v>
      </c>
      <c r="B1126" s="2">
        <v>44560</v>
      </c>
      <c r="C1126" s="3">
        <v>40.090000000000003</v>
      </c>
      <c r="D1126" s="3">
        <v>41.42</v>
      </c>
      <c r="E1126" s="3">
        <v>40.090000000000003</v>
      </c>
      <c r="F1126" s="3">
        <v>41.09</v>
      </c>
      <c r="G1126" s="3">
        <v>1680400</v>
      </c>
      <c r="H1126" s="8">
        <f t="shared" si="103"/>
        <v>3.0599448206671833</v>
      </c>
      <c r="I1126">
        <f t="shared" si="104"/>
        <v>40.033999999999999</v>
      </c>
      <c r="J1126" s="6" cm="1">
        <f t="array" ref="J1126">_xlfn.STDEV.S(IF($A:$A=A1126, $F:$F))</f>
        <v>0.61484144297534349</v>
      </c>
      <c r="P1126" s="8">
        <f t="shared" si="105"/>
        <v>3.0599448206671833</v>
      </c>
      <c r="Q1126" s="8">
        <f t="shared" si="106"/>
        <v>3.0599448206671833</v>
      </c>
      <c r="R1126" s="8">
        <f t="shared" si="107"/>
        <v>3.0599448206671833</v>
      </c>
    </row>
    <row r="1127" spans="1:18" x14ac:dyDescent="0.25">
      <c r="A1127" s="7">
        <f t="shared" si="102"/>
        <v>226</v>
      </c>
      <c r="B1127" s="2">
        <v>44561</v>
      </c>
      <c r="C1127" s="3">
        <v>41.31</v>
      </c>
      <c r="D1127" s="3">
        <v>41.37</v>
      </c>
      <c r="E1127" s="3">
        <v>40.31</v>
      </c>
      <c r="F1127" s="3">
        <v>40.479999999999997</v>
      </c>
      <c r="G1127" s="3">
        <v>1168200</v>
      </c>
      <c r="H1127" s="8">
        <f t="shared" si="103"/>
        <v>-0.9634387351778495</v>
      </c>
      <c r="I1127">
        <f t="shared" si="104"/>
        <v>40.634</v>
      </c>
      <c r="J1127" s="6" cm="1">
        <f t="array" ref="J1127">_xlfn.STDEV.S(IF($A:$A=A1127, $F:$F))</f>
        <v>0.51188865976889764</v>
      </c>
      <c r="P1127" s="8">
        <f t="shared" si="105"/>
        <v>-0.9634387351778495</v>
      </c>
      <c r="Q1127" s="8">
        <f t="shared" si="106"/>
        <v>-0.9634387351778495</v>
      </c>
      <c r="R1127" s="8">
        <f t="shared" si="107"/>
        <v>-0.9634387351778495</v>
      </c>
    </row>
    <row r="1128" spans="1:18" x14ac:dyDescent="0.25">
      <c r="A1128" s="7">
        <f t="shared" si="102"/>
        <v>226</v>
      </c>
      <c r="B1128" s="2">
        <v>44565</v>
      </c>
      <c r="C1128" s="3">
        <v>40.700000000000003</v>
      </c>
      <c r="D1128" s="3">
        <v>41.59</v>
      </c>
      <c r="E1128" s="3">
        <v>40.369999999999997</v>
      </c>
      <c r="F1128" s="3">
        <v>41.37</v>
      </c>
      <c r="G1128" s="3">
        <v>2614500</v>
      </c>
      <c r="H1128" s="8">
        <f t="shared" si="103"/>
        <v>-0.9634387351778495</v>
      </c>
      <c r="I1128">
        <f t="shared" si="104"/>
        <v>40.634</v>
      </c>
      <c r="J1128" s="6" cm="1">
        <f t="array" ref="J1128">_xlfn.STDEV.S(IF($A:$A=A1128, $F:$F))</f>
        <v>0.51188865976889764</v>
      </c>
      <c r="P1128" s="8">
        <f t="shared" si="105"/>
        <v>-0.9634387351778495</v>
      </c>
      <c r="Q1128" s="8">
        <f t="shared" si="106"/>
        <v>-0.9634387351778495</v>
      </c>
      <c r="R1128" s="8">
        <f t="shared" si="107"/>
        <v>-0.9634387351778495</v>
      </c>
    </row>
    <row r="1129" spans="1:18" x14ac:dyDescent="0.25">
      <c r="A1129" s="7">
        <f t="shared" si="102"/>
        <v>226</v>
      </c>
      <c r="B1129" s="2">
        <v>44566</v>
      </c>
      <c r="C1129" s="3">
        <v>41.76</v>
      </c>
      <c r="D1129" s="3">
        <v>42.09</v>
      </c>
      <c r="E1129" s="3">
        <v>40.92</v>
      </c>
      <c r="F1129" s="3">
        <v>40.92</v>
      </c>
      <c r="G1129" s="3">
        <v>2062300</v>
      </c>
      <c r="H1129" s="8">
        <f t="shared" si="103"/>
        <v>-0.9634387351778495</v>
      </c>
      <c r="I1129">
        <f t="shared" si="104"/>
        <v>40.634</v>
      </c>
      <c r="J1129" s="6" cm="1">
        <f t="array" ref="J1129">_xlfn.STDEV.S(IF($A:$A=A1129, $F:$F))</f>
        <v>0.51188865976889764</v>
      </c>
      <c r="P1129" s="8">
        <f t="shared" si="105"/>
        <v>-0.9634387351778495</v>
      </c>
      <c r="Q1129" s="8">
        <f t="shared" si="106"/>
        <v>-0.9634387351778495</v>
      </c>
      <c r="R1129" s="8">
        <f t="shared" si="107"/>
        <v>-0.9634387351778495</v>
      </c>
    </row>
    <row r="1130" spans="1:18" x14ac:dyDescent="0.25">
      <c r="A1130" s="7">
        <f t="shared" si="102"/>
        <v>226</v>
      </c>
      <c r="B1130" s="2">
        <v>44567</v>
      </c>
      <c r="C1130" s="3">
        <v>40.76</v>
      </c>
      <c r="D1130" s="3">
        <v>41.26</v>
      </c>
      <c r="E1130" s="3">
        <v>40.31</v>
      </c>
      <c r="F1130" s="3">
        <v>40.31</v>
      </c>
      <c r="G1130" s="3">
        <v>2457900</v>
      </c>
      <c r="H1130" s="8">
        <f t="shared" si="103"/>
        <v>-0.9634387351778495</v>
      </c>
      <c r="I1130">
        <f t="shared" si="104"/>
        <v>40.634</v>
      </c>
      <c r="J1130" s="6" cm="1">
        <f t="array" ref="J1130">_xlfn.STDEV.S(IF($A:$A=A1130, $F:$F))</f>
        <v>0.51188865976889764</v>
      </c>
      <c r="P1130" s="8">
        <f t="shared" si="105"/>
        <v>-0.9634387351778495</v>
      </c>
      <c r="Q1130" s="8">
        <f t="shared" si="106"/>
        <v>-0.9634387351778495</v>
      </c>
      <c r="R1130" s="8">
        <f t="shared" si="107"/>
        <v>-0.9634387351778495</v>
      </c>
    </row>
    <row r="1131" spans="1:18" x14ac:dyDescent="0.25">
      <c r="A1131" s="7">
        <f t="shared" si="102"/>
        <v>226</v>
      </c>
      <c r="B1131" s="2">
        <v>44568</v>
      </c>
      <c r="C1131" s="3">
        <v>40.090000000000003</v>
      </c>
      <c r="D1131" s="3">
        <v>40.64</v>
      </c>
      <c r="E1131" s="3">
        <v>39.76</v>
      </c>
      <c r="F1131" s="3">
        <v>40.090000000000003</v>
      </c>
      <c r="G1131" s="3">
        <v>2293700</v>
      </c>
      <c r="H1131" s="8">
        <f t="shared" si="103"/>
        <v>-0.9634387351778495</v>
      </c>
      <c r="I1131">
        <f t="shared" si="104"/>
        <v>40.634</v>
      </c>
      <c r="J1131" s="6" cm="1">
        <f t="array" ref="J1131">_xlfn.STDEV.S(IF($A:$A=A1131, $F:$F))</f>
        <v>0.51188865976889764</v>
      </c>
      <c r="P1131" s="8">
        <f t="shared" si="105"/>
        <v>-0.9634387351778495</v>
      </c>
      <c r="Q1131" s="8">
        <f t="shared" si="106"/>
        <v>-0.9634387351778495</v>
      </c>
      <c r="R1131" s="8">
        <f t="shared" si="107"/>
        <v>-0.9634387351778495</v>
      </c>
    </row>
    <row r="1132" spans="1:18" x14ac:dyDescent="0.25">
      <c r="A1132" s="7">
        <f t="shared" si="102"/>
        <v>227</v>
      </c>
      <c r="B1132" s="2">
        <v>44571</v>
      </c>
      <c r="C1132" s="3">
        <v>40.03</v>
      </c>
      <c r="D1132" s="3">
        <v>40.200000000000003</v>
      </c>
      <c r="E1132" s="3">
        <v>37.81</v>
      </c>
      <c r="F1132" s="3">
        <v>37.81</v>
      </c>
      <c r="G1132" s="3">
        <v>3317800</v>
      </c>
      <c r="H1132" s="8">
        <f t="shared" si="103"/>
        <v>-8.6749537159481633</v>
      </c>
      <c r="I1132">
        <f t="shared" si="104"/>
        <v>35.976000000000006</v>
      </c>
      <c r="J1132" s="6" cm="1">
        <f t="array" ref="J1132">_xlfn.STDEV.S(IF($A:$A=A1132, $F:$F))</f>
        <v>1.3134991435094283</v>
      </c>
      <c r="P1132" s="8">
        <f t="shared" si="105"/>
        <v>-8.6749537159481633</v>
      </c>
      <c r="Q1132" s="8">
        <f t="shared" si="106"/>
        <v>-8.6749537159481633</v>
      </c>
      <c r="R1132" s="11">
        <f t="shared" si="107"/>
        <v>-8.6749537159481633</v>
      </c>
    </row>
    <row r="1133" spans="1:18" x14ac:dyDescent="0.25">
      <c r="A1133" s="7">
        <f t="shared" si="102"/>
        <v>227</v>
      </c>
      <c r="B1133" s="2">
        <v>44572</v>
      </c>
      <c r="C1133" s="3">
        <v>38.14</v>
      </c>
      <c r="D1133" s="3">
        <v>38.92</v>
      </c>
      <c r="E1133" s="3">
        <v>35.58</v>
      </c>
      <c r="F1133" s="3">
        <v>35.81</v>
      </c>
      <c r="G1133" s="3">
        <v>5277900</v>
      </c>
      <c r="H1133" s="8">
        <f t="shared" si="103"/>
        <v>-8.6749537159481633</v>
      </c>
      <c r="I1133">
        <f t="shared" si="104"/>
        <v>35.976000000000006</v>
      </c>
      <c r="J1133" s="6" cm="1">
        <f t="array" ref="J1133">_xlfn.STDEV.S(IF($A:$A=A1133, $F:$F))</f>
        <v>1.3134991435094283</v>
      </c>
      <c r="P1133" s="8">
        <f t="shared" si="105"/>
        <v>-8.6749537159481633</v>
      </c>
      <c r="Q1133" s="8">
        <f t="shared" si="106"/>
        <v>-8.6749537159481633</v>
      </c>
      <c r="R1133" s="11">
        <f t="shared" si="107"/>
        <v>-8.6749537159481633</v>
      </c>
    </row>
    <row r="1134" spans="1:18" x14ac:dyDescent="0.25">
      <c r="A1134" s="7">
        <f t="shared" si="102"/>
        <v>227</v>
      </c>
      <c r="B1134" s="2">
        <v>44573</v>
      </c>
      <c r="C1134" s="3">
        <v>35.86</v>
      </c>
      <c r="D1134" s="3">
        <v>36.97</v>
      </c>
      <c r="E1134" s="3">
        <v>34.700000000000003</v>
      </c>
      <c r="F1134" s="3">
        <v>36.700000000000003</v>
      </c>
      <c r="G1134" s="3">
        <v>4082600</v>
      </c>
      <c r="H1134" s="8">
        <f t="shared" si="103"/>
        <v>-8.6749537159481633</v>
      </c>
      <c r="I1134">
        <f t="shared" si="104"/>
        <v>35.976000000000006</v>
      </c>
      <c r="J1134" s="6" cm="1">
        <f t="array" ref="J1134">_xlfn.STDEV.S(IF($A:$A=A1134, $F:$F))</f>
        <v>1.3134991435094283</v>
      </c>
      <c r="P1134" s="8">
        <f t="shared" si="105"/>
        <v>-8.6749537159481633</v>
      </c>
      <c r="Q1134" s="8">
        <f t="shared" si="106"/>
        <v>-8.6749537159481633</v>
      </c>
      <c r="R1134" s="11">
        <f t="shared" si="107"/>
        <v>-8.6749537159481633</v>
      </c>
    </row>
    <row r="1135" spans="1:18" x14ac:dyDescent="0.25">
      <c r="A1135" s="7">
        <f t="shared" si="102"/>
        <v>227</v>
      </c>
      <c r="B1135" s="2">
        <v>44574</v>
      </c>
      <c r="C1135" s="3">
        <v>37.25</v>
      </c>
      <c r="D1135" s="3">
        <v>37.25</v>
      </c>
      <c r="E1135" s="3">
        <v>35.03</v>
      </c>
      <c r="F1135" s="3">
        <v>35.03</v>
      </c>
      <c r="G1135" s="3">
        <v>2861300</v>
      </c>
      <c r="H1135" s="8">
        <f t="shared" si="103"/>
        <v>-8.6749537159481633</v>
      </c>
      <c r="I1135">
        <f t="shared" si="104"/>
        <v>35.976000000000006</v>
      </c>
      <c r="J1135" s="6" cm="1">
        <f t="array" ref="J1135">_xlfn.STDEV.S(IF($A:$A=A1135, $F:$F))</f>
        <v>1.3134991435094283</v>
      </c>
      <c r="P1135" s="8">
        <f t="shared" si="105"/>
        <v>-8.6749537159481633</v>
      </c>
      <c r="Q1135" s="8">
        <f t="shared" si="106"/>
        <v>-8.6749537159481633</v>
      </c>
      <c r="R1135" s="11">
        <f t="shared" si="107"/>
        <v>-8.6749537159481633</v>
      </c>
    </row>
    <row r="1136" spans="1:18" x14ac:dyDescent="0.25">
      <c r="A1136" s="7">
        <f t="shared" si="102"/>
        <v>227</v>
      </c>
      <c r="B1136" s="2">
        <v>44575</v>
      </c>
      <c r="C1136" s="3">
        <v>34.75</v>
      </c>
      <c r="D1136" s="3">
        <v>35.36</v>
      </c>
      <c r="E1136" s="3">
        <v>34.53</v>
      </c>
      <c r="F1136" s="3">
        <v>34.53</v>
      </c>
      <c r="G1136" s="3">
        <v>2309100</v>
      </c>
      <c r="H1136" s="8">
        <f t="shared" si="103"/>
        <v>-8.6749537159481633</v>
      </c>
      <c r="I1136">
        <f t="shared" si="104"/>
        <v>35.976000000000006</v>
      </c>
      <c r="J1136" s="6" cm="1">
        <f t="array" ref="J1136">_xlfn.STDEV.S(IF($A:$A=A1136, $F:$F))</f>
        <v>1.3134991435094283</v>
      </c>
      <c r="P1136" s="8">
        <f t="shared" si="105"/>
        <v>-8.6749537159481633</v>
      </c>
      <c r="Q1136" s="8">
        <f t="shared" si="106"/>
        <v>-8.6749537159481633</v>
      </c>
      <c r="R1136" s="11">
        <f t="shared" si="107"/>
        <v>-8.6749537159481633</v>
      </c>
    </row>
    <row r="1137" spans="1:18" x14ac:dyDescent="0.25">
      <c r="A1137" s="7">
        <f t="shared" si="102"/>
        <v>228</v>
      </c>
      <c r="B1137" s="2">
        <v>44578</v>
      </c>
      <c r="C1137" s="3">
        <v>34.58</v>
      </c>
      <c r="D1137" s="3">
        <v>34.58</v>
      </c>
      <c r="E1137" s="3">
        <v>32.14</v>
      </c>
      <c r="F1137" s="3">
        <v>32.14</v>
      </c>
      <c r="G1137" s="3">
        <v>7520800</v>
      </c>
      <c r="H1137" s="8">
        <f t="shared" si="103"/>
        <v>0.15556938394523073</v>
      </c>
      <c r="I1137">
        <f t="shared" si="104"/>
        <v>31.879999999999995</v>
      </c>
      <c r="J1137" s="6" cm="1">
        <f t="array" ref="J1137">_xlfn.STDEV.S(IF($A:$A=A1137, $F:$F))</f>
        <v>1.2009163168181196</v>
      </c>
      <c r="P1137" s="8">
        <f t="shared" si="105"/>
        <v>0.15556938394523073</v>
      </c>
      <c r="Q1137" s="8">
        <f t="shared" si="106"/>
        <v>0.15556938394523073</v>
      </c>
      <c r="R1137" s="8">
        <f t="shared" si="107"/>
        <v>0.15556938394523073</v>
      </c>
    </row>
    <row r="1138" spans="1:18" x14ac:dyDescent="0.25">
      <c r="A1138" s="7">
        <f t="shared" si="102"/>
        <v>228</v>
      </c>
      <c r="B1138" s="2">
        <v>44579</v>
      </c>
      <c r="C1138" s="3">
        <v>31.47</v>
      </c>
      <c r="D1138" s="3">
        <v>32.08</v>
      </c>
      <c r="E1138" s="3">
        <v>29.91</v>
      </c>
      <c r="F1138" s="3">
        <v>29.91</v>
      </c>
      <c r="G1138" s="3">
        <v>4877300</v>
      </c>
      <c r="H1138" s="8">
        <f t="shared" si="103"/>
        <v>0.15556938394523073</v>
      </c>
      <c r="I1138">
        <f t="shared" si="104"/>
        <v>31.879999999999995</v>
      </c>
      <c r="J1138" s="6" cm="1">
        <f t="array" ref="J1138">_xlfn.STDEV.S(IF($A:$A=A1138, $F:$F))</f>
        <v>1.2009163168181196</v>
      </c>
      <c r="P1138" s="8">
        <f t="shared" si="105"/>
        <v>0.15556938394523073</v>
      </c>
      <c r="Q1138" s="8">
        <f t="shared" si="106"/>
        <v>0.15556938394523073</v>
      </c>
      <c r="R1138" s="8">
        <f t="shared" si="107"/>
        <v>0.15556938394523073</v>
      </c>
    </row>
    <row r="1139" spans="1:18" x14ac:dyDescent="0.25">
      <c r="A1139" s="7">
        <f t="shared" si="102"/>
        <v>228</v>
      </c>
      <c r="B1139" s="2">
        <v>44580</v>
      </c>
      <c r="C1139" s="3">
        <v>30.97</v>
      </c>
      <c r="D1139" s="3">
        <v>31.97</v>
      </c>
      <c r="E1139" s="3">
        <v>30.69</v>
      </c>
      <c r="F1139" s="3">
        <v>31.97</v>
      </c>
      <c r="G1139" s="3">
        <v>3246000</v>
      </c>
      <c r="H1139" s="8">
        <f t="shared" si="103"/>
        <v>0.15556938394523073</v>
      </c>
      <c r="I1139">
        <f t="shared" si="104"/>
        <v>31.879999999999995</v>
      </c>
      <c r="J1139" s="6" cm="1">
        <f t="array" ref="J1139">_xlfn.STDEV.S(IF($A:$A=A1139, $F:$F))</f>
        <v>1.2009163168181196</v>
      </c>
      <c r="P1139" s="8">
        <f t="shared" si="105"/>
        <v>0.15556938394523073</v>
      </c>
      <c r="Q1139" s="8">
        <f t="shared" si="106"/>
        <v>0.15556938394523073</v>
      </c>
      <c r="R1139" s="8">
        <f t="shared" si="107"/>
        <v>0.15556938394523073</v>
      </c>
    </row>
    <row r="1140" spans="1:18" x14ac:dyDescent="0.25">
      <c r="A1140" s="7">
        <f t="shared" si="102"/>
        <v>228</v>
      </c>
      <c r="B1140" s="2">
        <v>44581</v>
      </c>
      <c r="C1140" s="3">
        <v>32.799999999999997</v>
      </c>
      <c r="D1140" s="3">
        <v>33.47</v>
      </c>
      <c r="E1140" s="3">
        <v>31.86</v>
      </c>
      <c r="F1140" s="3">
        <v>33.19</v>
      </c>
      <c r="G1140" s="3">
        <v>2513200</v>
      </c>
      <c r="H1140" s="8">
        <f t="shared" si="103"/>
        <v>0.15556938394523073</v>
      </c>
      <c r="I1140">
        <f t="shared" si="104"/>
        <v>31.879999999999995</v>
      </c>
      <c r="J1140" s="6" cm="1">
        <f t="array" ref="J1140">_xlfn.STDEV.S(IF($A:$A=A1140, $F:$F))</f>
        <v>1.2009163168181196</v>
      </c>
      <c r="P1140" s="8">
        <f t="shared" si="105"/>
        <v>0.15556938394523073</v>
      </c>
      <c r="Q1140" s="8">
        <f t="shared" si="106"/>
        <v>0.15556938394523073</v>
      </c>
      <c r="R1140" s="8">
        <f t="shared" si="107"/>
        <v>0.15556938394523073</v>
      </c>
    </row>
    <row r="1141" spans="1:18" x14ac:dyDescent="0.25">
      <c r="A1141" s="7">
        <f t="shared" si="102"/>
        <v>228</v>
      </c>
      <c r="B1141" s="2">
        <v>44582</v>
      </c>
      <c r="C1141" s="3">
        <v>33.36</v>
      </c>
      <c r="D1141" s="3">
        <v>33.36</v>
      </c>
      <c r="E1141" s="3">
        <v>31.97</v>
      </c>
      <c r="F1141" s="3">
        <v>32.19</v>
      </c>
      <c r="G1141" s="3">
        <v>2397500</v>
      </c>
      <c r="H1141" s="8">
        <f t="shared" si="103"/>
        <v>0.15556938394523073</v>
      </c>
      <c r="I1141">
        <f t="shared" si="104"/>
        <v>31.879999999999995</v>
      </c>
      <c r="J1141" s="6" cm="1">
        <f t="array" ref="J1141">_xlfn.STDEV.S(IF($A:$A=A1141, $F:$F))</f>
        <v>1.2009163168181196</v>
      </c>
      <c r="P1141" s="8">
        <f t="shared" si="105"/>
        <v>0.15556938394523073</v>
      </c>
      <c r="Q1141" s="8">
        <f t="shared" si="106"/>
        <v>0.15556938394523073</v>
      </c>
      <c r="R1141" s="8">
        <f t="shared" si="107"/>
        <v>0.15556938394523073</v>
      </c>
    </row>
    <row r="1142" spans="1:18" x14ac:dyDescent="0.25">
      <c r="A1142" s="7">
        <f t="shared" si="102"/>
        <v>229</v>
      </c>
      <c r="B1142" s="2">
        <v>44585</v>
      </c>
      <c r="C1142" s="3">
        <v>31.47</v>
      </c>
      <c r="D1142" s="3">
        <v>31.69</v>
      </c>
      <c r="E1142" s="3">
        <v>29.97</v>
      </c>
      <c r="F1142" s="3">
        <v>29.97</v>
      </c>
      <c r="G1142" s="3">
        <v>4075800</v>
      </c>
      <c r="H1142" s="8">
        <f t="shared" si="103"/>
        <v>3.9039039039039096</v>
      </c>
      <c r="I1142">
        <f t="shared" si="104"/>
        <v>30.46</v>
      </c>
      <c r="J1142" s="6" cm="1">
        <f t="array" ref="J1142">_xlfn.STDEV.S(IF($A:$A=A1142, $F:$F))</f>
        <v>0.4484974916317821</v>
      </c>
      <c r="P1142" s="8">
        <f t="shared" si="105"/>
        <v>3.9039039039039096</v>
      </c>
      <c r="Q1142" s="8">
        <f t="shared" si="106"/>
        <v>3.9039039039039096</v>
      </c>
      <c r="R1142" s="8">
        <f t="shared" si="107"/>
        <v>3.9039039039039096</v>
      </c>
    </row>
    <row r="1143" spans="1:18" x14ac:dyDescent="0.25">
      <c r="A1143" s="7">
        <f t="shared" si="102"/>
        <v>229</v>
      </c>
      <c r="B1143" s="2">
        <v>44586</v>
      </c>
      <c r="C1143" s="3">
        <v>29.36</v>
      </c>
      <c r="D1143" s="3">
        <v>30.47</v>
      </c>
      <c r="E1143" s="3">
        <v>29.36</v>
      </c>
      <c r="F1143" s="3">
        <v>30.3</v>
      </c>
      <c r="G1143" s="3">
        <v>2237500</v>
      </c>
      <c r="H1143" s="8">
        <f t="shared" si="103"/>
        <v>3.9039039039039096</v>
      </c>
      <c r="I1143">
        <f t="shared" si="104"/>
        <v>30.46</v>
      </c>
      <c r="J1143" s="6" cm="1">
        <f t="array" ref="J1143">_xlfn.STDEV.S(IF($A:$A=A1143, $F:$F))</f>
        <v>0.4484974916317821</v>
      </c>
      <c r="P1143" s="8">
        <f t="shared" si="105"/>
        <v>3.9039039039039096</v>
      </c>
      <c r="Q1143" s="8">
        <f t="shared" si="106"/>
        <v>3.9039039039039096</v>
      </c>
      <c r="R1143" s="8">
        <f t="shared" si="107"/>
        <v>3.9039039039039096</v>
      </c>
    </row>
    <row r="1144" spans="1:18" x14ac:dyDescent="0.25">
      <c r="A1144" s="7">
        <f t="shared" si="102"/>
        <v>229</v>
      </c>
      <c r="B1144" s="2">
        <v>44587</v>
      </c>
      <c r="C1144" s="3">
        <v>30.36</v>
      </c>
      <c r="D1144" s="3">
        <v>30.8</v>
      </c>
      <c r="E1144" s="3">
        <v>29.91</v>
      </c>
      <c r="F1144" s="3">
        <v>30.25</v>
      </c>
      <c r="G1144" s="3">
        <v>1419900</v>
      </c>
      <c r="H1144" s="8">
        <f t="shared" si="103"/>
        <v>3.9039039039039096</v>
      </c>
      <c r="I1144">
        <f t="shared" si="104"/>
        <v>30.46</v>
      </c>
      <c r="J1144" s="6" cm="1">
        <f t="array" ref="J1144">_xlfn.STDEV.S(IF($A:$A=A1144, $F:$F))</f>
        <v>0.4484974916317821</v>
      </c>
      <c r="P1144" s="8">
        <f t="shared" si="105"/>
        <v>3.9039039039039096</v>
      </c>
      <c r="Q1144" s="8">
        <f t="shared" si="106"/>
        <v>3.9039039039039096</v>
      </c>
      <c r="R1144" s="8">
        <f t="shared" si="107"/>
        <v>3.9039039039039096</v>
      </c>
    </row>
    <row r="1145" spans="1:18" x14ac:dyDescent="0.25">
      <c r="A1145" s="7">
        <f t="shared" si="102"/>
        <v>229</v>
      </c>
      <c r="B1145" s="2">
        <v>44588</v>
      </c>
      <c r="C1145" s="3">
        <v>30.25</v>
      </c>
      <c r="D1145" s="3">
        <v>31.36</v>
      </c>
      <c r="E1145" s="3">
        <v>30.02</v>
      </c>
      <c r="F1145" s="3">
        <v>30.64</v>
      </c>
      <c r="G1145" s="3">
        <v>1286300</v>
      </c>
      <c r="H1145" s="8">
        <f t="shared" si="103"/>
        <v>3.9039039039039096</v>
      </c>
      <c r="I1145">
        <f t="shared" si="104"/>
        <v>30.46</v>
      </c>
      <c r="J1145" s="6" cm="1">
        <f t="array" ref="J1145">_xlfn.STDEV.S(IF($A:$A=A1145, $F:$F))</f>
        <v>0.4484974916317821</v>
      </c>
      <c r="P1145" s="8">
        <f t="shared" si="105"/>
        <v>3.9039039039039096</v>
      </c>
      <c r="Q1145" s="8">
        <f t="shared" si="106"/>
        <v>3.9039039039039096</v>
      </c>
      <c r="R1145" s="8">
        <f t="shared" si="107"/>
        <v>3.9039039039039096</v>
      </c>
    </row>
    <row r="1146" spans="1:18" x14ac:dyDescent="0.25">
      <c r="A1146" s="7">
        <f t="shared" si="102"/>
        <v>229</v>
      </c>
      <c r="B1146" s="2">
        <v>44589</v>
      </c>
      <c r="C1146" s="3">
        <v>30.64</v>
      </c>
      <c r="D1146" s="3">
        <v>31.3</v>
      </c>
      <c r="E1146" s="3">
        <v>30.47</v>
      </c>
      <c r="F1146" s="3">
        <v>31.14</v>
      </c>
      <c r="G1146" s="3">
        <v>1478000</v>
      </c>
      <c r="H1146" s="8">
        <f t="shared" si="103"/>
        <v>3.9039039039039096</v>
      </c>
      <c r="I1146">
        <f t="shared" si="104"/>
        <v>30.46</v>
      </c>
      <c r="J1146" s="6" cm="1">
        <f t="array" ref="J1146">_xlfn.STDEV.S(IF($A:$A=A1146, $F:$F))</f>
        <v>0.4484974916317821</v>
      </c>
      <c r="P1146" s="8">
        <f t="shared" si="105"/>
        <v>3.9039039039039096</v>
      </c>
      <c r="Q1146" s="8">
        <f t="shared" si="106"/>
        <v>3.9039039039039096</v>
      </c>
      <c r="R1146" s="8">
        <f t="shared" si="107"/>
        <v>3.9039039039039096</v>
      </c>
    </row>
    <row r="1147" spans="1:18" x14ac:dyDescent="0.25">
      <c r="A1147" s="7">
        <f t="shared" si="102"/>
        <v>230</v>
      </c>
      <c r="B1147" s="2">
        <v>44599</v>
      </c>
      <c r="C1147" s="3">
        <v>31.64</v>
      </c>
      <c r="D1147" s="3">
        <v>33.31</v>
      </c>
      <c r="E1147" s="3">
        <v>31.58</v>
      </c>
      <c r="F1147" s="3">
        <v>32.58</v>
      </c>
      <c r="G1147" s="3">
        <v>2641100</v>
      </c>
      <c r="H1147" s="8">
        <f t="shared" si="103"/>
        <v>4.2664211172498492</v>
      </c>
      <c r="I1147">
        <f t="shared" si="104"/>
        <v>33.36</v>
      </c>
      <c r="J1147" s="6" cm="1">
        <f t="array" ref="J1147">_xlfn.STDEV.S(IF($A:$A=A1147, $F:$F))</f>
        <v>0.53995370171895363</v>
      </c>
      <c r="P1147" s="8">
        <f t="shared" si="105"/>
        <v>4.2664211172498492</v>
      </c>
      <c r="Q1147" s="8">
        <f t="shared" si="106"/>
        <v>4.2664211172498492</v>
      </c>
      <c r="R1147" s="8">
        <f t="shared" si="107"/>
        <v>4.2664211172498492</v>
      </c>
    </row>
    <row r="1148" spans="1:18" x14ac:dyDescent="0.25">
      <c r="A1148" s="7">
        <f t="shared" si="102"/>
        <v>230</v>
      </c>
      <c r="B1148" s="2">
        <v>44600</v>
      </c>
      <c r="C1148" s="3">
        <v>32.36</v>
      </c>
      <c r="D1148" s="3">
        <v>33.58</v>
      </c>
      <c r="E1148" s="3">
        <v>32.14</v>
      </c>
      <c r="F1148" s="3">
        <v>33.08</v>
      </c>
      <c r="G1148" s="3">
        <v>2560900</v>
      </c>
      <c r="H1148" s="8">
        <f t="shared" si="103"/>
        <v>4.2664211172498492</v>
      </c>
      <c r="I1148">
        <f t="shared" si="104"/>
        <v>33.36</v>
      </c>
      <c r="J1148" s="6" cm="1">
        <f t="array" ref="J1148">_xlfn.STDEV.S(IF($A:$A=A1148, $F:$F))</f>
        <v>0.53995370171895363</v>
      </c>
      <c r="P1148" s="8">
        <f t="shared" si="105"/>
        <v>4.2664211172498492</v>
      </c>
      <c r="Q1148" s="8">
        <f t="shared" si="106"/>
        <v>4.2664211172498492</v>
      </c>
      <c r="R1148" s="8">
        <f t="shared" si="107"/>
        <v>4.2664211172498492</v>
      </c>
    </row>
    <row r="1149" spans="1:18" x14ac:dyDescent="0.25">
      <c r="A1149" s="7">
        <f t="shared" si="102"/>
        <v>230</v>
      </c>
      <c r="B1149" s="2">
        <v>44601</v>
      </c>
      <c r="C1149" s="3">
        <v>33.36</v>
      </c>
      <c r="D1149" s="3">
        <v>34.19</v>
      </c>
      <c r="E1149" s="3">
        <v>33.03</v>
      </c>
      <c r="F1149" s="3">
        <v>33.64</v>
      </c>
      <c r="G1149" s="3">
        <v>2231900</v>
      </c>
      <c r="H1149" s="8">
        <f t="shared" si="103"/>
        <v>4.2664211172498492</v>
      </c>
      <c r="I1149">
        <f t="shared" si="104"/>
        <v>33.36</v>
      </c>
      <c r="J1149" s="6" cm="1">
        <f t="array" ref="J1149">_xlfn.STDEV.S(IF($A:$A=A1149, $F:$F))</f>
        <v>0.53995370171895363</v>
      </c>
      <c r="P1149" s="8">
        <f t="shared" si="105"/>
        <v>4.2664211172498492</v>
      </c>
      <c r="Q1149" s="8">
        <f t="shared" si="106"/>
        <v>4.2664211172498492</v>
      </c>
      <c r="R1149" s="8">
        <f t="shared" si="107"/>
        <v>4.2664211172498492</v>
      </c>
    </row>
    <row r="1150" spans="1:18" x14ac:dyDescent="0.25">
      <c r="A1150" s="7">
        <f t="shared" si="102"/>
        <v>230</v>
      </c>
      <c r="B1150" s="2">
        <v>44602</v>
      </c>
      <c r="C1150" s="3">
        <v>33.36</v>
      </c>
      <c r="D1150" s="3">
        <v>34.42</v>
      </c>
      <c r="E1150" s="3">
        <v>33.25</v>
      </c>
      <c r="F1150" s="3">
        <v>33.53</v>
      </c>
      <c r="G1150" s="3">
        <v>2016300</v>
      </c>
      <c r="H1150" s="8">
        <f t="shared" si="103"/>
        <v>4.2664211172498492</v>
      </c>
      <c r="I1150">
        <f t="shared" si="104"/>
        <v>33.36</v>
      </c>
      <c r="J1150" s="6" cm="1">
        <f t="array" ref="J1150">_xlfn.STDEV.S(IF($A:$A=A1150, $F:$F))</f>
        <v>0.53995370171895363</v>
      </c>
      <c r="P1150" s="8">
        <f t="shared" si="105"/>
        <v>4.2664211172498492</v>
      </c>
      <c r="Q1150" s="8">
        <f t="shared" si="106"/>
        <v>4.2664211172498492</v>
      </c>
      <c r="R1150" s="8">
        <f t="shared" si="107"/>
        <v>4.2664211172498492</v>
      </c>
    </row>
    <row r="1151" spans="1:18" x14ac:dyDescent="0.25">
      <c r="A1151" s="7">
        <f t="shared" si="102"/>
        <v>230</v>
      </c>
      <c r="B1151" s="2">
        <v>44603</v>
      </c>
      <c r="C1151" s="3">
        <v>33.47</v>
      </c>
      <c r="D1151" s="3">
        <v>34.36</v>
      </c>
      <c r="E1151" s="3">
        <v>33.08</v>
      </c>
      <c r="F1151" s="3">
        <v>33.97</v>
      </c>
      <c r="G1151" s="3">
        <v>2418800</v>
      </c>
      <c r="H1151" s="8">
        <f t="shared" si="103"/>
        <v>4.2664211172498492</v>
      </c>
      <c r="I1151">
        <f t="shared" si="104"/>
        <v>33.36</v>
      </c>
      <c r="J1151" s="6" cm="1">
        <f t="array" ref="J1151">_xlfn.STDEV.S(IF($A:$A=A1151, $F:$F))</f>
        <v>0.53995370171895363</v>
      </c>
      <c r="P1151" s="8">
        <f t="shared" si="105"/>
        <v>4.2664211172498492</v>
      </c>
      <c r="Q1151" s="8">
        <f t="shared" si="106"/>
        <v>4.2664211172498492</v>
      </c>
      <c r="R1151" s="8">
        <f t="shared" si="107"/>
        <v>4.2664211172498492</v>
      </c>
    </row>
    <row r="1152" spans="1:18" x14ac:dyDescent="0.25">
      <c r="A1152" s="7">
        <f t="shared" si="102"/>
        <v>231</v>
      </c>
      <c r="B1152" s="2">
        <v>44606</v>
      </c>
      <c r="C1152" s="3">
        <v>33.19</v>
      </c>
      <c r="D1152" s="3">
        <v>33.58</v>
      </c>
      <c r="E1152" s="3">
        <v>31.64</v>
      </c>
      <c r="F1152" s="3">
        <v>31.64</v>
      </c>
      <c r="G1152" s="3">
        <v>3309000</v>
      </c>
      <c r="H1152" s="8">
        <f t="shared" si="103"/>
        <v>6.3211125158027803</v>
      </c>
      <c r="I1152">
        <f t="shared" si="104"/>
        <v>32.672000000000004</v>
      </c>
      <c r="J1152" s="6" cm="1">
        <f t="array" ref="J1152">_xlfn.STDEV.S(IF($A:$A=A1152, $F:$F))</f>
        <v>0.7589927535885963</v>
      </c>
      <c r="P1152" s="8">
        <f t="shared" si="105"/>
        <v>6.3211125158027803</v>
      </c>
      <c r="Q1152" s="8">
        <f t="shared" si="106"/>
        <v>6.3211125158027803</v>
      </c>
      <c r="R1152" s="8">
        <f t="shared" si="107"/>
        <v>6.3211125158027803</v>
      </c>
    </row>
    <row r="1153" spans="1:18" x14ac:dyDescent="0.25">
      <c r="A1153" s="7">
        <f t="shared" si="102"/>
        <v>231</v>
      </c>
      <c r="B1153" s="2">
        <v>44607</v>
      </c>
      <c r="C1153" s="3">
        <v>32.08</v>
      </c>
      <c r="D1153" s="3">
        <v>32.42</v>
      </c>
      <c r="E1153" s="3">
        <v>31.41</v>
      </c>
      <c r="F1153" s="3">
        <v>32.25</v>
      </c>
      <c r="G1153" s="3">
        <v>2170300</v>
      </c>
      <c r="H1153" s="8">
        <f t="shared" si="103"/>
        <v>6.3211125158027803</v>
      </c>
      <c r="I1153">
        <f t="shared" si="104"/>
        <v>32.672000000000004</v>
      </c>
      <c r="J1153" s="6" cm="1">
        <f t="array" ref="J1153">_xlfn.STDEV.S(IF($A:$A=A1153, $F:$F))</f>
        <v>0.7589927535885963</v>
      </c>
      <c r="P1153" s="8">
        <f t="shared" si="105"/>
        <v>6.3211125158027803</v>
      </c>
      <c r="Q1153" s="8">
        <f t="shared" si="106"/>
        <v>6.3211125158027803</v>
      </c>
      <c r="R1153" s="8">
        <f t="shared" si="107"/>
        <v>6.3211125158027803</v>
      </c>
    </row>
    <row r="1154" spans="1:18" x14ac:dyDescent="0.25">
      <c r="A1154" s="7">
        <f t="shared" si="102"/>
        <v>231</v>
      </c>
      <c r="B1154" s="2">
        <v>44608</v>
      </c>
      <c r="C1154" s="3">
        <v>32.53</v>
      </c>
      <c r="D1154" s="3">
        <v>33.36</v>
      </c>
      <c r="E1154" s="3">
        <v>32.42</v>
      </c>
      <c r="F1154" s="3">
        <v>32.97</v>
      </c>
      <c r="G1154" s="3">
        <v>1136400</v>
      </c>
      <c r="H1154" s="8">
        <f t="shared" si="103"/>
        <v>6.3211125158027803</v>
      </c>
      <c r="I1154">
        <f t="shared" si="104"/>
        <v>32.672000000000004</v>
      </c>
      <c r="J1154" s="6" cm="1">
        <f t="array" ref="J1154">_xlfn.STDEV.S(IF($A:$A=A1154, $F:$F))</f>
        <v>0.7589927535885963</v>
      </c>
      <c r="P1154" s="8">
        <f t="shared" si="105"/>
        <v>6.3211125158027803</v>
      </c>
      <c r="Q1154" s="8">
        <f t="shared" si="106"/>
        <v>6.3211125158027803</v>
      </c>
      <c r="R1154" s="8">
        <f t="shared" si="107"/>
        <v>6.3211125158027803</v>
      </c>
    </row>
    <row r="1155" spans="1:18" x14ac:dyDescent="0.25">
      <c r="A1155" s="7">
        <f t="shared" ref="A1155:A1218" si="108">INT((ROW(A1155)-ROW($A$2))/5) + 1</f>
        <v>231</v>
      </c>
      <c r="B1155" s="2">
        <v>44609</v>
      </c>
      <c r="C1155" s="3">
        <v>33.25</v>
      </c>
      <c r="D1155" s="3">
        <v>33.25</v>
      </c>
      <c r="E1155" s="3">
        <v>32.58</v>
      </c>
      <c r="F1155" s="3">
        <v>32.86</v>
      </c>
      <c r="G1155" s="3">
        <v>1337700</v>
      </c>
      <c r="H1155" s="8">
        <f t="shared" ref="H1155:H1218" si="109">IF(A1155=A1154, H1154, (F1159-F1155)/F1155*100)</f>
        <v>6.3211125158027803</v>
      </c>
      <c r="I1155">
        <f t="shared" ref="I1155:I1218" si="110">AVERAGEIF($A:$A, A1155, $F:$F)</f>
        <v>32.672000000000004</v>
      </c>
      <c r="J1155" s="6" cm="1">
        <f t="array" ref="J1155">_xlfn.STDEV.S(IF($A:$A=A1155, $F:$F))</f>
        <v>0.7589927535885963</v>
      </c>
      <c r="P1155" s="8">
        <f t="shared" ref="P1155:P1218" si="111">IF(A1155=A1154,P1154,(F1159-F1155)/F1155*100)</f>
        <v>6.3211125158027803</v>
      </c>
      <c r="Q1155" s="8">
        <f t="shared" ref="Q1155:Q1218" si="112">IF(A1155=A1154,Q1154,(F1159-F1155)/F1155*100)</f>
        <v>6.3211125158027803</v>
      </c>
      <c r="R1155" s="8">
        <f t="shared" ref="R1155:R1218" si="113">IF(A1155=A1154,R1154,(F1159-F1155)/F1155*100)</f>
        <v>6.3211125158027803</v>
      </c>
    </row>
    <row r="1156" spans="1:18" x14ac:dyDescent="0.25">
      <c r="A1156" s="7">
        <f t="shared" si="108"/>
        <v>231</v>
      </c>
      <c r="B1156" s="2">
        <v>44610</v>
      </c>
      <c r="C1156" s="3">
        <v>32.47</v>
      </c>
      <c r="D1156" s="3">
        <v>33.86</v>
      </c>
      <c r="E1156" s="3">
        <v>32.47</v>
      </c>
      <c r="F1156" s="3">
        <v>33.64</v>
      </c>
      <c r="G1156" s="3">
        <v>2963600</v>
      </c>
      <c r="H1156" s="8">
        <f t="shared" si="109"/>
        <v>6.3211125158027803</v>
      </c>
      <c r="I1156">
        <f t="shared" si="110"/>
        <v>32.672000000000004</v>
      </c>
      <c r="J1156" s="6" cm="1">
        <f t="array" ref="J1156">_xlfn.STDEV.S(IF($A:$A=A1156, $F:$F))</f>
        <v>0.7589927535885963</v>
      </c>
      <c r="P1156" s="8">
        <f t="shared" si="111"/>
        <v>6.3211125158027803</v>
      </c>
      <c r="Q1156" s="8">
        <f t="shared" si="112"/>
        <v>6.3211125158027803</v>
      </c>
      <c r="R1156" s="8">
        <f t="shared" si="113"/>
        <v>6.3211125158027803</v>
      </c>
    </row>
    <row r="1157" spans="1:18" x14ac:dyDescent="0.25">
      <c r="A1157" s="7">
        <f t="shared" si="108"/>
        <v>232</v>
      </c>
      <c r="B1157" s="2">
        <v>44613</v>
      </c>
      <c r="C1157" s="3">
        <v>33.86</v>
      </c>
      <c r="D1157" s="3">
        <v>34.86</v>
      </c>
      <c r="E1157" s="3">
        <v>33.81</v>
      </c>
      <c r="F1157" s="3">
        <v>34.75</v>
      </c>
      <c r="G1157" s="3">
        <v>2835300</v>
      </c>
      <c r="H1157" s="8">
        <f t="shared" si="109"/>
        <v>-0.31654676258992642</v>
      </c>
      <c r="I1157">
        <f t="shared" si="110"/>
        <v>34.205999999999996</v>
      </c>
      <c r="J1157" s="6" cm="1">
        <f t="array" ref="J1157">_xlfn.STDEV.S(IF($A:$A=A1157, $F:$F))</f>
        <v>0.47495262921685133</v>
      </c>
      <c r="P1157" s="8">
        <f t="shared" si="111"/>
        <v>-0.31654676258992642</v>
      </c>
      <c r="Q1157" s="8">
        <f t="shared" si="112"/>
        <v>-0.31654676258992642</v>
      </c>
      <c r="R1157" s="8">
        <f t="shared" si="113"/>
        <v>-0.31654676258992642</v>
      </c>
    </row>
    <row r="1158" spans="1:18" x14ac:dyDescent="0.25">
      <c r="A1158" s="7">
        <f t="shared" si="108"/>
        <v>232</v>
      </c>
      <c r="B1158" s="2">
        <v>44614</v>
      </c>
      <c r="C1158" s="3">
        <v>33.97</v>
      </c>
      <c r="D1158" s="3">
        <v>34.47</v>
      </c>
      <c r="E1158" s="3">
        <v>33.19</v>
      </c>
      <c r="F1158" s="3">
        <v>33.92</v>
      </c>
      <c r="G1158" s="3">
        <v>3721800</v>
      </c>
      <c r="H1158" s="8">
        <f t="shared" si="109"/>
        <v>-0.31654676258992642</v>
      </c>
      <c r="I1158">
        <f t="shared" si="110"/>
        <v>34.205999999999996</v>
      </c>
      <c r="J1158" s="6" cm="1">
        <f t="array" ref="J1158">_xlfn.STDEV.S(IF($A:$A=A1158, $F:$F))</f>
        <v>0.47495262921685133</v>
      </c>
      <c r="P1158" s="8">
        <f t="shared" si="111"/>
        <v>-0.31654676258992642</v>
      </c>
      <c r="Q1158" s="8">
        <f t="shared" si="112"/>
        <v>-0.31654676258992642</v>
      </c>
      <c r="R1158" s="8">
        <f t="shared" si="113"/>
        <v>-0.31654676258992642</v>
      </c>
    </row>
    <row r="1159" spans="1:18" x14ac:dyDescent="0.25">
      <c r="A1159" s="7">
        <f t="shared" si="108"/>
        <v>232</v>
      </c>
      <c r="B1159" s="2">
        <v>44615</v>
      </c>
      <c r="C1159" s="3">
        <v>34.08</v>
      </c>
      <c r="D1159" s="3">
        <v>34.64</v>
      </c>
      <c r="E1159" s="3">
        <v>33.92</v>
      </c>
      <c r="F1159" s="3">
        <v>34.08</v>
      </c>
      <c r="G1159" s="3">
        <v>2218200</v>
      </c>
      <c r="H1159" s="8">
        <f t="shared" si="109"/>
        <v>-0.31654676258992642</v>
      </c>
      <c r="I1159">
        <f t="shared" si="110"/>
        <v>34.205999999999996</v>
      </c>
      <c r="J1159" s="6" cm="1">
        <f t="array" ref="J1159">_xlfn.STDEV.S(IF($A:$A=A1159, $F:$F))</f>
        <v>0.47495262921685133</v>
      </c>
      <c r="P1159" s="8">
        <f t="shared" si="111"/>
        <v>-0.31654676258992642</v>
      </c>
      <c r="Q1159" s="8">
        <f t="shared" si="112"/>
        <v>-0.31654676258992642</v>
      </c>
      <c r="R1159" s="8">
        <f t="shared" si="113"/>
        <v>-0.31654676258992642</v>
      </c>
    </row>
    <row r="1160" spans="1:18" x14ac:dyDescent="0.25">
      <c r="A1160" s="7">
        <f t="shared" si="108"/>
        <v>232</v>
      </c>
      <c r="B1160" s="2">
        <v>44616</v>
      </c>
      <c r="C1160" s="3">
        <v>33.86</v>
      </c>
      <c r="D1160" s="3">
        <v>34.75</v>
      </c>
      <c r="E1160" s="3">
        <v>32.25</v>
      </c>
      <c r="F1160" s="3">
        <v>33.64</v>
      </c>
      <c r="G1160" s="3">
        <v>3898500</v>
      </c>
      <c r="H1160" s="8">
        <f t="shared" si="109"/>
        <v>-0.31654676258992642</v>
      </c>
      <c r="I1160">
        <f t="shared" si="110"/>
        <v>34.205999999999996</v>
      </c>
      <c r="J1160" s="6" cm="1">
        <f t="array" ref="J1160">_xlfn.STDEV.S(IF($A:$A=A1160, $F:$F))</f>
        <v>0.47495262921685133</v>
      </c>
      <c r="P1160" s="8">
        <f t="shared" si="111"/>
        <v>-0.31654676258992642</v>
      </c>
      <c r="Q1160" s="8">
        <f t="shared" si="112"/>
        <v>-0.31654676258992642</v>
      </c>
      <c r="R1160" s="8">
        <f t="shared" si="113"/>
        <v>-0.31654676258992642</v>
      </c>
    </row>
    <row r="1161" spans="1:18" x14ac:dyDescent="0.25">
      <c r="A1161" s="7">
        <f t="shared" si="108"/>
        <v>232</v>
      </c>
      <c r="B1161" s="2">
        <v>44617</v>
      </c>
      <c r="C1161" s="3">
        <v>34.36</v>
      </c>
      <c r="D1161" s="3">
        <v>35.36</v>
      </c>
      <c r="E1161" s="3">
        <v>33.97</v>
      </c>
      <c r="F1161" s="3">
        <v>34.64</v>
      </c>
      <c r="G1161" s="3">
        <v>4092800</v>
      </c>
      <c r="H1161" s="8">
        <f t="shared" si="109"/>
        <v>-0.31654676258992642</v>
      </c>
      <c r="I1161">
        <f t="shared" si="110"/>
        <v>34.205999999999996</v>
      </c>
      <c r="J1161" s="6" cm="1">
        <f t="array" ref="J1161">_xlfn.STDEV.S(IF($A:$A=A1161, $F:$F))</f>
        <v>0.47495262921685133</v>
      </c>
      <c r="P1161" s="8">
        <f t="shared" si="111"/>
        <v>-0.31654676258992642</v>
      </c>
      <c r="Q1161" s="8">
        <f t="shared" si="112"/>
        <v>-0.31654676258992642</v>
      </c>
      <c r="R1161" s="8">
        <f t="shared" si="113"/>
        <v>-0.31654676258992642</v>
      </c>
    </row>
    <row r="1162" spans="1:18" x14ac:dyDescent="0.25">
      <c r="A1162" s="7">
        <f t="shared" si="108"/>
        <v>233</v>
      </c>
      <c r="B1162" s="2">
        <v>44620</v>
      </c>
      <c r="C1162" s="3">
        <v>34.64</v>
      </c>
      <c r="D1162" s="3">
        <v>35.200000000000003</v>
      </c>
      <c r="E1162" s="3">
        <v>34.47</v>
      </c>
      <c r="F1162" s="3">
        <v>34.700000000000003</v>
      </c>
      <c r="G1162" s="3">
        <v>2157200</v>
      </c>
      <c r="H1162" s="8">
        <f t="shared" si="109"/>
        <v>1.7579250720461077</v>
      </c>
      <c r="I1162">
        <f t="shared" si="110"/>
        <v>35.042000000000002</v>
      </c>
      <c r="J1162" s="6" cm="1">
        <f t="array" ref="J1162">_xlfn.STDEV.S(IF($A:$A=A1162, $F:$F))</f>
        <v>0.26489620608834713</v>
      </c>
      <c r="P1162" s="8">
        <f t="shared" si="111"/>
        <v>1.7579250720461077</v>
      </c>
      <c r="Q1162" s="8">
        <f t="shared" si="112"/>
        <v>1.7579250720461077</v>
      </c>
      <c r="R1162" s="8">
        <f t="shared" si="113"/>
        <v>1.7579250720461077</v>
      </c>
    </row>
    <row r="1163" spans="1:18" x14ac:dyDescent="0.25">
      <c r="A1163" s="7">
        <f t="shared" si="108"/>
        <v>233</v>
      </c>
      <c r="B1163" s="2">
        <v>44621</v>
      </c>
      <c r="C1163" s="3">
        <v>34.92</v>
      </c>
      <c r="D1163" s="3">
        <v>35.86</v>
      </c>
      <c r="E1163" s="3">
        <v>34.47</v>
      </c>
      <c r="F1163" s="3">
        <v>35.31</v>
      </c>
      <c r="G1163" s="3">
        <v>3464200</v>
      </c>
      <c r="H1163" s="8">
        <f t="shared" si="109"/>
        <v>1.7579250720461077</v>
      </c>
      <c r="I1163">
        <f t="shared" si="110"/>
        <v>35.042000000000002</v>
      </c>
      <c r="J1163" s="6" cm="1">
        <f t="array" ref="J1163">_xlfn.STDEV.S(IF($A:$A=A1163, $F:$F))</f>
        <v>0.26489620608834713</v>
      </c>
      <c r="P1163" s="8">
        <f t="shared" si="111"/>
        <v>1.7579250720461077</v>
      </c>
      <c r="Q1163" s="8">
        <f t="shared" si="112"/>
        <v>1.7579250720461077</v>
      </c>
      <c r="R1163" s="8">
        <f t="shared" si="113"/>
        <v>1.7579250720461077</v>
      </c>
    </row>
    <row r="1164" spans="1:18" x14ac:dyDescent="0.25">
      <c r="A1164" s="7">
        <f t="shared" si="108"/>
        <v>233</v>
      </c>
      <c r="B1164" s="2">
        <v>44622</v>
      </c>
      <c r="C1164" s="3">
        <v>34.86</v>
      </c>
      <c r="D1164" s="3">
        <v>35.58</v>
      </c>
      <c r="E1164" s="3">
        <v>34.36</v>
      </c>
      <c r="F1164" s="3">
        <v>34.92</v>
      </c>
      <c r="G1164" s="3">
        <v>3559600</v>
      </c>
      <c r="H1164" s="8">
        <f t="shared" si="109"/>
        <v>1.7579250720461077</v>
      </c>
      <c r="I1164">
        <f t="shared" si="110"/>
        <v>35.042000000000002</v>
      </c>
      <c r="J1164" s="6" cm="1">
        <f t="array" ref="J1164">_xlfn.STDEV.S(IF($A:$A=A1164, $F:$F))</f>
        <v>0.26489620608834713</v>
      </c>
      <c r="P1164" s="8">
        <f t="shared" si="111"/>
        <v>1.7579250720461077</v>
      </c>
      <c r="Q1164" s="8">
        <f t="shared" si="112"/>
        <v>1.7579250720461077</v>
      </c>
      <c r="R1164" s="8">
        <f t="shared" si="113"/>
        <v>1.7579250720461077</v>
      </c>
    </row>
    <row r="1165" spans="1:18" x14ac:dyDescent="0.25">
      <c r="A1165" s="7">
        <f t="shared" si="108"/>
        <v>233</v>
      </c>
      <c r="B1165" s="2">
        <v>44623</v>
      </c>
      <c r="C1165" s="3">
        <v>35.03</v>
      </c>
      <c r="D1165" s="3">
        <v>35.14</v>
      </c>
      <c r="E1165" s="3">
        <v>34.53</v>
      </c>
      <c r="F1165" s="3">
        <v>34.97</v>
      </c>
      <c r="G1165" s="3">
        <v>1931500</v>
      </c>
      <c r="H1165" s="8">
        <f t="shared" si="109"/>
        <v>1.7579250720461077</v>
      </c>
      <c r="I1165">
        <f t="shared" si="110"/>
        <v>35.042000000000002</v>
      </c>
      <c r="J1165" s="6" cm="1">
        <f t="array" ref="J1165">_xlfn.STDEV.S(IF($A:$A=A1165, $F:$F))</f>
        <v>0.26489620608834713</v>
      </c>
      <c r="P1165" s="8">
        <f t="shared" si="111"/>
        <v>1.7579250720461077</v>
      </c>
      <c r="Q1165" s="8">
        <f t="shared" si="112"/>
        <v>1.7579250720461077</v>
      </c>
      <c r="R1165" s="8">
        <f t="shared" si="113"/>
        <v>1.7579250720461077</v>
      </c>
    </row>
    <row r="1166" spans="1:18" x14ac:dyDescent="0.25">
      <c r="A1166" s="7">
        <f t="shared" si="108"/>
        <v>233</v>
      </c>
      <c r="B1166" s="2">
        <v>44624</v>
      </c>
      <c r="C1166" s="3">
        <v>35.25</v>
      </c>
      <c r="D1166" s="3">
        <v>36.03</v>
      </c>
      <c r="E1166" s="3">
        <v>35.14</v>
      </c>
      <c r="F1166" s="3">
        <v>35.31</v>
      </c>
      <c r="G1166" s="3">
        <v>2947500</v>
      </c>
      <c r="H1166" s="8">
        <f t="shared" si="109"/>
        <v>1.7579250720461077</v>
      </c>
      <c r="I1166">
        <f t="shared" si="110"/>
        <v>35.042000000000002</v>
      </c>
      <c r="J1166" s="6" cm="1">
        <f t="array" ref="J1166">_xlfn.STDEV.S(IF($A:$A=A1166, $F:$F))</f>
        <v>0.26489620608834713</v>
      </c>
      <c r="P1166" s="8">
        <f t="shared" si="111"/>
        <v>1.7579250720461077</v>
      </c>
      <c r="Q1166" s="8">
        <f t="shared" si="112"/>
        <v>1.7579250720461077</v>
      </c>
      <c r="R1166" s="8">
        <f t="shared" si="113"/>
        <v>1.7579250720461077</v>
      </c>
    </row>
    <row r="1167" spans="1:18" x14ac:dyDescent="0.25">
      <c r="A1167" s="7">
        <f t="shared" si="108"/>
        <v>234</v>
      </c>
      <c r="B1167" s="2">
        <v>44627</v>
      </c>
      <c r="C1167" s="3">
        <v>34.700000000000003</v>
      </c>
      <c r="D1167" s="3">
        <v>35.31</v>
      </c>
      <c r="E1167" s="3">
        <v>34.53</v>
      </c>
      <c r="F1167" s="3">
        <v>34.81</v>
      </c>
      <c r="G1167" s="3">
        <v>2980600</v>
      </c>
      <c r="H1167" s="8">
        <f t="shared" si="109"/>
        <v>-0.976730824475735</v>
      </c>
      <c r="I1167">
        <f t="shared" si="110"/>
        <v>34.884</v>
      </c>
      <c r="J1167" s="6" cm="1">
        <f t="array" ref="J1167">_xlfn.STDEV.S(IF($A:$A=A1167, $F:$F))</f>
        <v>0.29779187362988918</v>
      </c>
      <c r="P1167" s="8">
        <f t="shared" si="111"/>
        <v>-0.976730824475735</v>
      </c>
      <c r="Q1167" s="8">
        <f t="shared" si="112"/>
        <v>-0.976730824475735</v>
      </c>
      <c r="R1167" s="8">
        <f t="shared" si="113"/>
        <v>-0.976730824475735</v>
      </c>
    </row>
    <row r="1168" spans="1:18" x14ac:dyDescent="0.25">
      <c r="A1168" s="7">
        <f t="shared" si="108"/>
        <v>234</v>
      </c>
      <c r="B1168" s="2">
        <v>44628</v>
      </c>
      <c r="C1168" s="3">
        <v>34.47</v>
      </c>
      <c r="D1168" s="3">
        <v>36.03</v>
      </c>
      <c r="E1168" s="3">
        <v>34.19</v>
      </c>
      <c r="F1168" s="3">
        <v>34.81</v>
      </c>
      <c r="G1168" s="3">
        <v>5363600</v>
      </c>
      <c r="H1168" s="8">
        <f t="shared" si="109"/>
        <v>-0.976730824475735</v>
      </c>
      <c r="I1168">
        <f t="shared" si="110"/>
        <v>34.884</v>
      </c>
      <c r="J1168" s="6" cm="1">
        <f t="array" ref="J1168">_xlfn.STDEV.S(IF($A:$A=A1168, $F:$F))</f>
        <v>0.29779187362988918</v>
      </c>
      <c r="P1168" s="8">
        <f t="shared" si="111"/>
        <v>-0.976730824475735</v>
      </c>
      <c r="Q1168" s="8">
        <f t="shared" si="112"/>
        <v>-0.976730824475735</v>
      </c>
      <c r="R1168" s="8">
        <f t="shared" si="113"/>
        <v>-0.976730824475735</v>
      </c>
    </row>
    <row r="1169" spans="1:18" x14ac:dyDescent="0.25">
      <c r="A1169" s="7">
        <f t="shared" si="108"/>
        <v>234</v>
      </c>
      <c r="B1169" s="2">
        <v>44629</v>
      </c>
      <c r="C1169" s="3">
        <v>35.14</v>
      </c>
      <c r="D1169" s="3">
        <v>35.53</v>
      </c>
      <c r="E1169" s="3">
        <v>34.700000000000003</v>
      </c>
      <c r="F1169" s="3">
        <v>35.25</v>
      </c>
      <c r="G1169" s="3">
        <v>2610000</v>
      </c>
      <c r="H1169" s="8">
        <f t="shared" si="109"/>
        <v>-0.976730824475735</v>
      </c>
      <c r="I1169">
        <f t="shared" si="110"/>
        <v>34.884</v>
      </c>
      <c r="J1169" s="6" cm="1">
        <f t="array" ref="J1169">_xlfn.STDEV.S(IF($A:$A=A1169, $F:$F))</f>
        <v>0.29779187362988918</v>
      </c>
      <c r="P1169" s="8">
        <f t="shared" si="111"/>
        <v>-0.976730824475735</v>
      </c>
      <c r="Q1169" s="8">
        <f t="shared" si="112"/>
        <v>-0.976730824475735</v>
      </c>
      <c r="R1169" s="8">
        <f t="shared" si="113"/>
        <v>-0.976730824475735</v>
      </c>
    </row>
    <row r="1170" spans="1:18" x14ac:dyDescent="0.25">
      <c r="A1170" s="7">
        <f t="shared" si="108"/>
        <v>234</v>
      </c>
      <c r="B1170" s="2">
        <v>44630</v>
      </c>
      <c r="C1170" s="3">
        <v>36.14</v>
      </c>
      <c r="D1170" s="3">
        <v>36.53</v>
      </c>
      <c r="E1170" s="3">
        <v>35.08</v>
      </c>
      <c r="F1170" s="3">
        <v>35.08</v>
      </c>
      <c r="G1170" s="3">
        <v>3166800</v>
      </c>
      <c r="H1170" s="8">
        <f t="shared" si="109"/>
        <v>-0.976730824475735</v>
      </c>
      <c r="I1170">
        <f t="shared" si="110"/>
        <v>34.884</v>
      </c>
      <c r="J1170" s="6" cm="1">
        <f t="array" ref="J1170">_xlfn.STDEV.S(IF($A:$A=A1170, $F:$F))</f>
        <v>0.29779187362988918</v>
      </c>
      <c r="P1170" s="8">
        <f t="shared" si="111"/>
        <v>-0.976730824475735</v>
      </c>
      <c r="Q1170" s="8">
        <f t="shared" si="112"/>
        <v>-0.976730824475735</v>
      </c>
      <c r="R1170" s="8">
        <f t="shared" si="113"/>
        <v>-0.976730824475735</v>
      </c>
    </row>
    <row r="1171" spans="1:18" x14ac:dyDescent="0.25">
      <c r="A1171" s="7">
        <f t="shared" si="108"/>
        <v>234</v>
      </c>
      <c r="B1171" s="2">
        <v>44631</v>
      </c>
      <c r="C1171" s="3">
        <v>35.08</v>
      </c>
      <c r="D1171" s="3">
        <v>35.08</v>
      </c>
      <c r="E1171" s="3">
        <v>34.25</v>
      </c>
      <c r="F1171" s="3">
        <v>34.47</v>
      </c>
      <c r="G1171" s="3">
        <v>3509700</v>
      </c>
      <c r="H1171" s="8">
        <f t="shared" si="109"/>
        <v>-0.976730824475735</v>
      </c>
      <c r="I1171">
        <f t="shared" si="110"/>
        <v>34.884</v>
      </c>
      <c r="J1171" s="6" cm="1">
        <f t="array" ref="J1171">_xlfn.STDEV.S(IF($A:$A=A1171, $F:$F))</f>
        <v>0.29779187362988918</v>
      </c>
      <c r="P1171" s="8">
        <f t="shared" si="111"/>
        <v>-0.976730824475735</v>
      </c>
      <c r="Q1171" s="8">
        <f t="shared" si="112"/>
        <v>-0.976730824475735</v>
      </c>
      <c r="R1171" s="8">
        <f t="shared" si="113"/>
        <v>-0.976730824475735</v>
      </c>
    </row>
    <row r="1172" spans="1:18" x14ac:dyDescent="0.25">
      <c r="A1172" s="7">
        <f t="shared" si="108"/>
        <v>235</v>
      </c>
      <c r="B1172" s="2">
        <v>44634</v>
      </c>
      <c r="C1172" s="3">
        <v>34.19</v>
      </c>
      <c r="D1172" s="3">
        <v>34.19</v>
      </c>
      <c r="E1172" s="3">
        <v>32.19</v>
      </c>
      <c r="F1172" s="3">
        <v>32.53</v>
      </c>
      <c r="G1172" s="3">
        <v>4849600</v>
      </c>
      <c r="H1172" s="8">
        <f t="shared" si="109"/>
        <v>0</v>
      </c>
      <c r="I1172">
        <f t="shared" si="110"/>
        <v>32.561999999999998</v>
      </c>
      <c r="J1172" s="6" cm="1">
        <f t="array" ref="J1172">_xlfn.STDEV.S(IF($A:$A=A1172, $F:$F))</f>
        <v>0.1451550894732942</v>
      </c>
      <c r="P1172" s="8">
        <f t="shared" si="111"/>
        <v>0</v>
      </c>
      <c r="Q1172" s="8">
        <f t="shared" si="112"/>
        <v>0</v>
      </c>
      <c r="R1172" s="8">
        <f t="shared" si="113"/>
        <v>0</v>
      </c>
    </row>
    <row r="1173" spans="1:18" x14ac:dyDescent="0.25">
      <c r="A1173" s="7">
        <f t="shared" si="108"/>
        <v>235</v>
      </c>
      <c r="B1173" s="2">
        <v>44635</v>
      </c>
      <c r="C1173" s="3">
        <v>32.14</v>
      </c>
      <c r="D1173" s="3">
        <v>32.86</v>
      </c>
      <c r="E1173" s="3">
        <v>32.14</v>
      </c>
      <c r="F1173" s="3">
        <v>32.36</v>
      </c>
      <c r="G1173" s="3">
        <v>1955400</v>
      </c>
      <c r="H1173" s="8">
        <f t="shared" si="109"/>
        <v>0</v>
      </c>
      <c r="I1173">
        <f t="shared" si="110"/>
        <v>32.561999999999998</v>
      </c>
      <c r="J1173" s="6" cm="1">
        <f t="array" ref="J1173">_xlfn.STDEV.S(IF($A:$A=A1173, $F:$F))</f>
        <v>0.1451550894732942</v>
      </c>
      <c r="P1173" s="8">
        <f t="shared" si="111"/>
        <v>0</v>
      </c>
      <c r="Q1173" s="8">
        <f t="shared" si="112"/>
        <v>0</v>
      </c>
      <c r="R1173" s="8">
        <f t="shared" si="113"/>
        <v>0</v>
      </c>
    </row>
    <row r="1174" spans="1:18" x14ac:dyDescent="0.25">
      <c r="A1174" s="7">
        <f t="shared" si="108"/>
        <v>235</v>
      </c>
      <c r="B1174" s="2">
        <v>44636</v>
      </c>
      <c r="C1174" s="3">
        <v>32.53</v>
      </c>
      <c r="D1174" s="3">
        <v>33.14</v>
      </c>
      <c r="E1174" s="3">
        <v>32.42</v>
      </c>
      <c r="F1174" s="3">
        <v>32.64</v>
      </c>
      <c r="G1174" s="3">
        <v>869200</v>
      </c>
      <c r="H1174" s="8">
        <f t="shared" si="109"/>
        <v>0</v>
      </c>
      <c r="I1174">
        <f t="shared" si="110"/>
        <v>32.561999999999998</v>
      </c>
      <c r="J1174" s="6" cm="1">
        <f t="array" ref="J1174">_xlfn.STDEV.S(IF($A:$A=A1174, $F:$F))</f>
        <v>0.1451550894732942</v>
      </c>
      <c r="P1174" s="8">
        <f t="shared" si="111"/>
        <v>0</v>
      </c>
      <c r="Q1174" s="8">
        <f t="shared" si="112"/>
        <v>0</v>
      </c>
      <c r="R1174" s="8">
        <f t="shared" si="113"/>
        <v>0</v>
      </c>
    </row>
    <row r="1175" spans="1:18" x14ac:dyDescent="0.25">
      <c r="A1175" s="7">
        <f t="shared" si="108"/>
        <v>235</v>
      </c>
      <c r="B1175" s="2">
        <v>44637</v>
      </c>
      <c r="C1175" s="3">
        <v>33.08</v>
      </c>
      <c r="D1175" s="3">
        <v>33.53</v>
      </c>
      <c r="E1175" s="3">
        <v>32.75</v>
      </c>
      <c r="F1175" s="3">
        <v>32.75</v>
      </c>
      <c r="G1175" s="3">
        <v>1557500</v>
      </c>
      <c r="H1175" s="8">
        <f t="shared" si="109"/>
        <v>0</v>
      </c>
      <c r="I1175">
        <f t="shared" si="110"/>
        <v>32.561999999999998</v>
      </c>
      <c r="J1175" s="6" cm="1">
        <f t="array" ref="J1175">_xlfn.STDEV.S(IF($A:$A=A1175, $F:$F))</f>
        <v>0.1451550894732942</v>
      </c>
      <c r="P1175" s="8">
        <f t="shared" si="111"/>
        <v>0</v>
      </c>
      <c r="Q1175" s="8">
        <f t="shared" si="112"/>
        <v>0</v>
      </c>
      <c r="R1175" s="8">
        <f t="shared" si="113"/>
        <v>0</v>
      </c>
    </row>
    <row r="1176" spans="1:18" x14ac:dyDescent="0.25">
      <c r="A1176" s="7">
        <f t="shared" si="108"/>
        <v>235</v>
      </c>
      <c r="B1176" s="2">
        <v>44638</v>
      </c>
      <c r="C1176" s="3">
        <v>32.799999999999997</v>
      </c>
      <c r="D1176" s="3">
        <v>33.03</v>
      </c>
      <c r="E1176" s="3">
        <v>32.53</v>
      </c>
      <c r="F1176" s="3">
        <v>32.53</v>
      </c>
      <c r="G1176" s="3">
        <v>2389900</v>
      </c>
      <c r="H1176" s="8">
        <f t="shared" si="109"/>
        <v>0</v>
      </c>
      <c r="I1176">
        <f t="shared" si="110"/>
        <v>32.561999999999998</v>
      </c>
      <c r="J1176" s="6" cm="1">
        <f t="array" ref="J1176">_xlfn.STDEV.S(IF($A:$A=A1176, $F:$F))</f>
        <v>0.1451550894732942</v>
      </c>
      <c r="P1176" s="8">
        <f t="shared" si="111"/>
        <v>0</v>
      </c>
      <c r="Q1176" s="8">
        <f t="shared" si="112"/>
        <v>0</v>
      </c>
      <c r="R1176" s="8">
        <f t="shared" si="113"/>
        <v>0</v>
      </c>
    </row>
    <row r="1177" spans="1:18" x14ac:dyDescent="0.25">
      <c r="A1177" s="7">
        <f t="shared" si="108"/>
        <v>236</v>
      </c>
      <c r="B1177" s="2">
        <v>44641</v>
      </c>
      <c r="C1177" s="3">
        <v>32.92</v>
      </c>
      <c r="D1177" s="3">
        <v>33.08</v>
      </c>
      <c r="E1177" s="3">
        <v>32.47</v>
      </c>
      <c r="F1177" s="3">
        <v>33.08</v>
      </c>
      <c r="G1177" s="3">
        <v>1269100</v>
      </c>
      <c r="H1177" s="8">
        <f t="shared" si="109"/>
        <v>-3.1741233373639579</v>
      </c>
      <c r="I1177">
        <f t="shared" si="110"/>
        <v>32.75</v>
      </c>
      <c r="J1177" s="6" cm="1">
        <f t="array" ref="J1177">_xlfn.STDEV.S(IF($A:$A=A1177, $F:$F))</f>
        <v>0.48420037174706831</v>
      </c>
      <c r="P1177" s="8">
        <f t="shared" si="111"/>
        <v>-3.1741233373639579</v>
      </c>
      <c r="Q1177" s="8">
        <f t="shared" si="112"/>
        <v>-3.1741233373639579</v>
      </c>
      <c r="R1177" s="8">
        <f t="shared" si="113"/>
        <v>-3.1741233373639579</v>
      </c>
    </row>
    <row r="1178" spans="1:18" x14ac:dyDescent="0.25">
      <c r="A1178" s="7">
        <f t="shared" si="108"/>
        <v>236</v>
      </c>
      <c r="B1178" s="2">
        <v>44642</v>
      </c>
      <c r="C1178" s="3">
        <v>33.31</v>
      </c>
      <c r="D1178" s="3">
        <v>33.47</v>
      </c>
      <c r="E1178" s="3">
        <v>32.799999999999997</v>
      </c>
      <c r="F1178" s="3">
        <v>33.25</v>
      </c>
      <c r="G1178" s="3">
        <v>1484200</v>
      </c>
      <c r="H1178" s="8">
        <f t="shared" si="109"/>
        <v>-3.1741233373639579</v>
      </c>
      <c r="I1178">
        <f t="shared" si="110"/>
        <v>32.75</v>
      </c>
      <c r="J1178" s="6" cm="1">
        <f t="array" ref="J1178">_xlfn.STDEV.S(IF($A:$A=A1178, $F:$F))</f>
        <v>0.48420037174706831</v>
      </c>
      <c r="P1178" s="8">
        <f t="shared" si="111"/>
        <v>-3.1741233373639579</v>
      </c>
      <c r="Q1178" s="8">
        <f t="shared" si="112"/>
        <v>-3.1741233373639579</v>
      </c>
      <c r="R1178" s="8">
        <f t="shared" si="113"/>
        <v>-3.1741233373639579</v>
      </c>
    </row>
    <row r="1179" spans="1:18" x14ac:dyDescent="0.25">
      <c r="A1179" s="7">
        <f t="shared" si="108"/>
        <v>236</v>
      </c>
      <c r="B1179" s="2">
        <v>44643</v>
      </c>
      <c r="C1179" s="3">
        <v>33.75</v>
      </c>
      <c r="D1179" s="3">
        <v>33.75</v>
      </c>
      <c r="E1179" s="3">
        <v>32.799999999999997</v>
      </c>
      <c r="F1179" s="3">
        <v>32.86</v>
      </c>
      <c r="G1179" s="3">
        <v>2050600</v>
      </c>
      <c r="H1179" s="8">
        <f t="shared" si="109"/>
        <v>-3.1741233373639579</v>
      </c>
      <c r="I1179">
        <f t="shared" si="110"/>
        <v>32.75</v>
      </c>
      <c r="J1179" s="6" cm="1">
        <f t="array" ref="J1179">_xlfn.STDEV.S(IF($A:$A=A1179, $F:$F))</f>
        <v>0.48420037174706831</v>
      </c>
      <c r="P1179" s="8">
        <f t="shared" si="111"/>
        <v>-3.1741233373639579</v>
      </c>
      <c r="Q1179" s="8">
        <f t="shared" si="112"/>
        <v>-3.1741233373639579</v>
      </c>
      <c r="R1179" s="8">
        <f t="shared" si="113"/>
        <v>-3.1741233373639579</v>
      </c>
    </row>
    <row r="1180" spans="1:18" x14ac:dyDescent="0.25">
      <c r="A1180" s="7">
        <f t="shared" si="108"/>
        <v>236</v>
      </c>
      <c r="B1180" s="2">
        <v>44644</v>
      </c>
      <c r="C1180" s="3">
        <v>32.86</v>
      </c>
      <c r="D1180" s="3">
        <v>33.03</v>
      </c>
      <c r="E1180" s="3">
        <v>32.25</v>
      </c>
      <c r="F1180" s="3">
        <v>32.53</v>
      </c>
      <c r="G1180" s="3">
        <v>2254500</v>
      </c>
      <c r="H1180" s="8">
        <f t="shared" si="109"/>
        <v>-3.1741233373639579</v>
      </c>
      <c r="I1180">
        <f t="shared" si="110"/>
        <v>32.75</v>
      </c>
      <c r="J1180" s="6" cm="1">
        <f t="array" ref="J1180">_xlfn.STDEV.S(IF($A:$A=A1180, $F:$F))</f>
        <v>0.48420037174706831</v>
      </c>
      <c r="P1180" s="8">
        <f t="shared" si="111"/>
        <v>-3.1741233373639579</v>
      </c>
      <c r="Q1180" s="8">
        <f t="shared" si="112"/>
        <v>-3.1741233373639579</v>
      </c>
      <c r="R1180" s="8">
        <f t="shared" si="113"/>
        <v>-3.1741233373639579</v>
      </c>
    </row>
    <row r="1181" spans="1:18" x14ac:dyDescent="0.25">
      <c r="A1181" s="7">
        <f t="shared" si="108"/>
        <v>236</v>
      </c>
      <c r="B1181" s="2">
        <v>44645</v>
      </c>
      <c r="C1181" s="3">
        <v>32.53</v>
      </c>
      <c r="D1181" s="3">
        <v>32.58</v>
      </c>
      <c r="E1181" s="3">
        <v>31.92</v>
      </c>
      <c r="F1181" s="3">
        <v>32.03</v>
      </c>
      <c r="G1181" s="3">
        <v>3561200</v>
      </c>
      <c r="H1181" s="8">
        <f t="shared" si="109"/>
        <v>-3.1741233373639579</v>
      </c>
      <c r="I1181">
        <f t="shared" si="110"/>
        <v>32.75</v>
      </c>
      <c r="J1181" s="6" cm="1">
        <f t="array" ref="J1181">_xlfn.STDEV.S(IF($A:$A=A1181, $F:$F))</f>
        <v>0.48420037174706831</v>
      </c>
      <c r="P1181" s="8">
        <f t="shared" si="111"/>
        <v>-3.1741233373639579</v>
      </c>
      <c r="Q1181" s="8">
        <f t="shared" si="112"/>
        <v>-3.1741233373639579</v>
      </c>
      <c r="R1181" s="8">
        <f t="shared" si="113"/>
        <v>-3.1741233373639579</v>
      </c>
    </row>
    <row r="1182" spans="1:18" x14ac:dyDescent="0.25">
      <c r="A1182" s="7">
        <f t="shared" si="108"/>
        <v>237</v>
      </c>
      <c r="B1182" s="2">
        <v>44648</v>
      </c>
      <c r="C1182" s="3">
        <v>31.69</v>
      </c>
      <c r="D1182" s="3">
        <v>32.03</v>
      </c>
      <c r="E1182" s="3">
        <v>30.41</v>
      </c>
      <c r="F1182" s="3">
        <v>31.41</v>
      </c>
      <c r="G1182" s="3">
        <v>4455000</v>
      </c>
      <c r="H1182" s="8">
        <f t="shared" si="109"/>
        <v>1.7828716969118075</v>
      </c>
      <c r="I1182">
        <f t="shared" si="110"/>
        <v>31.667999999999996</v>
      </c>
      <c r="J1182" s="6" cm="1">
        <f t="array" ref="J1182">_xlfn.STDEV.S(IF($A:$A=A1182, $F:$F))</f>
        <v>0.35173853925892079</v>
      </c>
      <c r="P1182" s="8">
        <f t="shared" si="111"/>
        <v>1.7828716969118075</v>
      </c>
      <c r="Q1182" s="8">
        <f t="shared" si="112"/>
        <v>1.7828716969118075</v>
      </c>
      <c r="R1182" s="8">
        <f t="shared" si="113"/>
        <v>1.7828716969118075</v>
      </c>
    </row>
    <row r="1183" spans="1:18" x14ac:dyDescent="0.25">
      <c r="A1183" s="7">
        <f t="shared" si="108"/>
        <v>237</v>
      </c>
      <c r="B1183" s="2">
        <v>44649</v>
      </c>
      <c r="C1183" s="3">
        <v>31.75</v>
      </c>
      <c r="D1183" s="3">
        <v>32.25</v>
      </c>
      <c r="E1183" s="3">
        <v>31.69</v>
      </c>
      <c r="F1183" s="3">
        <v>31.97</v>
      </c>
      <c r="G1183" s="3">
        <v>1291900</v>
      </c>
      <c r="H1183" s="8">
        <f t="shared" si="109"/>
        <v>1.7828716969118075</v>
      </c>
      <c r="I1183">
        <f t="shared" si="110"/>
        <v>31.667999999999996</v>
      </c>
      <c r="J1183" s="6" cm="1">
        <f t="array" ref="J1183">_xlfn.STDEV.S(IF($A:$A=A1183, $F:$F))</f>
        <v>0.35173853925892079</v>
      </c>
      <c r="P1183" s="8">
        <f t="shared" si="111"/>
        <v>1.7828716969118075</v>
      </c>
      <c r="Q1183" s="8">
        <f t="shared" si="112"/>
        <v>1.7828716969118075</v>
      </c>
      <c r="R1183" s="8">
        <f t="shared" si="113"/>
        <v>1.7828716969118075</v>
      </c>
    </row>
    <row r="1184" spans="1:18" x14ac:dyDescent="0.25">
      <c r="A1184" s="7">
        <f t="shared" si="108"/>
        <v>237</v>
      </c>
      <c r="B1184" s="2">
        <v>44650</v>
      </c>
      <c r="C1184" s="3">
        <v>31.69</v>
      </c>
      <c r="D1184" s="3">
        <v>32.53</v>
      </c>
      <c r="E1184" s="3">
        <v>31.69</v>
      </c>
      <c r="F1184" s="3">
        <v>31.8</v>
      </c>
      <c r="G1184" s="3">
        <v>1646100</v>
      </c>
      <c r="H1184" s="8">
        <f t="shared" si="109"/>
        <v>1.7828716969118075</v>
      </c>
      <c r="I1184">
        <f t="shared" si="110"/>
        <v>31.667999999999996</v>
      </c>
      <c r="J1184" s="6" cm="1">
        <f t="array" ref="J1184">_xlfn.STDEV.S(IF($A:$A=A1184, $F:$F))</f>
        <v>0.35173853925892079</v>
      </c>
      <c r="P1184" s="8">
        <f t="shared" si="111"/>
        <v>1.7828716969118075</v>
      </c>
      <c r="Q1184" s="8">
        <f t="shared" si="112"/>
        <v>1.7828716969118075</v>
      </c>
      <c r="R1184" s="8">
        <f t="shared" si="113"/>
        <v>1.7828716969118075</v>
      </c>
    </row>
    <row r="1185" spans="1:18" x14ac:dyDescent="0.25">
      <c r="A1185" s="7">
        <f t="shared" si="108"/>
        <v>237</v>
      </c>
      <c r="B1185" s="2">
        <v>44651</v>
      </c>
      <c r="C1185" s="3">
        <v>31.92</v>
      </c>
      <c r="D1185" s="3">
        <v>31.97</v>
      </c>
      <c r="E1185" s="3">
        <v>31.19</v>
      </c>
      <c r="F1185" s="3">
        <v>31.19</v>
      </c>
      <c r="G1185" s="3">
        <v>1747200</v>
      </c>
      <c r="H1185" s="8">
        <f t="shared" si="109"/>
        <v>1.7828716969118075</v>
      </c>
      <c r="I1185">
        <f t="shared" si="110"/>
        <v>31.667999999999996</v>
      </c>
      <c r="J1185" s="6" cm="1">
        <f t="array" ref="J1185">_xlfn.STDEV.S(IF($A:$A=A1185, $F:$F))</f>
        <v>0.35173853925892079</v>
      </c>
      <c r="P1185" s="8">
        <f t="shared" si="111"/>
        <v>1.7828716969118075</v>
      </c>
      <c r="Q1185" s="8">
        <f t="shared" si="112"/>
        <v>1.7828716969118075</v>
      </c>
      <c r="R1185" s="8">
        <f t="shared" si="113"/>
        <v>1.7828716969118075</v>
      </c>
    </row>
    <row r="1186" spans="1:18" x14ac:dyDescent="0.25">
      <c r="A1186" s="7">
        <f t="shared" si="108"/>
        <v>237</v>
      </c>
      <c r="B1186" s="2">
        <v>44652</v>
      </c>
      <c r="C1186" s="3">
        <v>31.14</v>
      </c>
      <c r="D1186" s="3">
        <v>31.97</v>
      </c>
      <c r="E1186" s="3">
        <v>30.86</v>
      </c>
      <c r="F1186" s="3">
        <v>31.97</v>
      </c>
      <c r="G1186" s="3">
        <v>1867600</v>
      </c>
      <c r="H1186" s="8">
        <f t="shared" si="109"/>
        <v>1.7828716969118075</v>
      </c>
      <c r="I1186">
        <f t="shared" si="110"/>
        <v>31.667999999999996</v>
      </c>
      <c r="J1186" s="6" cm="1">
        <f t="array" ref="J1186">_xlfn.STDEV.S(IF($A:$A=A1186, $F:$F))</f>
        <v>0.35173853925892079</v>
      </c>
      <c r="P1186" s="8">
        <f t="shared" si="111"/>
        <v>1.7828716969118075</v>
      </c>
      <c r="Q1186" s="8">
        <f t="shared" si="112"/>
        <v>1.7828716969118075</v>
      </c>
      <c r="R1186" s="8">
        <f t="shared" si="113"/>
        <v>1.7828716969118075</v>
      </c>
    </row>
    <row r="1187" spans="1:18" x14ac:dyDescent="0.25">
      <c r="A1187" s="7">
        <f t="shared" si="108"/>
        <v>238</v>
      </c>
      <c r="B1187" s="2">
        <v>44655</v>
      </c>
      <c r="C1187" s="3">
        <v>32.36</v>
      </c>
      <c r="D1187" s="3">
        <v>33.81</v>
      </c>
      <c r="E1187" s="3">
        <v>32.36</v>
      </c>
      <c r="F1187" s="3">
        <v>32.92</v>
      </c>
      <c r="G1187" s="3">
        <v>4261300</v>
      </c>
      <c r="H1187" s="8">
        <f t="shared" si="109"/>
        <v>-5.4070473876063216</v>
      </c>
      <c r="I1187">
        <f t="shared" si="110"/>
        <v>32.15</v>
      </c>
      <c r="J1187" s="6" cm="1">
        <f t="array" ref="J1187">_xlfn.STDEV.S(IF($A:$A=A1187, $F:$F))</f>
        <v>0.69354163537598834</v>
      </c>
      <c r="P1187" s="8">
        <f t="shared" si="111"/>
        <v>-5.4070473876063216</v>
      </c>
      <c r="Q1187" s="8">
        <f t="shared" si="112"/>
        <v>-5.4070473876063216</v>
      </c>
      <c r="R1187" s="8">
        <f t="shared" si="113"/>
        <v>-5.4070473876063216</v>
      </c>
    </row>
    <row r="1188" spans="1:18" x14ac:dyDescent="0.25">
      <c r="A1188" s="7">
        <f t="shared" si="108"/>
        <v>238</v>
      </c>
      <c r="B1188" s="2">
        <v>44656</v>
      </c>
      <c r="C1188" s="3">
        <v>33.08</v>
      </c>
      <c r="D1188" s="3">
        <v>33.47</v>
      </c>
      <c r="E1188" s="3">
        <v>32.53</v>
      </c>
      <c r="F1188" s="3">
        <v>32.53</v>
      </c>
      <c r="G1188" s="3">
        <v>1460700</v>
      </c>
      <c r="H1188" s="8">
        <f t="shared" si="109"/>
        <v>-5.4070473876063216</v>
      </c>
      <c r="I1188">
        <f t="shared" si="110"/>
        <v>32.15</v>
      </c>
      <c r="J1188" s="6" cm="1">
        <f t="array" ref="J1188">_xlfn.STDEV.S(IF($A:$A=A1188, $F:$F))</f>
        <v>0.69354163537598834</v>
      </c>
      <c r="P1188" s="8">
        <f t="shared" si="111"/>
        <v>-5.4070473876063216</v>
      </c>
      <c r="Q1188" s="8">
        <f t="shared" si="112"/>
        <v>-5.4070473876063216</v>
      </c>
      <c r="R1188" s="8">
        <f t="shared" si="113"/>
        <v>-5.4070473876063216</v>
      </c>
    </row>
    <row r="1189" spans="1:18" x14ac:dyDescent="0.25">
      <c r="A1189" s="7">
        <f t="shared" si="108"/>
        <v>238</v>
      </c>
      <c r="B1189" s="2">
        <v>44657</v>
      </c>
      <c r="C1189" s="3">
        <v>32.25</v>
      </c>
      <c r="D1189" s="3">
        <v>32.92</v>
      </c>
      <c r="E1189" s="3">
        <v>32.03</v>
      </c>
      <c r="F1189" s="3">
        <v>32.36</v>
      </c>
      <c r="G1189" s="3">
        <v>1842800</v>
      </c>
      <c r="H1189" s="8">
        <f t="shared" si="109"/>
        <v>-5.4070473876063216</v>
      </c>
      <c r="I1189">
        <f t="shared" si="110"/>
        <v>32.15</v>
      </c>
      <c r="J1189" s="6" cm="1">
        <f t="array" ref="J1189">_xlfn.STDEV.S(IF($A:$A=A1189, $F:$F))</f>
        <v>0.69354163537598834</v>
      </c>
      <c r="P1189" s="8">
        <f t="shared" si="111"/>
        <v>-5.4070473876063216</v>
      </c>
      <c r="Q1189" s="8">
        <f t="shared" si="112"/>
        <v>-5.4070473876063216</v>
      </c>
      <c r="R1189" s="8">
        <f t="shared" si="113"/>
        <v>-5.4070473876063216</v>
      </c>
    </row>
    <row r="1190" spans="1:18" x14ac:dyDescent="0.25">
      <c r="A1190" s="7">
        <f t="shared" si="108"/>
        <v>238</v>
      </c>
      <c r="B1190" s="2">
        <v>44658</v>
      </c>
      <c r="C1190" s="3">
        <v>32.42</v>
      </c>
      <c r="D1190" s="3">
        <v>33.03</v>
      </c>
      <c r="E1190" s="3">
        <v>31.75</v>
      </c>
      <c r="F1190" s="3">
        <v>31.8</v>
      </c>
      <c r="G1190" s="3">
        <v>2076900</v>
      </c>
      <c r="H1190" s="8">
        <f t="shared" si="109"/>
        <v>-5.4070473876063216</v>
      </c>
      <c r="I1190">
        <f t="shared" si="110"/>
        <v>32.15</v>
      </c>
      <c r="J1190" s="6" cm="1">
        <f t="array" ref="J1190">_xlfn.STDEV.S(IF($A:$A=A1190, $F:$F))</f>
        <v>0.69354163537598834</v>
      </c>
      <c r="P1190" s="8">
        <f t="shared" si="111"/>
        <v>-5.4070473876063216</v>
      </c>
      <c r="Q1190" s="8">
        <f t="shared" si="112"/>
        <v>-5.4070473876063216</v>
      </c>
      <c r="R1190" s="8">
        <f t="shared" si="113"/>
        <v>-5.4070473876063216</v>
      </c>
    </row>
    <row r="1191" spans="1:18" x14ac:dyDescent="0.25">
      <c r="A1191" s="7">
        <f t="shared" si="108"/>
        <v>238</v>
      </c>
      <c r="B1191" s="2">
        <v>44659</v>
      </c>
      <c r="C1191" s="3">
        <v>31.8</v>
      </c>
      <c r="D1191" s="3">
        <v>32.25</v>
      </c>
      <c r="E1191" s="3">
        <v>31.14</v>
      </c>
      <c r="F1191" s="3">
        <v>31.14</v>
      </c>
      <c r="G1191" s="3">
        <v>2152200</v>
      </c>
      <c r="H1191" s="8">
        <f t="shared" si="109"/>
        <v>-5.4070473876063216</v>
      </c>
      <c r="I1191">
        <f t="shared" si="110"/>
        <v>32.15</v>
      </c>
      <c r="J1191" s="6" cm="1">
        <f t="array" ref="J1191">_xlfn.STDEV.S(IF($A:$A=A1191, $F:$F))</f>
        <v>0.69354163537598834</v>
      </c>
      <c r="P1191" s="8">
        <f t="shared" si="111"/>
        <v>-5.4070473876063216</v>
      </c>
      <c r="Q1191" s="8">
        <f t="shared" si="112"/>
        <v>-5.4070473876063216</v>
      </c>
      <c r="R1191" s="8">
        <f t="shared" si="113"/>
        <v>-5.4070473876063216</v>
      </c>
    </row>
    <row r="1192" spans="1:18" x14ac:dyDescent="0.25">
      <c r="A1192" s="7">
        <f t="shared" si="108"/>
        <v>239</v>
      </c>
      <c r="B1192" s="2">
        <v>44663</v>
      </c>
      <c r="C1192" s="3">
        <v>31.14</v>
      </c>
      <c r="D1192" s="3">
        <v>31.3</v>
      </c>
      <c r="E1192" s="3">
        <v>29.69</v>
      </c>
      <c r="F1192" s="3">
        <v>29.69</v>
      </c>
      <c r="G1192" s="3">
        <v>2226500</v>
      </c>
      <c r="H1192" s="8">
        <f t="shared" si="109"/>
        <v>-12.933647692825867</v>
      </c>
      <c r="I1192">
        <f t="shared" si="110"/>
        <v>28.588000000000001</v>
      </c>
      <c r="J1192" s="6" cm="1">
        <f t="array" ref="J1192">_xlfn.STDEV.S(IF($A:$A=A1192, $F:$F))</f>
        <v>1.7583145338647455</v>
      </c>
      <c r="P1192" s="8">
        <f t="shared" si="111"/>
        <v>-12.933647692825867</v>
      </c>
      <c r="Q1192" s="8">
        <f t="shared" si="112"/>
        <v>-12.933647692825867</v>
      </c>
      <c r="R1192" s="11">
        <f t="shared" si="113"/>
        <v>-12.933647692825867</v>
      </c>
    </row>
    <row r="1193" spans="1:18" x14ac:dyDescent="0.25">
      <c r="A1193" s="7">
        <f t="shared" si="108"/>
        <v>239</v>
      </c>
      <c r="B1193" s="2">
        <v>44664</v>
      </c>
      <c r="C1193" s="3">
        <v>29.8</v>
      </c>
      <c r="D1193" s="3">
        <v>30.58</v>
      </c>
      <c r="E1193" s="3">
        <v>29.19</v>
      </c>
      <c r="F1193" s="3">
        <v>30.02</v>
      </c>
      <c r="G1193" s="3">
        <v>1922900</v>
      </c>
      <c r="H1193" s="8">
        <f t="shared" si="109"/>
        <v>-12.933647692825867</v>
      </c>
      <c r="I1193">
        <f t="shared" si="110"/>
        <v>28.588000000000001</v>
      </c>
      <c r="J1193" s="6" cm="1">
        <f t="array" ref="J1193">_xlfn.STDEV.S(IF($A:$A=A1193, $F:$F))</f>
        <v>1.7583145338647455</v>
      </c>
      <c r="P1193" s="8">
        <f t="shared" si="111"/>
        <v>-12.933647692825867</v>
      </c>
      <c r="Q1193" s="8">
        <f t="shared" si="112"/>
        <v>-12.933647692825867</v>
      </c>
      <c r="R1193" s="11">
        <f t="shared" si="113"/>
        <v>-12.933647692825867</v>
      </c>
    </row>
    <row r="1194" spans="1:18" x14ac:dyDescent="0.25">
      <c r="A1194" s="7">
        <f t="shared" si="108"/>
        <v>239</v>
      </c>
      <c r="B1194" s="2">
        <v>44665</v>
      </c>
      <c r="C1194" s="3">
        <v>30.36</v>
      </c>
      <c r="D1194" s="3">
        <v>30.86</v>
      </c>
      <c r="E1194" s="3">
        <v>29.58</v>
      </c>
      <c r="F1194" s="3">
        <v>29.58</v>
      </c>
      <c r="G1194" s="3">
        <v>1350100</v>
      </c>
      <c r="H1194" s="8">
        <f t="shared" si="109"/>
        <v>-12.933647692825867</v>
      </c>
      <c r="I1194">
        <f t="shared" si="110"/>
        <v>28.588000000000001</v>
      </c>
      <c r="J1194" s="6" cm="1">
        <f t="array" ref="J1194">_xlfn.STDEV.S(IF($A:$A=A1194, $F:$F))</f>
        <v>1.7583145338647455</v>
      </c>
      <c r="P1194" s="8">
        <f t="shared" si="111"/>
        <v>-12.933647692825867</v>
      </c>
      <c r="Q1194" s="8">
        <f t="shared" si="112"/>
        <v>-12.933647692825867</v>
      </c>
      <c r="R1194" s="11">
        <f t="shared" si="113"/>
        <v>-12.933647692825867</v>
      </c>
    </row>
    <row r="1195" spans="1:18" x14ac:dyDescent="0.25">
      <c r="A1195" s="7">
        <f t="shared" si="108"/>
        <v>239</v>
      </c>
      <c r="B1195" s="2">
        <v>44666</v>
      </c>
      <c r="C1195" s="3">
        <v>29.47</v>
      </c>
      <c r="D1195" s="3">
        <v>29.75</v>
      </c>
      <c r="E1195" s="3">
        <v>27.8</v>
      </c>
      <c r="F1195" s="3">
        <v>27.8</v>
      </c>
      <c r="G1195" s="3">
        <v>3092300</v>
      </c>
      <c r="H1195" s="8">
        <f t="shared" si="109"/>
        <v>-12.933647692825867</v>
      </c>
      <c r="I1195">
        <f t="shared" si="110"/>
        <v>28.588000000000001</v>
      </c>
      <c r="J1195" s="6" cm="1">
        <f t="array" ref="J1195">_xlfn.STDEV.S(IF($A:$A=A1195, $F:$F))</f>
        <v>1.7583145338647455</v>
      </c>
      <c r="P1195" s="8">
        <f t="shared" si="111"/>
        <v>-12.933647692825867</v>
      </c>
      <c r="Q1195" s="8">
        <f t="shared" si="112"/>
        <v>-12.933647692825867</v>
      </c>
      <c r="R1195" s="11">
        <f t="shared" si="113"/>
        <v>-12.933647692825867</v>
      </c>
    </row>
    <row r="1196" spans="1:18" x14ac:dyDescent="0.25">
      <c r="A1196" s="7">
        <f t="shared" si="108"/>
        <v>239</v>
      </c>
      <c r="B1196" s="2">
        <v>44669</v>
      </c>
      <c r="C1196" s="3">
        <v>27.13</v>
      </c>
      <c r="D1196" s="3">
        <v>27.13</v>
      </c>
      <c r="E1196" s="3">
        <v>25.85</v>
      </c>
      <c r="F1196" s="3">
        <v>25.85</v>
      </c>
      <c r="G1196" s="3">
        <v>3608400</v>
      </c>
      <c r="H1196" s="8">
        <f t="shared" si="109"/>
        <v>-12.933647692825867</v>
      </c>
      <c r="I1196">
        <f t="shared" si="110"/>
        <v>28.588000000000001</v>
      </c>
      <c r="J1196" s="6" cm="1">
        <f t="array" ref="J1196">_xlfn.STDEV.S(IF($A:$A=A1196, $F:$F))</f>
        <v>1.7583145338647455</v>
      </c>
      <c r="P1196" s="8">
        <f t="shared" si="111"/>
        <v>-12.933647692825867</v>
      </c>
      <c r="Q1196" s="8">
        <f t="shared" si="112"/>
        <v>-12.933647692825867</v>
      </c>
      <c r="R1196" s="11">
        <f t="shared" si="113"/>
        <v>-12.933647692825867</v>
      </c>
    </row>
    <row r="1197" spans="1:18" x14ac:dyDescent="0.25">
      <c r="A1197" s="7">
        <f t="shared" si="108"/>
        <v>240</v>
      </c>
      <c r="B1197" s="2">
        <v>44670</v>
      </c>
      <c r="C1197" s="3">
        <v>26.24</v>
      </c>
      <c r="D1197" s="3">
        <v>26.74</v>
      </c>
      <c r="E1197" s="3">
        <v>24.8</v>
      </c>
      <c r="F1197" s="3">
        <v>25.02</v>
      </c>
      <c r="G1197" s="3">
        <v>2395800</v>
      </c>
      <c r="H1197" s="8">
        <f t="shared" si="109"/>
        <v>-7.7937649880095901</v>
      </c>
      <c r="I1197">
        <f t="shared" si="110"/>
        <v>24.419999999999998</v>
      </c>
      <c r="J1197" s="6" cm="1">
        <f t="array" ref="J1197">_xlfn.STDEV.S(IF($A:$A=A1197, $F:$F))</f>
        <v>0.82761706120644918</v>
      </c>
      <c r="P1197" s="8">
        <f t="shared" si="111"/>
        <v>-7.7937649880095901</v>
      </c>
      <c r="Q1197" s="8">
        <f t="shared" si="112"/>
        <v>-7.7937649880095901</v>
      </c>
      <c r="R1197" s="8">
        <f t="shared" si="113"/>
        <v>-7.7937649880095901</v>
      </c>
    </row>
    <row r="1198" spans="1:18" x14ac:dyDescent="0.25">
      <c r="A1198" s="7">
        <f t="shared" si="108"/>
        <v>240</v>
      </c>
      <c r="B1198" s="2">
        <v>44671</v>
      </c>
      <c r="C1198" s="3">
        <v>25.3</v>
      </c>
      <c r="D1198" s="3">
        <v>25.49</v>
      </c>
      <c r="E1198" s="3">
        <v>24.19</v>
      </c>
      <c r="F1198" s="3">
        <v>24.19</v>
      </c>
      <c r="G1198" s="3">
        <v>2558000</v>
      </c>
      <c r="H1198" s="8">
        <f t="shared" si="109"/>
        <v>-7.7937649880095901</v>
      </c>
      <c r="I1198">
        <f t="shared" si="110"/>
        <v>24.419999999999998</v>
      </c>
      <c r="J1198" s="6" cm="1">
        <f t="array" ref="J1198">_xlfn.STDEV.S(IF($A:$A=A1198, $F:$F))</f>
        <v>0.82761706120644918</v>
      </c>
      <c r="P1198" s="8">
        <f t="shared" si="111"/>
        <v>-7.7937649880095901</v>
      </c>
      <c r="Q1198" s="8">
        <f t="shared" si="112"/>
        <v>-7.7937649880095901</v>
      </c>
      <c r="R1198" s="8">
        <f t="shared" si="113"/>
        <v>-7.7937649880095901</v>
      </c>
    </row>
    <row r="1199" spans="1:18" x14ac:dyDescent="0.25">
      <c r="A1199" s="7">
        <f t="shared" si="108"/>
        <v>240</v>
      </c>
      <c r="B1199" s="2">
        <v>44672</v>
      </c>
      <c r="C1199" s="3">
        <v>23.69</v>
      </c>
      <c r="D1199" s="3">
        <v>25.69</v>
      </c>
      <c r="E1199" s="3">
        <v>23.69</v>
      </c>
      <c r="F1199" s="3">
        <v>25.02</v>
      </c>
      <c r="G1199" s="3">
        <v>3134300</v>
      </c>
      <c r="H1199" s="8">
        <f t="shared" si="109"/>
        <v>-7.7937649880095901</v>
      </c>
      <c r="I1199">
        <f t="shared" si="110"/>
        <v>24.419999999999998</v>
      </c>
      <c r="J1199" s="6" cm="1">
        <f t="array" ref="J1199">_xlfn.STDEV.S(IF($A:$A=A1199, $F:$F))</f>
        <v>0.82761706120644918</v>
      </c>
      <c r="P1199" s="8">
        <f t="shared" si="111"/>
        <v>-7.7937649880095901</v>
      </c>
      <c r="Q1199" s="8">
        <f t="shared" si="112"/>
        <v>-7.7937649880095901</v>
      </c>
      <c r="R1199" s="8">
        <f t="shared" si="113"/>
        <v>-7.7937649880095901</v>
      </c>
    </row>
    <row r="1200" spans="1:18" x14ac:dyDescent="0.25">
      <c r="A1200" s="7">
        <f t="shared" si="108"/>
        <v>240</v>
      </c>
      <c r="B1200" s="2">
        <v>44673</v>
      </c>
      <c r="C1200" s="3">
        <v>25.35</v>
      </c>
      <c r="D1200" s="3">
        <v>25.74</v>
      </c>
      <c r="E1200" s="3">
        <v>23.96</v>
      </c>
      <c r="F1200" s="3">
        <v>24.8</v>
      </c>
      <c r="G1200" s="3">
        <v>1678200</v>
      </c>
      <c r="H1200" s="8">
        <f t="shared" si="109"/>
        <v>-7.7937649880095901</v>
      </c>
      <c r="I1200">
        <f t="shared" si="110"/>
        <v>24.419999999999998</v>
      </c>
      <c r="J1200" s="6" cm="1">
        <f t="array" ref="J1200">_xlfn.STDEV.S(IF($A:$A=A1200, $F:$F))</f>
        <v>0.82761706120644918</v>
      </c>
      <c r="P1200" s="8">
        <f t="shared" si="111"/>
        <v>-7.7937649880095901</v>
      </c>
      <c r="Q1200" s="8">
        <f t="shared" si="112"/>
        <v>-7.7937649880095901</v>
      </c>
      <c r="R1200" s="8">
        <f t="shared" si="113"/>
        <v>-7.7937649880095901</v>
      </c>
    </row>
    <row r="1201" spans="1:18" x14ac:dyDescent="0.25">
      <c r="A1201" s="7">
        <f t="shared" si="108"/>
        <v>240</v>
      </c>
      <c r="B1201" s="2">
        <v>44676</v>
      </c>
      <c r="C1201" s="3">
        <v>24.49</v>
      </c>
      <c r="D1201" s="3">
        <v>25.02</v>
      </c>
      <c r="E1201" s="3">
        <v>23.07</v>
      </c>
      <c r="F1201" s="3">
        <v>23.07</v>
      </c>
      <c r="G1201" s="3">
        <v>2407500</v>
      </c>
      <c r="H1201" s="8">
        <f t="shared" si="109"/>
        <v>-7.7937649880095901</v>
      </c>
      <c r="I1201">
        <f t="shared" si="110"/>
        <v>24.419999999999998</v>
      </c>
      <c r="J1201" s="6" cm="1">
        <f t="array" ref="J1201">_xlfn.STDEV.S(IF($A:$A=A1201, $F:$F))</f>
        <v>0.82761706120644918</v>
      </c>
      <c r="P1201" s="8">
        <f t="shared" si="111"/>
        <v>-7.7937649880095901</v>
      </c>
      <c r="Q1201" s="8">
        <f t="shared" si="112"/>
        <v>-7.7937649880095901</v>
      </c>
      <c r="R1201" s="8">
        <f t="shared" si="113"/>
        <v>-7.7937649880095901</v>
      </c>
    </row>
    <row r="1202" spans="1:18" x14ac:dyDescent="0.25">
      <c r="A1202" s="7">
        <f t="shared" si="108"/>
        <v>241</v>
      </c>
      <c r="B1202" s="2">
        <v>44677</v>
      </c>
      <c r="C1202" s="3">
        <v>22.69</v>
      </c>
      <c r="D1202" s="3">
        <v>23.58</v>
      </c>
      <c r="E1202" s="3">
        <v>21.46</v>
      </c>
      <c r="F1202" s="3">
        <v>23.35</v>
      </c>
      <c r="G1202" s="3">
        <v>3851700</v>
      </c>
      <c r="H1202" s="8">
        <f t="shared" si="109"/>
        <v>-2.3554603854389748</v>
      </c>
      <c r="I1202">
        <f t="shared" si="110"/>
        <v>22.936</v>
      </c>
      <c r="J1202" s="6" cm="1">
        <f t="array" ref="J1202">_xlfn.STDEV.S(IF($A:$A=A1202, $F:$F))</f>
        <v>0.46693682656222413</v>
      </c>
      <c r="P1202" s="8">
        <f t="shared" si="111"/>
        <v>-2.3554603854389748</v>
      </c>
      <c r="Q1202" s="8">
        <f t="shared" si="112"/>
        <v>-2.3554603854389748</v>
      </c>
      <c r="R1202" s="8">
        <f t="shared" si="113"/>
        <v>-2.3554603854389748</v>
      </c>
    </row>
    <row r="1203" spans="1:18" x14ac:dyDescent="0.25">
      <c r="A1203" s="7">
        <f t="shared" si="108"/>
        <v>241</v>
      </c>
      <c r="B1203" s="2">
        <v>44678</v>
      </c>
      <c r="C1203" s="3">
        <v>23.3</v>
      </c>
      <c r="D1203" s="3">
        <v>23.55</v>
      </c>
      <c r="E1203" s="3">
        <v>22.69</v>
      </c>
      <c r="F1203" s="3">
        <v>22.91</v>
      </c>
      <c r="G1203" s="3">
        <v>1218500</v>
      </c>
      <c r="H1203" s="8">
        <f t="shared" si="109"/>
        <v>-2.3554603854389748</v>
      </c>
      <c r="I1203">
        <f t="shared" si="110"/>
        <v>22.936</v>
      </c>
      <c r="J1203" s="6" cm="1">
        <f t="array" ref="J1203">_xlfn.STDEV.S(IF($A:$A=A1203, $F:$F))</f>
        <v>0.46693682656222413</v>
      </c>
      <c r="P1203" s="8">
        <f t="shared" si="111"/>
        <v>-2.3554603854389748</v>
      </c>
      <c r="Q1203" s="8">
        <f t="shared" si="112"/>
        <v>-2.3554603854389748</v>
      </c>
      <c r="R1203" s="8">
        <f t="shared" si="113"/>
        <v>-2.3554603854389748</v>
      </c>
    </row>
    <row r="1204" spans="1:18" x14ac:dyDescent="0.25">
      <c r="A1204" s="7">
        <f t="shared" si="108"/>
        <v>241</v>
      </c>
      <c r="B1204" s="2">
        <v>44679</v>
      </c>
      <c r="C1204" s="3">
        <v>22.85</v>
      </c>
      <c r="D1204" s="3">
        <v>23.32</v>
      </c>
      <c r="E1204" s="3">
        <v>22.24</v>
      </c>
      <c r="F1204" s="3">
        <v>22.24</v>
      </c>
      <c r="G1204" s="3">
        <v>1555100</v>
      </c>
      <c r="H1204" s="8">
        <f t="shared" si="109"/>
        <v>-2.3554603854389748</v>
      </c>
      <c r="I1204">
        <f t="shared" si="110"/>
        <v>22.936</v>
      </c>
      <c r="J1204" s="6" cm="1">
        <f t="array" ref="J1204">_xlfn.STDEV.S(IF($A:$A=A1204, $F:$F))</f>
        <v>0.46693682656222413</v>
      </c>
      <c r="P1204" s="8">
        <f t="shared" si="111"/>
        <v>-2.3554603854389748</v>
      </c>
      <c r="Q1204" s="8">
        <f t="shared" si="112"/>
        <v>-2.3554603854389748</v>
      </c>
      <c r="R1204" s="8">
        <f t="shared" si="113"/>
        <v>-2.3554603854389748</v>
      </c>
    </row>
    <row r="1205" spans="1:18" x14ac:dyDescent="0.25">
      <c r="A1205" s="7">
        <f t="shared" si="108"/>
        <v>241</v>
      </c>
      <c r="B1205" s="2">
        <v>44680</v>
      </c>
      <c r="C1205" s="3">
        <v>22.18</v>
      </c>
      <c r="D1205" s="3">
        <v>23.46</v>
      </c>
      <c r="E1205" s="3">
        <v>21.91</v>
      </c>
      <c r="F1205" s="3">
        <v>23.38</v>
      </c>
      <c r="G1205" s="3">
        <v>3116100</v>
      </c>
      <c r="H1205" s="8">
        <f t="shared" si="109"/>
        <v>-2.3554603854389748</v>
      </c>
      <c r="I1205">
        <f t="shared" si="110"/>
        <v>22.936</v>
      </c>
      <c r="J1205" s="6" cm="1">
        <f t="array" ref="J1205">_xlfn.STDEV.S(IF($A:$A=A1205, $F:$F))</f>
        <v>0.46693682656222413</v>
      </c>
      <c r="P1205" s="8">
        <f t="shared" si="111"/>
        <v>-2.3554603854389748</v>
      </c>
      <c r="Q1205" s="8">
        <f t="shared" si="112"/>
        <v>-2.3554603854389748</v>
      </c>
      <c r="R1205" s="8">
        <f t="shared" si="113"/>
        <v>-2.3554603854389748</v>
      </c>
    </row>
    <row r="1206" spans="1:18" x14ac:dyDescent="0.25">
      <c r="A1206" s="7">
        <f t="shared" si="108"/>
        <v>241</v>
      </c>
      <c r="B1206" s="2">
        <v>44685</v>
      </c>
      <c r="C1206" s="3">
        <v>23.38</v>
      </c>
      <c r="D1206" s="3">
        <v>23.71</v>
      </c>
      <c r="E1206" s="3">
        <v>22.8</v>
      </c>
      <c r="F1206" s="3">
        <v>22.8</v>
      </c>
      <c r="G1206" s="3">
        <v>1258400</v>
      </c>
      <c r="H1206" s="8">
        <f t="shared" si="109"/>
        <v>-2.3554603854389748</v>
      </c>
      <c r="I1206">
        <f t="shared" si="110"/>
        <v>22.936</v>
      </c>
      <c r="J1206" s="6" cm="1">
        <f t="array" ref="J1206">_xlfn.STDEV.S(IF($A:$A=A1206, $F:$F))</f>
        <v>0.46693682656222413</v>
      </c>
      <c r="P1206" s="8">
        <f t="shared" si="111"/>
        <v>-2.3554603854389748</v>
      </c>
      <c r="Q1206" s="8">
        <f t="shared" si="112"/>
        <v>-2.3554603854389748</v>
      </c>
      <c r="R1206" s="8">
        <f t="shared" si="113"/>
        <v>-2.3554603854389748</v>
      </c>
    </row>
    <row r="1207" spans="1:18" x14ac:dyDescent="0.25">
      <c r="A1207" s="7">
        <f t="shared" si="108"/>
        <v>242</v>
      </c>
      <c r="B1207" s="2">
        <v>44686</v>
      </c>
      <c r="C1207" s="3">
        <v>23.24</v>
      </c>
      <c r="D1207" s="3">
        <v>23.24</v>
      </c>
      <c r="E1207" s="3">
        <v>21.93</v>
      </c>
      <c r="F1207" s="3">
        <v>22.21</v>
      </c>
      <c r="G1207" s="3">
        <v>1541900</v>
      </c>
      <c r="H1207" s="8">
        <f t="shared" si="109"/>
        <v>-13.147230977037378</v>
      </c>
      <c r="I1207">
        <f t="shared" si="110"/>
        <v>20.197999999999997</v>
      </c>
      <c r="J1207" s="6" cm="1">
        <f t="array" ref="J1207">_xlfn.STDEV.S(IF($A:$A=A1207, $F:$F))</f>
        <v>1.2665978051457383</v>
      </c>
      <c r="P1207" s="8">
        <f t="shared" si="111"/>
        <v>-13.147230977037378</v>
      </c>
      <c r="Q1207" s="8">
        <f t="shared" si="112"/>
        <v>-13.147230977037378</v>
      </c>
      <c r="R1207" s="11">
        <f t="shared" si="113"/>
        <v>-13.147230977037378</v>
      </c>
    </row>
    <row r="1208" spans="1:18" x14ac:dyDescent="0.25">
      <c r="A1208" s="7">
        <f t="shared" si="108"/>
        <v>242</v>
      </c>
      <c r="B1208" s="2">
        <v>44687</v>
      </c>
      <c r="C1208" s="3">
        <v>21.57</v>
      </c>
      <c r="D1208" s="3">
        <v>21.8</v>
      </c>
      <c r="E1208" s="3">
        <v>20.68</v>
      </c>
      <c r="F1208" s="3">
        <v>20.68</v>
      </c>
      <c r="G1208" s="3">
        <v>4006700</v>
      </c>
      <c r="H1208" s="8">
        <f t="shared" si="109"/>
        <v>-13.147230977037378</v>
      </c>
      <c r="I1208">
        <f t="shared" si="110"/>
        <v>20.197999999999997</v>
      </c>
      <c r="J1208" s="6" cm="1">
        <f t="array" ref="J1208">_xlfn.STDEV.S(IF($A:$A=A1208, $F:$F))</f>
        <v>1.2665978051457383</v>
      </c>
      <c r="P1208" s="8">
        <f t="shared" si="111"/>
        <v>-13.147230977037378</v>
      </c>
      <c r="Q1208" s="8">
        <f t="shared" si="112"/>
        <v>-13.147230977037378</v>
      </c>
      <c r="R1208" s="11">
        <f t="shared" si="113"/>
        <v>-13.147230977037378</v>
      </c>
    </row>
    <row r="1209" spans="1:18" x14ac:dyDescent="0.25">
      <c r="A1209" s="7">
        <f t="shared" si="108"/>
        <v>242</v>
      </c>
      <c r="B1209" s="2">
        <v>44690</v>
      </c>
      <c r="C1209" s="3">
        <v>19.57</v>
      </c>
      <c r="D1209" s="3">
        <v>19.88</v>
      </c>
      <c r="E1209" s="3">
        <v>19.239999999999998</v>
      </c>
      <c r="F1209" s="3">
        <v>19.239999999999998</v>
      </c>
      <c r="G1209" s="3">
        <v>2973400</v>
      </c>
      <c r="H1209" s="8">
        <f t="shared" si="109"/>
        <v>-13.147230977037378</v>
      </c>
      <c r="I1209">
        <f t="shared" si="110"/>
        <v>20.197999999999997</v>
      </c>
      <c r="J1209" s="6" cm="1">
        <f t="array" ref="J1209">_xlfn.STDEV.S(IF($A:$A=A1209, $F:$F))</f>
        <v>1.2665978051457383</v>
      </c>
      <c r="P1209" s="8">
        <f t="shared" si="111"/>
        <v>-13.147230977037378</v>
      </c>
      <c r="Q1209" s="8">
        <f t="shared" si="112"/>
        <v>-13.147230977037378</v>
      </c>
      <c r="R1209" s="11">
        <f t="shared" si="113"/>
        <v>-13.147230977037378</v>
      </c>
    </row>
    <row r="1210" spans="1:18" x14ac:dyDescent="0.25">
      <c r="A1210" s="7">
        <f t="shared" si="108"/>
        <v>242</v>
      </c>
      <c r="B1210" s="2">
        <v>44691</v>
      </c>
      <c r="C1210" s="3">
        <v>18.010000000000002</v>
      </c>
      <c r="D1210" s="3">
        <v>19.739999999999998</v>
      </c>
      <c r="E1210" s="3">
        <v>18.010000000000002</v>
      </c>
      <c r="F1210" s="3">
        <v>19.57</v>
      </c>
      <c r="G1210" s="3">
        <v>3532600</v>
      </c>
      <c r="H1210" s="8">
        <f t="shared" si="109"/>
        <v>-13.147230977037378</v>
      </c>
      <c r="I1210">
        <f t="shared" si="110"/>
        <v>20.197999999999997</v>
      </c>
      <c r="J1210" s="6" cm="1">
        <f t="array" ref="J1210">_xlfn.STDEV.S(IF($A:$A=A1210, $F:$F))</f>
        <v>1.2665978051457383</v>
      </c>
      <c r="P1210" s="8">
        <f t="shared" si="111"/>
        <v>-13.147230977037378</v>
      </c>
      <c r="Q1210" s="8">
        <f t="shared" si="112"/>
        <v>-13.147230977037378</v>
      </c>
      <c r="R1210" s="11">
        <f t="shared" si="113"/>
        <v>-13.147230977037378</v>
      </c>
    </row>
    <row r="1211" spans="1:18" x14ac:dyDescent="0.25">
      <c r="A1211" s="7">
        <f t="shared" si="108"/>
        <v>242</v>
      </c>
      <c r="B1211" s="2">
        <v>44692</v>
      </c>
      <c r="C1211" s="3">
        <v>19.66</v>
      </c>
      <c r="D1211" s="3">
        <v>19.71</v>
      </c>
      <c r="E1211" s="3">
        <v>18.899999999999999</v>
      </c>
      <c r="F1211" s="3">
        <v>19.29</v>
      </c>
      <c r="G1211" s="3">
        <v>1181500</v>
      </c>
      <c r="H1211" s="8">
        <f t="shared" si="109"/>
        <v>-13.147230977037378</v>
      </c>
      <c r="I1211">
        <f t="shared" si="110"/>
        <v>20.197999999999997</v>
      </c>
      <c r="J1211" s="6" cm="1">
        <f t="array" ref="J1211">_xlfn.STDEV.S(IF($A:$A=A1211, $F:$F))</f>
        <v>1.2665978051457383</v>
      </c>
      <c r="P1211" s="8">
        <f t="shared" si="111"/>
        <v>-13.147230977037378</v>
      </c>
      <c r="Q1211" s="8">
        <f t="shared" si="112"/>
        <v>-13.147230977037378</v>
      </c>
      <c r="R1211" s="11">
        <f t="shared" si="113"/>
        <v>-13.147230977037378</v>
      </c>
    </row>
    <row r="1212" spans="1:18" x14ac:dyDescent="0.25">
      <c r="A1212" s="7">
        <f t="shared" si="108"/>
        <v>243</v>
      </c>
      <c r="B1212" s="2">
        <v>44693</v>
      </c>
      <c r="C1212" s="3">
        <v>18.96</v>
      </c>
      <c r="D1212" s="3">
        <v>19.18</v>
      </c>
      <c r="E1212" s="3">
        <v>17.96</v>
      </c>
      <c r="F1212" s="3">
        <v>17.96</v>
      </c>
      <c r="G1212" s="3">
        <v>3083200</v>
      </c>
      <c r="H1212" s="8">
        <f t="shared" si="109"/>
        <v>9.9109131403117896</v>
      </c>
      <c r="I1212">
        <f t="shared" si="110"/>
        <v>18.026000000000003</v>
      </c>
      <c r="J1212" s="6" cm="1">
        <f t="array" ref="J1212">_xlfn.STDEV.S(IF($A:$A=A1212, $F:$F))</f>
        <v>1.1671675115423654</v>
      </c>
      <c r="P1212" s="8">
        <f t="shared" si="111"/>
        <v>9.9109131403117896</v>
      </c>
      <c r="Q1212" s="8">
        <f t="shared" si="112"/>
        <v>9.9109131403117896</v>
      </c>
      <c r="R1212" s="10">
        <f t="shared" si="113"/>
        <v>9.9109131403117896</v>
      </c>
    </row>
    <row r="1213" spans="1:18" x14ac:dyDescent="0.25">
      <c r="A1213" s="7">
        <f t="shared" si="108"/>
        <v>243</v>
      </c>
      <c r="B1213" s="2">
        <v>44694</v>
      </c>
      <c r="C1213" s="3">
        <v>17.96</v>
      </c>
      <c r="D1213" s="3">
        <v>18.010000000000002</v>
      </c>
      <c r="E1213" s="3">
        <v>16.71</v>
      </c>
      <c r="F1213" s="3">
        <v>16.71</v>
      </c>
      <c r="G1213" s="3">
        <v>6020000</v>
      </c>
      <c r="H1213" s="8">
        <f t="shared" si="109"/>
        <v>9.9109131403117896</v>
      </c>
      <c r="I1213">
        <f t="shared" si="110"/>
        <v>18.026000000000003</v>
      </c>
      <c r="J1213" s="6" cm="1">
        <f t="array" ref="J1213">_xlfn.STDEV.S(IF($A:$A=A1213, $F:$F))</f>
        <v>1.1671675115423654</v>
      </c>
      <c r="P1213" s="8">
        <f t="shared" si="111"/>
        <v>9.9109131403117896</v>
      </c>
      <c r="Q1213" s="8">
        <f t="shared" si="112"/>
        <v>9.9109131403117896</v>
      </c>
      <c r="R1213" s="10">
        <f t="shared" si="113"/>
        <v>9.9109131403117896</v>
      </c>
    </row>
    <row r="1214" spans="1:18" x14ac:dyDescent="0.25">
      <c r="A1214" s="7">
        <f t="shared" si="108"/>
        <v>243</v>
      </c>
      <c r="B1214" s="2">
        <v>44697</v>
      </c>
      <c r="C1214" s="3">
        <v>17.82</v>
      </c>
      <c r="D1214" s="3">
        <v>17.88</v>
      </c>
      <c r="E1214" s="3">
        <v>17.260000000000002</v>
      </c>
      <c r="F1214" s="3">
        <v>17.260000000000002</v>
      </c>
      <c r="G1214" s="3">
        <v>3833000</v>
      </c>
      <c r="H1214" s="8">
        <f t="shared" si="109"/>
        <v>9.9109131403117896</v>
      </c>
      <c r="I1214">
        <f t="shared" si="110"/>
        <v>18.026000000000003</v>
      </c>
      <c r="J1214" s="6" cm="1">
        <f t="array" ref="J1214">_xlfn.STDEV.S(IF($A:$A=A1214, $F:$F))</f>
        <v>1.1671675115423654</v>
      </c>
      <c r="P1214" s="8">
        <f t="shared" si="111"/>
        <v>9.9109131403117896</v>
      </c>
      <c r="Q1214" s="8">
        <f t="shared" si="112"/>
        <v>9.9109131403117896</v>
      </c>
      <c r="R1214" s="10">
        <f t="shared" si="113"/>
        <v>9.9109131403117896</v>
      </c>
    </row>
    <row r="1215" spans="1:18" x14ac:dyDescent="0.25">
      <c r="A1215" s="7">
        <f t="shared" si="108"/>
        <v>243</v>
      </c>
      <c r="B1215" s="2">
        <v>44698</v>
      </c>
      <c r="C1215" s="3">
        <v>17.399999999999999</v>
      </c>
      <c r="D1215" s="3">
        <v>18.46</v>
      </c>
      <c r="E1215" s="3">
        <v>17.29</v>
      </c>
      <c r="F1215" s="3">
        <v>18.46</v>
      </c>
      <c r="G1215" s="3">
        <v>2200700</v>
      </c>
      <c r="H1215" s="8">
        <f t="shared" si="109"/>
        <v>9.9109131403117896</v>
      </c>
      <c r="I1215">
        <f t="shared" si="110"/>
        <v>18.026000000000003</v>
      </c>
      <c r="J1215" s="6" cm="1">
        <f t="array" ref="J1215">_xlfn.STDEV.S(IF($A:$A=A1215, $F:$F))</f>
        <v>1.1671675115423654</v>
      </c>
      <c r="P1215" s="8">
        <f t="shared" si="111"/>
        <v>9.9109131403117896</v>
      </c>
      <c r="Q1215" s="8">
        <f t="shared" si="112"/>
        <v>9.9109131403117896</v>
      </c>
      <c r="R1215" s="10">
        <f t="shared" si="113"/>
        <v>9.9109131403117896</v>
      </c>
    </row>
    <row r="1216" spans="1:18" x14ac:dyDescent="0.25">
      <c r="A1216" s="7">
        <f t="shared" si="108"/>
        <v>243</v>
      </c>
      <c r="B1216" s="2">
        <v>44699</v>
      </c>
      <c r="C1216" s="3">
        <v>19.18</v>
      </c>
      <c r="D1216" s="3">
        <v>19.739999999999998</v>
      </c>
      <c r="E1216" s="3">
        <v>19.07</v>
      </c>
      <c r="F1216" s="3">
        <v>19.739999999999998</v>
      </c>
      <c r="G1216" s="3">
        <v>6488500</v>
      </c>
      <c r="H1216" s="8">
        <f t="shared" si="109"/>
        <v>9.9109131403117896</v>
      </c>
      <c r="I1216">
        <f t="shared" si="110"/>
        <v>18.026000000000003</v>
      </c>
      <c r="J1216" s="6" cm="1">
        <f t="array" ref="J1216">_xlfn.STDEV.S(IF($A:$A=A1216, $F:$F))</f>
        <v>1.1671675115423654</v>
      </c>
      <c r="P1216" s="8">
        <f t="shared" si="111"/>
        <v>9.9109131403117896</v>
      </c>
      <c r="Q1216" s="8">
        <f t="shared" si="112"/>
        <v>9.9109131403117896</v>
      </c>
      <c r="R1216" s="10">
        <f t="shared" si="113"/>
        <v>9.9109131403117896</v>
      </c>
    </row>
    <row r="1217" spans="1:18" x14ac:dyDescent="0.25">
      <c r="A1217" s="7">
        <f t="shared" si="108"/>
        <v>244</v>
      </c>
      <c r="B1217" s="2">
        <v>44700</v>
      </c>
      <c r="C1217" s="3">
        <v>19.18</v>
      </c>
      <c r="D1217" s="3">
        <v>20.85</v>
      </c>
      <c r="E1217" s="3">
        <v>19.02</v>
      </c>
      <c r="F1217" s="3">
        <v>20.74</v>
      </c>
      <c r="G1217" s="3">
        <v>5370500</v>
      </c>
      <c r="H1217" s="8">
        <f t="shared" si="109"/>
        <v>4.5323047251687631</v>
      </c>
      <c r="I1217">
        <f t="shared" si="110"/>
        <v>20.622000000000003</v>
      </c>
      <c r="J1217" s="6" cm="1">
        <f t="array" ref="J1217">_xlfn.STDEV.S(IF($A:$A=A1217, $F:$F))</f>
        <v>0.73387328606510827</v>
      </c>
      <c r="P1217" s="8">
        <f t="shared" si="111"/>
        <v>4.5323047251687631</v>
      </c>
      <c r="Q1217" s="8">
        <f t="shared" si="112"/>
        <v>4.5323047251687631</v>
      </c>
      <c r="R1217" s="8">
        <f t="shared" si="113"/>
        <v>4.5323047251687631</v>
      </c>
    </row>
    <row r="1218" spans="1:18" x14ac:dyDescent="0.25">
      <c r="A1218" s="7">
        <f t="shared" si="108"/>
        <v>244</v>
      </c>
      <c r="B1218" s="2">
        <v>44701</v>
      </c>
      <c r="C1218" s="3">
        <v>21.02</v>
      </c>
      <c r="D1218" s="3">
        <v>21.3</v>
      </c>
      <c r="E1218" s="3">
        <v>20.21</v>
      </c>
      <c r="F1218" s="3">
        <v>20.63</v>
      </c>
      <c r="G1218" s="3">
        <v>3755300</v>
      </c>
      <c r="H1218" s="8">
        <f t="shared" si="109"/>
        <v>4.5323047251687631</v>
      </c>
      <c r="I1218">
        <f t="shared" si="110"/>
        <v>20.622000000000003</v>
      </c>
      <c r="J1218" s="6" cm="1">
        <f t="array" ref="J1218">_xlfn.STDEV.S(IF($A:$A=A1218, $F:$F))</f>
        <v>0.73387328606510827</v>
      </c>
      <c r="P1218" s="8">
        <f t="shared" si="111"/>
        <v>4.5323047251687631</v>
      </c>
      <c r="Q1218" s="8">
        <f t="shared" si="112"/>
        <v>4.5323047251687631</v>
      </c>
      <c r="R1218" s="8">
        <f t="shared" si="113"/>
        <v>4.5323047251687631</v>
      </c>
    </row>
    <row r="1219" spans="1:18" x14ac:dyDescent="0.25">
      <c r="A1219" s="7">
        <f t="shared" ref="A1219:A1282" si="114">INT((ROW(A1219)-ROW($A$2))/5) + 1</f>
        <v>244</v>
      </c>
      <c r="B1219" s="2">
        <v>44704</v>
      </c>
      <c r="C1219" s="3">
        <v>20.63</v>
      </c>
      <c r="D1219" s="3">
        <v>20.63</v>
      </c>
      <c r="E1219" s="3">
        <v>19.21</v>
      </c>
      <c r="F1219" s="3">
        <v>19.63</v>
      </c>
      <c r="G1219" s="3">
        <v>6221200</v>
      </c>
      <c r="H1219" s="8">
        <f t="shared" ref="H1219:H1282" si="115">IF(A1219=A1218, H1218, (F1223-F1219)/F1219*100)</f>
        <v>4.5323047251687631</v>
      </c>
      <c r="I1219">
        <f t="shared" ref="I1219:I1282" si="116">AVERAGEIF($A:$A, A1219, $F:$F)</f>
        <v>20.622000000000003</v>
      </c>
      <c r="J1219" s="6" cm="1">
        <f t="array" ref="J1219">_xlfn.STDEV.S(IF($A:$A=A1219, $F:$F))</f>
        <v>0.73387328606510827</v>
      </c>
      <c r="P1219" s="8">
        <f t="shared" ref="P1219:P1282" si="117">IF(A1219=A1218,P1218,(F1223-F1219)/F1219*100)</f>
        <v>4.5323047251687631</v>
      </c>
      <c r="Q1219" s="8">
        <f t="shared" ref="Q1219:Q1282" si="118">IF(A1219=A1218,Q1218,(F1223-F1219)/F1219*100)</f>
        <v>4.5323047251687631</v>
      </c>
      <c r="R1219" s="8">
        <f t="shared" ref="R1219:R1282" si="119">IF(A1219=A1218,R1218,(F1223-F1219)/F1219*100)</f>
        <v>4.5323047251687631</v>
      </c>
    </row>
    <row r="1220" spans="1:18" x14ac:dyDescent="0.25">
      <c r="A1220" s="7">
        <f t="shared" si="114"/>
        <v>244</v>
      </c>
      <c r="B1220" s="2">
        <v>44705</v>
      </c>
      <c r="C1220" s="3">
        <v>19.350000000000001</v>
      </c>
      <c r="D1220" s="3">
        <v>20.43</v>
      </c>
      <c r="E1220" s="3">
        <v>18.399999999999999</v>
      </c>
      <c r="F1220" s="3">
        <v>20.43</v>
      </c>
      <c r="G1220" s="3">
        <v>5151200</v>
      </c>
      <c r="H1220" s="8">
        <f t="shared" si="115"/>
        <v>4.5323047251687631</v>
      </c>
      <c r="I1220">
        <f t="shared" si="116"/>
        <v>20.622000000000003</v>
      </c>
      <c r="J1220" s="6" cm="1">
        <f t="array" ref="J1220">_xlfn.STDEV.S(IF($A:$A=A1220, $F:$F))</f>
        <v>0.73387328606510827</v>
      </c>
      <c r="P1220" s="8">
        <f t="shared" si="117"/>
        <v>4.5323047251687631</v>
      </c>
      <c r="Q1220" s="8">
        <f t="shared" si="118"/>
        <v>4.5323047251687631</v>
      </c>
      <c r="R1220" s="8">
        <f t="shared" si="119"/>
        <v>4.5323047251687631</v>
      </c>
    </row>
    <row r="1221" spans="1:18" x14ac:dyDescent="0.25">
      <c r="A1221" s="7">
        <f t="shared" si="114"/>
        <v>244</v>
      </c>
      <c r="B1221" s="2">
        <v>44706</v>
      </c>
      <c r="C1221" s="3">
        <v>20.43</v>
      </c>
      <c r="D1221" s="3">
        <v>21.68</v>
      </c>
      <c r="E1221" s="3">
        <v>20.29</v>
      </c>
      <c r="F1221" s="3">
        <v>21.68</v>
      </c>
      <c r="G1221" s="3">
        <v>6219000</v>
      </c>
      <c r="H1221" s="8">
        <f t="shared" si="115"/>
        <v>4.5323047251687631</v>
      </c>
      <c r="I1221">
        <f t="shared" si="116"/>
        <v>20.622000000000003</v>
      </c>
      <c r="J1221" s="6" cm="1">
        <f t="array" ref="J1221">_xlfn.STDEV.S(IF($A:$A=A1221, $F:$F))</f>
        <v>0.73387328606510827</v>
      </c>
      <c r="P1221" s="8">
        <f t="shared" si="117"/>
        <v>4.5323047251687631</v>
      </c>
      <c r="Q1221" s="8">
        <f t="shared" si="118"/>
        <v>4.5323047251687631</v>
      </c>
      <c r="R1221" s="8">
        <f t="shared" si="119"/>
        <v>4.5323047251687631</v>
      </c>
    </row>
    <row r="1222" spans="1:18" x14ac:dyDescent="0.25">
      <c r="A1222" s="7">
        <f t="shared" si="114"/>
        <v>245</v>
      </c>
      <c r="B1222" s="2">
        <v>44707</v>
      </c>
      <c r="C1222" s="3">
        <v>21.46</v>
      </c>
      <c r="D1222" s="3">
        <v>22.24</v>
      </c>
      <c r="E1222" s="3">
        <v>21.3</v>
      </c>
      <c r="F1222" s="3">
        <v>21.8</v>
      </c>
      <c r="G1222" s="3">
        <v>5454000</v>
      </c>
      <c r="H1222" s="8">
        <f t="shared" si="115"/>
        <v>9.1743119266053094E-2</v>
      </c>
      <c r="I1222">
        <f t="shared" si="116"/>
        <v>21.816000000000003</v>
      </c>
      <c r="J1222" s="6" cm="1">
        <f t="array" ref="J1222">_xlfn.STDEV.S(IF($A:$A=A1222, $F:$F))</f>
        <v>9.9398189118313801E-2</v>
      </c>
      <c r="P1222" s="8">
        <f t="shared" si="117"/>
        <v>9.1743119266053094E-2</v>
      </c>
      <c r="Q1222" s="8">
        <f t="shared" si="118"/>
        <v>9.1743119266053094E-2</v>
      </c>
      <c r="R1222" s="8">
        <f t="shared" si="119"/>
        <v>9.1743119266053094E-2</v>
      </c>
    </row>
    <row r="1223" spans="1:18" x14ac:dyDescent="0.25">
      <c r="A1223" s="7">
        <f t="shared" si="114"/>
        <v>245</v>
      </c>
      <c r="B1223" s="2">
        <v>44708</v>
      </c>
      <c r="C1223" s="3">
        <v>21.52</v>
      </c>
      <c r="D1223" s="3">
        <v>22.18</v>
      </c>
      <c r="E1223" s="3">
        <v>21.32</v>
      </c>
      <c r="F1223" s="3">
        <v>21.96</v>
      </c>
      <c r="G1223" s="3">
        <v>4433700</v>
      </c>
      <c r="H1223" s="8">
        <f t="shared" si="115"/>
        <v>9.1743119266053094E-2</v>
      </c>
      <c r="I1223">
        <f t="shared" si="116"/>
        <v>21.816000000000003</v>
      </c>
      <c r="J1223" s="6" cm="1">
        <f t="array" ref="J1223">_xlfn.STDEV.S(IF($A:$A=A1223, $F:$F))</f>
        <v>9.9398189118313801E-2</v>
      </c>
      <c r="P1223" s="8">
        <f t="shared" si="117"/>
        <v>9.1743119266053094E-2</v>
      </c>
      <c r="Q1223" s="8">
        <f t="shared" si="118"/>
        <v>9.1743119266053094E-2</v>
      </c>
      <c r="R1223" s="8">
        <f t="shared" si="119"/>
        <v>9.1743119266053094E-2</v>
      </c>
    </row>
    <row r="1224" spans="1:18" x14ac:dyDescent="0.25">
      <c r="A1224" s="7">
        <f t="shared" si="114"/>
        <v>245</v>
      </c>
      <c r="B1224" s="2">
        <v>44711</v>
      </c>
      <c r="C1224" s="3">
        <v>22.02</v>
      </c>
      <c r="D1224" s="3">
        <v>22.35</v>
      </c>
      <c r="E1224" s="3">
        <v>21.63</v>
      </c>
      <c r="F1224" s="3">
        <v>21.82</v>
      </c>
      <c r="G1224" s="3">
        <v>4072200</v>
      </c>
      <c r="H1224" s="8">
        <f t="shared" si="115"/>
        <v>9.1743119266053094E-2</v>
      </c>
      <c r="I1224">
        <f t="shared" si="116"/>
        <v>21.816000000000003</v>
      </c>
      <c r="J1224" s="6" cm="1">
        <f t="array" ref="J1224">_xlfn.STDEV.S(IF($A:$A=A1224, $F:$F))</f>
        <v>9.9398189118313801E-2</v>
      </c>
      <c r="P1224" s="8">
        <f t="shared" si="117"/>
        <v>9.1743119266053094E-2</v>
      </c>
      <c r="Q1224" s="8">
        <f t="shared" si="118"/>
        <v>9.1743119266053094E-2</v>
      </c>
      <c r="R1224" s="8">
        <f t="shared" si="119"/>
        <v>9.1743119266053094E-2</v>
      </c>
    </row>
    <row r="1225" spans="1:18" x14ac:dyDescent="0.25">
      <c r="A1225" s="7">
        <f t="shared" si="114"/>
        <v>245</v>
      </c>
      <c r="B1225" s="2">
        <v>44712</v>
      </c>
      <c r="C1225" s="3">
        <v>21.63</v>
      </c>
      <c r="D1225" s="3">
        <v>22.05</v>
      </c>
      <c r="E1225" s="3">
        <v>21.32</v>
      </c>
      <c r="F1225" s="3">
        <v>21.68</v>
      </c>
      <c r="G1225" s="3">
        <v>5333100</v>
      </c>
      <c r="H1225" s="8">
        <f t="shared" si="115"/>
        <v>9.1743119266053094E-2</v>
      </c>
      <c r="I1225">
        <f t="shared" si="116"/>
        <v>21.816000000000003</v>
      </c>
      <c r="J1225" s="6" cm="1">
        <f t="array" ref="J1225">_xlfn.STDEV.S(IF($A:$A=A1225, $F:$F))</f>
        <v>9.9398189118313801E-2</v>
      </c>
      <c r="P1225" s="8">
        <f t="shared" si="117"/>
        <v>9.1743119266053094E-2</v>
      </c>
      <c r="Q1225" s="8">
        <f t="shared" si="118"/>
        <v>9.1743119266053094E-2</v>
      </c>
      <c r="R1225" s="8">
        <f t="shared" si="119"/>
        <v>9.1743119266053094E-2</v>
      </c>
    </row>
    <row r="1226" spans="1:18" x14ac:dyDescent="0.25">
      <c r="A1226" s="7">
        <f t="shared" si="114"/>
        <v>245</v>
      </c>
      <c r="B1226" s="2">
        <v>44713</v>
      </c>
      <c r="C1226" s="3">
        <v>21.46</v>
      </c>
      <c r="D1226" s="3">
        <v>22.07</v>
      </c>
      <c r="E1226" s="3">
        <v>20.93</v>
      </c>
      <c r="F1226" s="3">
        <v>21.82</v>
      </c>
      <c r="G1226" s="3">
        <v>4294200</v>
      </c>
      <c r="H1226" s="8">
        <f t="shared" si="115"/>
        <v>9.1743119266053094E-2</v>
      </c>
      <c r="I1226">
        <f t="shared" si="116"/>
        <v>21.816000000000003</v>
      </c>
      <c r="J1226" s="6" cm="1">
        <f t="array" ref="J1226">_xlfn.STDEV.S(IF($A:$A=A1226, $F:$F))</f>
        <v>9.9398189118313801E-2</v>
      </c>
      <c r="P1226" s="8">
        <f t="shared" si="117"/>
        <v>9.1743119266053094E-2</v>
      </c>
      <c r="Q1226" s="8">
        <f t="shared" si="118"/>
        <v>9.1743119266053094E-2</v>
      </c>
      <c r="R1226" s="8">
        <f t="shared" si="119"/>
        <v>9.1743119266053094E-2</v>
      </c>
    </row>
    <row r="1227" spans="1:18" x14ac:dyDescent="0.25">
      <c r="A1227" s="7">
        <f t="shared" si="114"/>
        <v>246</v>
      </c>
      <c r="B1227" s="2">
        <v>44714</v>
      </c>
      <c r="C1227" s="3">
        <v>21.85</v>
      </c>
      <c r="D1227" s="3">
        <v>22.69</v>
      </c>
      <c r="E1227" s="3">
        <v>21.77</v>
      </c>
      <c r="F1227" s="3">
        <v>21.8</v>
      </c>
      <c r="G1227" s="3">
        <v>5278000</v>
      </c>
      <c r="H1227" s="8">
        <f t="shared" si="115"/>
        <v>6.7431192660550403</v>
      </c>
      <c r="I1227">
        <f t="shared" si="116"/>
        <v>22.103999999999999</v>
      </c>
      <c r="J1227" s="6" cm="1">
        <f t="array" ref="J1227">_xlfn.STDEV.S(IF($A:$A=A1227, $F:$F))</f>
        <v>0.65435464390496978</v>
      </c>
      <c r="P1227" s="8">
        <f t="shared" si="117"/>
        <v>6.7431192660550403</v>
      </c>
      <c r="Q1227" s="8">
        <f t="shared" si="118"/>
        <v>6.7431192660550403</v>
      </c>
      <c r="R1227" s="8">
        <f t="shared" si="119"/>
        <v>6.7431192660550403</v>
      </c>
    </row>
    <row r="1228" spans="1:18" x14ac:dyDescent="0.25">
      <c r="A1228" s="7">
        <f t="shared" si="114"/>
        <v>246</v>
      </c>
      <c r="B1228" s="2">
        <v>44715</v>
      </c>
      <c r="C1228" s="3">
        <v>21.8</v>
      </c>
      <c r="D1228" s="3">
        <v>22.24</v>
      </c>
      <c r="E1228" s="3">
        <v>21.35</v>
      </c>
      <c r="F1228" s="3">
        <v>21.77</v>
      </c>
      <c r="G1228" s="3">
        <v>3348800</v>
      </c>
      <c r="H1228" s="8">
        <f t="shared" si="115"/>
        <v>6.7431192660550403</v>
      </c>
      <c r="I1228">
        <f t="shared" si="116"/>
        <v>22.103999999999999</v>
      </c>
      <c r="J1228" s="6" cm="1">
        <f t="array" ref="J1228">_xlfn.STDEV.S(IF($A:$A=A1228, $F:$F))</f>
        <v>0.65435464390496978</v>
      </c>
      <c r="P1228" s="8">
        <f t="shared" si="117"/>
        <v>6.7431192660550403</v>
      </c>
      <c r="Q1228" s="8">
        <f t="shared" si="118"/>
        <v>6.7431192660550403</v>
      </c>
      <c r="R1228" s="8">
        <f t="shared" si="119"/>
        <v>6.7431192660550403</v>
      </c>
    </row>
    <row r="1229" spans="1:18" x14ac:dyDescent="0.25">
      <c r="A1229" s="7">
        <f t="shared" si="114"/>
        <v>246</v>
      </c>
      <c r="B1229" s="2">
        <v>44718</v>
      </c>
      <c r="C1229" s="3">
        <v>21.63</v>
      </c>
      <c r="D1229" s="3">
        <v>22.63</v>
      </c>
      <c r="E1229" s="3">
        <v>21.55</v>
      </c>
      <c r="F1229" s="3">
        <v>21.91</v>
      </c>
      <c r="G1229" s="3">
        <v>4794500</v>
      </c>
      <c r="H1229" s="8">
        <f t="shared" si="115"/>
        <v>6.7431192660550403</v>
      </c>
      <c r="I1229">
        <f t="shared" si="116"/>
        <v>22.103999999999999</v>
      </c>
      <c r="J1229" s="6" cm="1">
        <f t="array" ref="J1229">_xlfn.STDEV.S(IF($A:$A=A1229, $F:$F))</f>
        <v>0.65435464390496978</v>
      </c>
      <c r="P1229" s="8">
        <f t="shared" si="117"/>
        <v>6.7431192660550403</v>
      </c>
      <c r="Q1229" s="8">
        <f t="shared" si="118"/>
        <v>6.7431192660550403</v>
      </c>
      <c r="R1229" s="8">
        <f t="shared" si="119"/>
        <v>6.7431192660550403</v>
      </c>
    </row>
    <row r="1230" spans="1:18" x14ac:dyDescent="0.25">
      <c r="A1230" s="7">
        <f t="shared" si="114"/>
        <v>246</v>
      </c>
      <c r="B1230" s="2">
        <v>44719</v>
      </c>
      <c r="C1230" s="3">
        <v>21.57</v>
      </c>
      <c r="D1230" s="3">
        <v>21.85</v>
      </c>
      <c r="E1230" s="3">
        <v>20.74</v>
      </c>
      <c r="F1230" s="3">
        <v>21.77</v>
      </c>
      <c r="G1230" s="3">
        <v>4617100</v>
      </c>
      <c r="H1230" s="8">
        <f t="shared" si="115"/>
        <v>6.7431192660550403</v>
      </c>
      <c r="I1230">
        <f t="shared" si="116"/>
        <v>22.103999999999999</v>
      </c>
      <c r="J1230" s="6" cm="1">
        <f t="array" ref="J1230">_xlfn.STDEV.S(IF($A:$A=A1230, $F:$F))</f>
        <v>0.65435464390496978</v>
      </c>
      <c r="P1230" s="8">
        <f t="shared" si="117"/>
        <v>6.7431192660550403</v>
      </c>
      <c r="Q1230" s="8">
        <f t="shared" si="118"/>
        <v>6.7431192660550403</v>
      </c>
      <c r="R1230" s="8">
        <f t="shared" si="119"/>
        <v>6.7431192660550403</v>
      </c>
    </row>
    <row r="1231" spans="1:18" x14ac:dyDescent="0.25">
      <c r="A1231" s="7">
        <f t="shared" si="114"/>
        <v>246</v>
      </c>
      <c r="B1231" s="2">
        <v>44720</v>
      </c>
      <c r="C1231" s="3">
        <v>21.96</v>
      </c>
      <c r="D1231" s="3">
        <v>23.27</v>
      </c>
      <c r="E1231" s="3">
        <v>21.82</v>
      </c>
      <c r="F1231" s="3">
        <v>23.27</v>
      </c>
      <c r="G1231" s="3">
        <v>6819500</v>
      </c>
      <c r="H1231" s="8">
        <f t="shared" si="115"/>
        <v>6.7431192660550403</v>
      </c>
      <c r="I1231">
        <f t="shared" si="116"/>
        <v>22.103999999999999</v>
      </c>
      <c r="J1231" s="6" cm="1">
        <f t="array" ref="J1231">_xlfn.STDEV.S(IF($A:$A=A1231, $F:$F))</f>
        <v>0.65435464390496978</v>
      </c>
      <c r="P1231" s="8">
        <f t="shared" si="117"/>
        <v>6.7431192660550403</v>
      </c>
      <c r="Q1231" s="8">
        <f t="shared" si="118"/>
        <v>6.7431192660550403</v>
      </c>
      <c r="R1231" s="8">
        <f t="shared" si="119"/>
        <v>6.7431192660550403</v>
      </c>
    </row>
    <row r="1232" spans="1:18" x14ac:dyDescent="0.25">
      <c r="A1232" s="7">
        <f t="shared" si="114"/>
        <v>247</v>
      </c>
      <c r="B1232" s="2">
        <v>44721</v>
      </c>
      <c r="C1232" s="3">
        <v>23.35</v>
      </c>
      <c r="D1232" s="3">
        <v>23.8</v>
      </c>
      <c r="E1232" s="3">
        <v>22.99</v>
      </c>
      <c r="F1232" s="3">
        <v>23.07</v>
      </c>
      <c r="G1232" s="3">
        <v>3162800</v>
      </c>
      <c r="H1232" s="8">
        <f t="shared" si="115"/>
        <v>-22.41005635023841</v>
      </c>
      <c r="I1232">
        <f t="shared" si="116"/>
        <v>20.369999999999997</v>
      </c>
      <c r="J1232" s="6" cm="1">
        <f t="array" ref="J1232">_xlfn.STDEV.S(IF($A:$A=A1232, $F:$F))</f>
        <v>2.0594659501919428</v>
      </c>
      <c r="P1232" s="8">
        <f t="shared" si="117"/>
        <v>-22.41005635023841</v>
      </c>
      <c r="Q1232" s="8">
        <f t="shared" si="118"/>
        <v>-22.41005635023841</v>
      </c>
      <c r="R1232" s="11">
        <f t="shared" si="119"/>
        <v>-22.41005635023841</v>
      </c>
    </row>
    <row r="1233" spans="1:18" x14ac:dyDescent="0.25">
      <c r="A1233" s="7">
        <f t="shared" si="114"/>
        <v>247</v>
      </c>
      <c r="B1233" s="2">
        <v>44722</v>
      </c>
      <c r="C1233" s="3">
        <v>22.69</v>
      </c>
      <c r="D1233" s="3">
        <v>23.16</v>
      </c>
      <c r="E1233" s="3">
        <v>21.68</v>
      </c>
      <c r="F1233" s="3">
        <v>21.68</v>
      </c>
      <c r="G1233" s="3">
        <v>4725600</v>
      </c>
      <c r="H1233" s="8">
        <f t="shared" si="115"/>
        <v>-22.41005635023841</v>
      </c>
      <c r="I1233">
        <f t="shared" si="116"/>
        <v>20.369999999999997</v>
      </c>
      <c r="J1233" s="6" cm="1">
        <f t="array" ref="J1233">_xlfn.STDEV.S(IF($A:$A=A1233, $F:$F))</f>
        <v>2.0594659501919428</v>
      </c>
      <c r="P1233" s="8">
        <f t="shared" si="117"/>
        <v>-22.41005635023841</v>
      </c>
      <c r="Q1233" s="8">
        <f t="shared" si="118"/>
        <v>-22.41005635023841</v>
      </c>
      <c r="R1233" s="11">
        <f t="shared" si="119"/>
        <v>-22.41005635023841</v>
      </c>
    </row>
    <row r="1234" spans="1:18" x14ac:dyDescent="0.25">
      <c r="A1234" s="7">
        <f t="shared" si="114"/>
        <v>247</v>
      </c>
      <c r="B1234" s="2">
        <v>44725</v>
      </c>
      <c r="C1234" s="3">
        <v>20.57</v>
      </c>
      <c r="D1234" s="3">
        <v>21.07</v>
      </c>
      <c r="E1234" s="3">
        <v>20.18</v>
      </c>
      <c r="F1234" s="3">
        <v>20.18</v>
      </c>
      <c r="G1234" s="3">
        <v>6817000</v>
      </c>
      <c r="H1234" s="8">
        <f t="shared" si="115"/>
        <v>-22.41005635023841</v>
      </c>
      <c r="I1234">
        <f t="shared" si="116"/>
        <v>20.369999999999997</v>
      </c>
      <c r="J1234" s="6" cm="1">
        <f t="array" ref="J1234">_xlfn.STDEV.S(IF($A:$A=A1234, $F:$F))</f>
        <v>2.0594659501919428</v>
      </c>
      <c r="P1234" s="8">
        <f t="shared" si="117"/>
        <v>-22.41005635023841</v>
      </c>
      <c r="Q1234" s="8">
        <f t="shared" si="118"/>
        <v>-22.41005635023841</v>
      </c>
      <c r="R1234" s="11">
        <f t="shared" si="119"/>
        <v>-22.41005635023841</v>
      </c>
    </row>
    <row r="1235" spans="1:18" x14ac:dyDescent="0.25">
      <c r="A1235" s="7">
        <f t="shared" si="114"/>
        <v>247</v>
      </c>
      <c r="B1235" s="2">
        <v>44726</v>
      </c>
      <c r="C1235" s="3">
        <v>19.63</v>
      </c>
      <c r="D1235" s="3">
        <v>20.18</v>
      </c>
      <c r="E1235" s="3">
        <v>18.93</v>
      </c>
      <c r="F1235" s="3">
        <v>19.02</v>
      </c>
      <c r="G1235" s="3">
        <v>3327900</v>
      </c>
      <c r="H1235" s="8">
        <f t="shared" si="115"/>
        <v>-22.41005635023841</v>
      </c>
      <c r="I1235">
        <f t="shared" si="116"/>
        <v>20.369999999999997</v>
      </c>
      <c r="J1235" s="6" cm="1">
        <f t="array" ref="J1235">_xlfn.STDEV.S(IF($A:$A=A1235, $F:$F))</f>
        <v>2.0594659501919428</v>
      </c>
      <c r="P1235" s="8">
        <f t="shared" si="117"/>
        <v>-22.41005635023841</v>
      </c>
      <c r="Q1235" s="8">
        <f t="shared" si="118"/>
        <v>-22.41005635023841</v>
      </c>
      <c r="R1235" s="11">
        <f t="shared" si="119"/>
        <v>-22.41005635023841</v>
      </c>
    </row>
    <row r="1236" spans="1:18" x14ac:dyDescent="0.25">
      <c r="A1236" s="7">
        <f t="shared" si="114"/>
        <v>247</v>
      </c>
      <c r="B1236" s="2">
        <v>44727</v>
      </c>
      <c r="C1236" s="3">
        <v>19.02</v>
      </c>
      <c r="D1236" s="3">
        <v>19.239999999999998</v>
      </c>
      <c r="E1236" s="3">
        <v>17.71</v>
      </c>
      <c r="F1236" s="3">
        <v>17.899999999999999</v>
      </c>
      <c r="G1236" s="3">
        <v>5121900</v>
      </c>
      <c r="H1236" s="8">
        <f t="shared" si="115"/>
        <v>-22.41005635023841</v>
      </c>
      <c r="I1236">
        <f t="shared" si="116"/>
        <v>20.369999999999997</v>
      </c>
      <c r="J1236" s="6" cm="1">
        <f t="array" ref="J1236">_xlfn.STDEV.S(IF($A:$A=A1236, $F:$F))</f>
        <v>2.0594659501919428</v>
      </c>
      <c r="P1236" s="8">
        <f t="shared" si="117"/>
        <v>-22.41005635023841</v>
      </c>
      <c r="Q1236" s="8">
        <f t="shared" si="118"/>
        <v>-22.41005635023841</v>
      </c>
      <c r="R1236" s="11">
        <f t="shared" si="119"/>
        <v>-22.41005635023841</v>
      </c>
    </row>
    <row r="1237" spans="1:18" x14ac:dyDescent="0.25">
      <c r="A1237" s="7">
        <f t="shared" si="114"/>
        <v>248</v>
      </c>
      <c r="B1237" s="2">
        <v>44728</v>
      </c>
      <c r="C1237" s="3">
        <v>18.850000000000001</v>
      </c>
      <c r="D1237" s="3">
        <v>18.850000000000001</v>
      </c>
      <c r="E1237" s="3">
        <v>16.96</v>
      </c>
      <c r="F1237" s="3">
        <v>17.79</v>
      </c>
      <c r="G1237" s="3">
        <v>3201100</v>
      </c>
      <c r="H1237" s="8">
        <f t="shared" si="115"/>
        <v>2.5295109612141613</v>
      </c>
      <c r="I1237">
        <f t="shared" si="116"/>
        <v>17.264000000000003</v>
      </c>
      <c r="J1237" s="6" cm="1">
        <f t="array" ref="J1237">_xlfn.STDEV.S(IF($A:$A=A1237, $F:$F))</f>
        <v>0.84295907373964363</v>
      </c>
      <c r="P1237" s="8">
        <f t="shared" si="117"/>
        <v>2.5295109612141613</v>
      </c>
      <c r="Q1237" s="8">
        <f t="shared" si="118"/>
        <v>2.5295109612141613</v>
      </c>
      <c r="R1237" s="8">
        <f t="shared" si="119"/>
        <v>2.5295109612141613</v>
      </c>
    </row>
    <row r="1238" spans="1:18" x14ac:dyDescent="0.25">
      <c r="A1238" s="7">
        <f t="shared" si="114"/>
        <v>248</v>
      </c>
      <c r="B1238" s="2">
        <v>44729</v>
      </c>
      <c r="C1238" s="3">
        <v>16.96</v>
      </c>
      <c r="D1238" s="3">
        <v>17.350000000000001</v>
      </c>
      <c r="E1238" s="3">
        <v>16.68</v>
      </c>
      <c r="F1238" s="3">
        <v>17.21</v>
      </c>
      <c r="G1238" s="3">
        <v>4459600</v>
      </c>
      <c r="H1238" s="8">
        <f t="shared" si="115"/>
        <v>2.5295109612141613</v>
      </c>
      <c r="I1238">
        <f t="shared" si="116"/>
        <v>17.264000000000003</v>
      </c>
      <c r="J1238" s="6" cm="1">
        <f t="array" ref="J1238">_xlfn.STDEV.S(IF($A:$A=A1238, $F:$F))</f>
        <v>0.84295907373964363</v>
      </c>
      <c r="P1238" s="8">
        <f t="shared" si="117"/>
        <v>2.5295109612141613</v>
      </c>
      <c r="Q1238" s="8">
        <f t="shared" si="118"/>
        <v>2.5295109612141613</v>
      </c>
      <c r="R1238" s="8">
        <f t="shared" si="119"/>
        <v>2.5295109612141613</v>
      </c>
    </row>
    <row r="1239" spans="1:18" x14ac:dyDescent="0.25">
      <c r="A1239" s="7">
        <f t="shared" si="114"/>
        <v>248</v>
      </c>
      <c r="B1239" s="2">
        <v>44732</v>
      </c>
      <c r="C1239" s="3">
        <v>17.510000000000002</v>
      </c>
      <c r="D1239" s="3">
        <v>17.739999999999998</v>
      </c>
      <c r="E1239" s="3">
        <v>16.010000000000002</v>
      </c>
      <c r="F1239" s="3">
        <v>16.010000000000002</v>
      </c>
      <c r="G1239" s="3">
        <v>5013000</v>
      </c>
      <c r="H1239" s="8">
        <f t="shared" si="115"/>
        <v>2.5295109612141613</v>
      </c>
      <c r="I1239">
        <f t="shared" si="116"/>
        <v>17.264000000000003</v>
      </c>
      <c r="J1239" s="6" cm="1">
        <f t="array" ref="J1239">_xlfn.STDEV.S(IF($A:$A=A1239, $F:$F))</f>
        <v>0.84295907373964363</v>
      </c>
      <c r="P1239" s="8">
        <f t="shared" si="117"/>
        <v>2.5295109612141613</v>
      </c>
      <c r="Q1239" s="8">
        <f t="shared" si="118"/>
        <v>2.5295109612141613</v>
      </c>
      <c r="R1239" s="8">
        <f t="shared" si="119"/>
        <v>2.5295109612141613</v>
      </c>
    </row>
    <row r="1240" spans="1:18" x14ac:dyDescent="0.25">
      <c r="A1240" s="7">
        <f t="shared" si="114"/>
        <v>248</v>
      </c>
      <c r="B1240" s="2">
        <v>44733</v>
      </c>
      <c r="C1240" s="3">
        <v>15.74</v>
      </c>
      <c r="D1240" s="3">
        <v>17.13</v>
      </c>
      <c r="E1240" s="3">
        <v>15.71</v>
      </c>
      <c r="F1240" s="3">
        <v>17.07</v>
      </c>
      <c r="G1240" s="3">
        <v>5969200</v>
      </c>
      <c r="H1240" s="8">
        <f t="shared" si="115"/>
        <v>2.5295109612141613</v>
      </c>
      <c r="I1240">
        <f t="shared" si="116"/>
        <v>17.264000000000003</v>
      </c>
      <c r="J1240" s="6" cm="1">
        <f t="array" ref="J1240">_xlfn.STDEV.S(IF($A:$A=A1240, $F:$F))</f>
        <v>0.84295907373964363</v>
      </c>
      <c r="P1240" s="8">
        <f t="shared" si="117"/>
        <v>2.5295109612141613</v>
      </c>
      <c r="Q1240" s="8">
        <f t="shared" si="118"/>
        <v>2.5295109612141613</v>
      </c>
      <c r="R1240" s="8">
        <f t="shared" si="119"/>
        <v>2.5295109612141613</v>
      </c>
    </row>
    <row r="1241" spans="1:18" x14ac:dyDescent="0.25">
      <c r="A1241" s="7">
        <f t="shared" si="114"/>
        <v>248</v>
      </c>
      <c r="B1241" s="2">
        <v>44734</v>
      </c>
      <c r="C1241" s="3">
        <v>17.57</v>
      </c>
      <c r="D1241" s="3">
        <v>18.239999999999998</v>
      </c>
      <c r="E1241" s="3">
        <v>17.510000000000002</v>
      </c>
      <c r="F1241" s="3">
        <v>18.239999999999998</v>
      </c>
      <c r="G1241" s="3">
        <v>3425000</v>
      </c>
      <c r="H1241" s="8">
        <f t="shared" si="115"/>
        <v>2.5295109612141613</v>
      </c>
      <c r="I1241">
        <f t="shared" si="116"/>
        <v>17.264000000000003</v>
      </c>
      <c r="J1241" s="6" cm="1">
        <f t="array" ref="J1241">_xlfn.STDEV.S(IF($A:$A=A1241, $F:$F))</f>
        <v>0.84295907373964363</v>
      </c>
      <c r="P1241" s="8">
        <f t="shared" si="117"/>
        <v>2.5295109612141613</v>
      </c>
      <c r="Q1241" s="8">
        <f t="shared" si="118"/>
        <v>2.5295109612141613</v>
      </c>
      <c r="R1241" s="8">
        <f t="shared" si="119"/>
        <v>2.5295109612141613</v>
      </c>
    </row>
    <row r="1242" spans="1:18" x14ac:dyDescent="0.25">
      <c r="A1242" s="7">
        <f t="shared" si="114"/>
        <v>249</v>
      </c>
      <c r="B1242" s="2">
        <v>44735</v>
      </c>
      <c r="C1242" s="3">
        <v>18.07</v>
      </c>
      <c r="D1242" s="3">
        <v>18.79</v>
      </c>
      <c r="E1242" s="3">
        <v>17.63</v>
      </c>
      <c r="F1242" s="3">
        <v>18.79</v>
      </c>
      <c r="G1242" s="3">
        <v>3843800</v>
      </c>
      <c r="H1242" s="8">
        <f t="shared" si="115"/>
        <v>5.0558807876530034</v>
      </c>
      <c r="I1242">
        <f t="shared" si="116"/>
        <v>19.349999999999998</v>
      </c>
      <c r="J1242" s="6" cm="1">
        <f t="array" ref="J1242">_xlfn.STDEV.S(IF($A:$A=A1242, $F:$F))</f>
        <v>0.56982453439633529</v>
      </c>
      <c r="P1242" s="8">
        <f t="shared" si="117"/>
        <v>5.0558807876530034</v>
      </c>
      <c r="Q1242" s="8">
        <f t="shared" si="118"/>
        <v>5.0558807876530034</v>
      </c>
      <c r="R1242" s="8">
        <f t="shared" si="119"/>
        <v>5.0558807876530034</v>
      </c>
    </row>
    <row r="1243" spans="1:18" x14ac:dyDescent="0.25">
      <c r="A1243" s="7">
        <f t="shared" si="114"/>
        <v>249</v>
      </c>
      <c r="B1243" s="2">
        <v>44736</v>
      </c>
      <c r="C1243" s="3">
        <v>18.46</v>
      </c>
      <c r="D1243" s="3">
        <v>19.149999999999999</v>
      </c>
      <c r="E1243" s="3">
        <v>18.350000000000001</v>
      </c>
      <c r="F1243" s="3">
        <v>18.739999999999998</v>
      </c>
      <c r="G1243" s="3">
        <v>4092400</v>
      </c>
      <c r="H1243" s="8">
        <f t="shared" si="115"/>
        <v>5.0558807876530034</v>
      </c>
      <c r="I1243">
        <f t="shared" si="116"/>
        <v>19.349999999999998</v>
      </c>
      <c r="J1243" s="6" cm="1">
        <f t="array" ref="J1243">_xlfn.STDEV.S(IF($A:$A=A1243, $F:$F))</f>
        <v>0.56982453439633529</v>
      </c>
      <c r="P1243" s="8">
        <f t="shared" si="117"/>
        <v>5.0558807876530034</v>
      </c>
      <c r="Q1243" s="8">
        <f t="shared" si="118"/>
        <v>5.0558807876530034</v>
      </c>
      <c r="R1243" s="8">
        <f t="shared" si="119"/>
        <v>5.0558807876530034</v>
      </c>
    </row>
    <row r="1244" spans="1:18" x14ac:dyDescent="0.25">
      <c r="A1244" s="7">
        <f t="shared" si="114"/>
        <v>249</v>
      </c>
      <c r="B1244" s="2">
        <v>44739</v>
      </c>
      <c r="C1244" s="3">
        <v>18.989999999999998</v>
      </c>
      <c r="D1244" s="3">
        <v>20.02</v>
      </c>
      <c r="E1244" s="3">
        <v>18.93</v>
      </c>
      <c r="F1244" s="3">
        <v>20.02</v>
      </c>
      <c r="G1244" s="3">
        <v>3225100</v>
      </c>
      <c r="H1244" s="8">
        <f t="shared" si="115"/>
        <v>5.0558807876530034</v>
      </c>
      <c r="I1244">
        <f t="shared" si="116"/>
        <v>19.349999999999998</v>
      </c>
      <c r="J1244" s="6" cm="1">
        <f t="array" ref="J1244">_xlfn.STDEV.S(IF($A:$A=A1244, $F:$F))</f>
        <v>0.56982453439633529</v>
      </c>
      <c r="P1244" s="8">
        <f t="shared" si="117"/>
        <v>5.0558807876530034</v>
      </c>
      <c r="Q1244" s="8">
        <f t="shared" si="118"/>
        <v>5.0558807876530034</v>
      </c>
      <c r="R1244" s="8">
        <f t="shared" si="119"/>
        <v>5.0558807876530034</v>
      </c>
    </row>
    <row r="1245" spans="1:18" x14ac:dyDescent="0.25">
      <c r="A1245" s="7">
        <f t="shared" si="114"/>
        <v>249</v>
      </c>
      <c r="B1245" s="2">
        <v>44740</v>
      </c>
      <c r="C1245" s="3">
        <v>19.91</v>
      </c>
      <c r="D1245" s="3">
        <v>20.02</v>
      </c>
      <c r="E1245" s="3">
        <v>19.46</v>
      </c>
      <c r="F1245" s="3">
        <v>19.46</v>
      </c>
      <c r="G1245" s="3">
        <v>3137600</v>
      </c>
      <c r="H1245" s="8">
        <f t="shared" si="115"/>
        <v>5.0558807876530034</v>
      </c>
      <c r="I1245">
        <f t="shared" si="116"/>
        <v>19.349999999999998</v>
      </c>
      <c r="J1245" s="6" cm="1">
        <f t="array" ref="J1245">_xlfn.STDEV.S(IF($A:$A=A1245, $F:$F))</f>
        <v>0.56982453439633529</v>
      </c>
      <c r="P1245" s="8">
        <f t="shared" si="117"/>
        <v>5.0558807876530034</v>
      </c>
      <c r="Q1245" s="8">
        <f t="shared" si="118"/>
        <v>5.0558807876530034</v>
      </c>
      <c r="R1245" s="8">
        <f t="shared" si="119"/>
        <v>5.0558807876530034</v>
      </c>
    </row>
    <row r="1246" spans="1:18" x14ac:dyDescent="0.25">
      <c r="A1246" s="7">
        <f t="shared" si="114"/>
        <v>249</v>
      </c>
      <c r="B1246" s="2">
        <v>44741</v>
      </c>
      <c r="C1246" s="3">
        <v>19.27</v>
      </c>
      <c r="D1246" s="3">
        <v>20.29</v>
      </c>
      <c r="E1246" s="3">
        <v>19.18</v>
      </c>
      <c r="F1246" s="3">
        <v>19.739999999999998</v>
      </c>
      <c r="G1246" s="3">
        <v>3309400</v>
      </c>
      <c r="H1246" s="8">
        <f t="shared" si="115"/>
        <v>5.0558807876530034</v>
      </c>
      <c r="I1246">
        <f t="shared" si="116"/>
        <v>19.349999999999998</v>
      </c>
      <c r="J1246" s="6" cm="1">
        <f t="array" ref="J1246">_xlfn.STDEV.S(IF($A:$A=A1246, $F:$F))</f>
        <v>0.56982453439633529</v>
      </c>
      <c r="P1246" s="8">
        <f t="shared" si="117"/>
        <v>5.0558807876530034</v>
      </c>
      <c r="Q1246" s="8">
        <f t="shared" si="118"/>
        <v>5.0558807876530034</v>
      </c>
      <c r="R1246" s="8">
        <f t="shared" si="119"/>
        <v>5.0558807876530034</v>
      </c>
    </row>
    <row r="1247" spans="1:18" x14ac:dyDescent="0.25">
      <c r="A1247" s="7">
        <f t="shared" si="114"/>
        <v>250</v>
      </c>
      <c r="B1247" s="2">
        <v>44742</v>
      </c>
      <c r="C1247" s="3">
        <v>19.79</v>
      </c>
      <c r="D1247" s="3">
        <v>19.96</v>
      </c>
      <c r="E1247" s="3">
        <v>18.38</v>
      </c>
      <c r="F1247" s="3">
        <v>18.38</v>
      </c>
      <c r="G1247" s="3">
        <v>3204000</v>
      </c>
      <c r="H1247" s="8">
        <f t="shared" si="115"/>
        <v>6.039173014145808</v>
      </c>
      <c r="I1247">
        <f t="shared" si="116"/>
        <v>19.611999999999998</v>
      </c>
      <c r="J1247" s="6" cm="1">
        <f t="array" ref="J1247">_xlfn.STDEV.S(IF($A:$A=A1247, $F:$F))</f>
        <v>0.77496451531666999</v>
      </c>
      <c r="P1247" s="8">
        <f t="shared" si="117"/>
        <v>6.039173014145808</v>
      </c>
      <c r="Q1247" s="8">
        <f t="shared" si="118"/>
        <v>6.039173014145808</v>
      </c>
      <c r="R1247" s="8">
        <f t="shared" si="119"/>
        <v>6.039173014145808</v>
      </c>
    </row>
    <row r="1248" spans="1:18" x14ac:dyDescent="0.25">
      <c r="A1248" s="7">
        <f t="shared" si="114"/>
        <v>250</v>
      </c>
      <c r="B1248" s="2">
        <v>44743</v>
      </c>
      <c r="C1248" s="3">
        <v>18.46</v>
      </c>
      <c r="D1248" s="3">
        <v>19.66</v>
      </c>
      <c r="E1248" s="3">
        <v>18.07</v>
      </c>
      <c r="F1248" s="3">
        <v>19.66</v>
      </c>
      <c r="G1248" s="3">
        <v>4291000</v>
      </c>
      <c r="H1248" s="8">
        <f t="shared" si="115"/>
        <v>6.039173014145808</v>
      </c>
      <c r="I1248">
        <f t="shared" si="116"/>
        <v>19.611999999999998</v>
      </c>
      <c r="J1248" s="6" cm="1">
        <f t="array" ref="J1248">_xlfn.STDEV.S(IF($A:$A=A1248, $F:$F))</f>
        <v>0.77496451531666999</v>
      </c>
      <c r="P1248" s="8">
        <f t="shared" si="117"/>
        <v>6.039173014145808</v>
      </c>
      <c r="Q1248" s="8">
        <f t="shared" si="118"/>
        <v>6.039173014145808</v>
      </c>
      <c r="R1248" s="8">
        <f t="shared" si="119"/>
        <v>6.039173014145808</v>
      </c>
    </row>
    <row r="1249" spans="1:18" x14ac:dyDescent="0.25">
      <c r="A1249" s="7">
        <f t="shared" si="114"/>
        <v>250</v>
      </c>
      <c r="B1249" s="2">
        <v>44746</v>
      </c>
      <c r="C1249" s="3">
        <v>20.29</v>
      </c>
      <c r="D1249" s="3">
        <v>21.02</v>
      </c>
      <c r="E1249" s="3">
        <v>20.18</v>
      </c>
      <c r="F1249" s="3">
        <v>20.350000000000001</v>
      </c>
      <c r="G1249" s="3">
        <v>3838100</v>
      </c>
      <c r="H1249" s="8">
        <f t="shared" si="115"/>
        <v>6.039173014145808</v>
      </c>
      <c r="I1249">
        <f t="shared" si="116"/>
        <v>19.611999999999998</v>
      </c>
      <c r="J1249" s="6" cm="1">
        <f t="array" ref="J1249">_xlfn.STDEV.S(IF($A:$A=A1249, $F:$F))</f>
        <v>0.77496451531666999</v>
      </c>
      <c r="P1249" s="8">
        <f t="shared" si="117"/>
        <v>6.039173014145808</v>
      </c>
      <c r="Q1249" s="8">
        <f t="shared" si="118"/>
        <v>6.039173014145808</v>
      </c>
      <c r="R1249" s="8">
        <f t="shared" si="119"/>
        <v>6.039173014145808</v>
      </c>
    </row>
    <row r="1250" spans="1:18" x14ac:dyDescent="0.25">
      <c r="A1250" s="7">
        <f t="shared" si="114"/>
        <v>250</v>
      </c>
      <c r="B1250" s="2">
        <v>44747</v>
      </c>
      <c r="C1250" s="3">
        <v>20.18</v>
      </c>
      <c r="D1250" s="3">
        <v>20.82</v>
      </c>
      <c r="E1250" s="3">
        <v>19.989999999999998</v>
      </c>
      <c r="F1250" s="3">
        <v>20.18</v>
      </c>
      <c r="G1250" s="3">
        <v>3771200</v>
      </c>
      <c r="H1250" s="8">
        <f t="shared" si="115"/>
        <v>6.039173014145808</v>
      </c>
      <c r="I1250">
        <f t="shared" si="116"/>
        <v>19.611999999999998</v>
      </c>
      <c r="J1250" s="6" cm="1">
        <f t="array" ref="J1250">_xlfn.STDEV.S(IF($A:$A=A1250, $F:$F))</f>
        <v>0.77496451531666999</v>
      </c>
      <c r="P1250" s="8">
        <f t="shared" si="117"/>
        <v>6.039173014145808</v>
      </c>
      <c r="Q1250" s="8">
        <f t="shared" si="118"/>
        <v>6.039173014145808</v>
      </c>
      <c r="R1250" s="8">
        <f t="shared" si="119"/>
        <v>6.039173014145808</v>
      </c>
    </row>
    <row r="1251" spans="1:18" x14ac:dyDescent="0.25">
      <c r="A1251" s="7">
        <f t="shared" si="114"/>
        <v>250</v>
      </c>
      <c r="B1251" s="2">
        <v>44748</v>
      </c>
      <c r="C1251" s="3">
        <v>19.739999999999998</v>
      </c>
      <c r="D1251" s="3">
        <v>20.63</v>
      </c>
      <c r="E1251" s="3">
        <v>19.489999999999998</v>
      </c>
      <c r="F1251" s="3">
        <v>19.489999999999998</v>
      </c>
      <c r="G1251" s="3">
        <v>4198100</v>
      </c>
      <c r="H1251" s="8">
        <f t="shared" si="115"/>
        <v>6.039173014145808</v>
      </c>
      <c r="I1251">
        <f t="shared" si="116"/>
        <v>19.611999999999998</v>
      </c>
      <c r="J1251" s="6" cm="1">
        <f t="array" ref="J1251">_xlfn.STDEV.S(IF($A:$A=A1251, $F:$F))</f>
        <v>0.77496451531666999</v>
      </c>
      <c r="P1251" s="8">
        <f t="shared" si="117"/>
        <v>6.039173014145808</v>
      </c>
      <c r="Q1251" s="8">
        <f t="shared" si="118"/>
        <v>6.039173014145808</v>
      </c>
      <c r="R1251" s="8">
        <f t="shared" si="119"/>
        <v>6.039173014145808</v>
      </c>
    </row>
    <row r="1252" spans="1:18" x14ac:dyDescent="0.25">
      <c r="A1252" s="7">
        <f t="shared" si="114"/>
        <v>251</v>
      </c>
      <c r="B1252" s="2">
        <v>44749</v>
      </c>
      <c r="C1252" s="3">
        <v>19.52</v>
      </c>
      <c r="D1252" s="3">
        <v>19.850000000000001</v>
      </c>
      <c r="E1252" s="3">
        <v>19.27</v>
      </c>
      <c r="F1252" s="3">
        <v>19.850000000000001</v>
      </c>
      <c r="G1252" s="3">
        <v>2266900</v>
      </c>
      <c r="H1252" s="8">
        <f t="shared" si="115"/>
        <v>1.8136020151133474</v>
      </c>
      <c r="I1252">
        <f t="shared" si="116"/>
        <v>20.216000000000001</v>
      </c>
      <c r="J1252" s="6" cm="1">
        <f t="array" ref="J1252">_xlfn.STDEV.S(IF($A:$A=A1252, $F:$F))</f>
        <v>0.36889022757454437</v>
      </c>
      <c r="P1252" s="8">
        <f t="shared" si="117"/>
        <v>1.8136020151133474</v>
      </c>
      <c r="Q1252" s="8">
        <f t="shared" si="118"/>
        <v>1.8136020151133474</v>
      </c>
      <c r="R1252" s="8">
        <f t="shared" si="119"/>
        <v>1.8136020151133474</v>
      </c>
    </row>
    <row r="1253" spans="1:18" x14ac:dyDescent="0.25">
      <c r="A1253" s="7">
        <f t="shared" si="114"/>
        <v>251</v>
      </c>
      <c r="B1253" s="2">
        <v>44750</v>
      </c>
      <c r="C1253" s="3">
        <v>20.02</v>
      </c>
      <c r="D1253" s="3">
        <v>21.02</v>
      </c>
      <c r="E1253" s="3">
        <v>19.96</v>
      </c>
      <c r="F1253" s="3">
        <v>20.63</v>
      </c>
      <c r="G1253" s="3">
        <v>4204000</v>
      </c>
      <c r="H1253" s="8">
        <f t="shared" si="115"/>
        <v>1.8136020151133474</v>
      </c>
      <c r="I1253">
        <f t="shared" si="116"/>
        <v>20.216000000000001</v>
      </c>
      <c r="J1253" s="6" cm="1">
        <f t="array" ref="J1253">_xlfn.STDEV.S(IF($A:$A=A1253, $F:$F))</f>
        <v>0.36889022757454437</v>
      </c>
      <c r="P1253" s="8">
        <f t="shared" si="117"/>
        <v>1.8136020151133474</v>
      </c>
      <c r="Q1253" s="8">
        <f t="shared" si="118"/>
        <v>1.8136020151133474</v>
      </c>
      <c r="R1253" s="8">
        <f t="shared" si="119"/>
        <v>1.8136020151133474</v>
      </c>
    </row>
    <row r="1254" spans="1:18" x14ac:dyDescent="0.25">
      <c r="A1254" s="7">
        <f t="shared" si="114"/>
        <v>251</v>
      </c>
      <c r="B1254" s="2">
        <v>44753</v>
      </c>
      <c r="C1254" s="3">
        <v>20.350000000000001</v>
      </c>
      <c r="D1254" s="3">
        <v>20.74</v>
      </c>
      <c r="E1254" s="3">
        <v>19.27</v>
      </c>
      <c r="F1254" s="3">
        <v>19.850000000000001</v>
      </c>
      <c r="G1254" s="3">
        <v>4049900</v>
      </c>
      <c r="H1254" s="8">
        <f t="shared" si="115"/>
        <v>1.8136020151133474</v>
      </c>
      <c r="I1254">
        <f t="shared" si="116"/>
        <v>20.216000000000001</v>
      </c>
      <c r="J1254" s="6" cm="1">
        <f t="array" ref="J1254">_xlfn.STDEV.S(IF($A:$A=A1254, $F:$F))</f>
        <v>0.36889022757454437</v>
      </c>
      <c r="P1254" s="8">
        <f t="shared" si="117"/>
        <v>1.8136020151133474</v>
      </c>
      <c r="Q1254" s="8">
        <f t="shared" si="118"/>
        <v>1.8136020151133474</v>
      </c>
      <c r="R1254" s="8">
        <f t="shared" si="119"/>
        <v>1.8136020151133474</v>
      </c>
    </row>
    <row r="1255" spans="1:18" x14ac:dyDescent="0.25">
      <c r="A1255" s="7">
        <f t="shared" si="114"/>
        <v>251</v>
      </c>
      <c r="B1255" s="2">
        <v>44754</v>
      </c>
      <c r="C1255" s="3">
        <v>19.96</v>
      </c>
      <c r="D1255" s="3">
        <v>20.66</v>
      </c>
      <c r="E1255" s="3">
        <v>19.600000000000001</v>
      </c>
      <c r="F1255" s="3">
        <v>20.54</v>
      </c>
      <c r="G1255" s="3">
        <v>3364000</v>
      </c>
      <c r="H1255" s="8">
        <f t="shared" si="115"/>
        <v>1.8136020151133474</v>
      </c>
      <c r="I1255">
        <f t="shared" si="116"/>
        <v>20.216000000000001</v>
      </c>
      <c r="J1255" s="6" cm="1">
        <f t="array" ref="J1255">_xlfn.STDEV.S(IF($A:$A=A1255, $F:$F))</f>
        <v>0.36889022757454437</v>
      </c>
      <c r="P1255" s="8">
        <f t="shared" si="117"/>
        <v>1.8136020151133474</v>
      </c>
      <c r="Q1255" s="8">
        <f t="shared" si="118"/>
        <v>1.8136020151133474</v>
      </c>
      <c r="R1255" s="8">
        <f t="shared" si="119"/>
        <v>1.8136020151133474</v>
      </c>
    </row>
    <row r="1256" spans="1:18" x14ac:dyDescent="0.25">
      <c r="A1256" s="7">
        <f t="shared" si="114"/>
        <v>251</v>
      </c>
      <c r="B1256" s="2">
        <v>44755</v>
      </c>
      <c r="C1256" s="3">
        <v>20.6</v>
      </c>
      <c r="D1256" s="3">
        <v>21.02</v>
      </c>
      <c r="E1256" s="3">
        <v>20.18</v>
      </c>
      <c r="F1256" s="3">
        <v>20.21</v>
      </c>
      <c r="G1256" s="3">
        <v>3307800</v>
      </c>
      <c r="H1256" s="8">
        <f t="shared" si="115"/>
        <v>1.8136020151133474</v>
      </c>
      <c r="I1256">
        <f t="shared" si="116"/>
        <v>20.216000000000001</v>
      </c>
      <c r="J1256" s="6" cm="1">
        <f t="array" ref="J1256">_xlfn.STDEV.S(IF($A:$A=A1256, $F:$F))</f>
        <v>0.36889022757454437</v>
      </c>
      <c r="P1256" s="8">
        <f t="shared" si="117"/>
        <v>1.8136020151133474</v>
      </c>
      <c r="Q1256" s="8">
        <f t="shared" si="118"/>
        <v>1.8136020151133474</v>
      </c>
      <c r="R1256" s="8">
        <f t="shared" si="119"/>
        <v>1.8136020151133474</v>
      </c>
    </row>
    <row r="1257" spans="1:18" x14ac:dyDescent="0.25">
      <c r="A1257" s="7">
        <f t="shared" si="114"/>
        <v>252</v>
      </c>
      <c r="B1257" s="2">
        <v>44756</v>
      </c>
      <c r="C1257" s="3">
        <v>20.13</v>
      </c>
      <c r="D1257" s="3">
        <v>21.6</v>
      </c>
      <c r="E1257" s="3">
        <v>20.13</v>
      </c>
      <c r="F1257" s="3">
        <v>21.6</v>
      </c>
      <c r="G1257" s="3">
        <v>6008000</v>
      </c>
      <c r="H1257" s="8">
        <f t="shared" si="115"/>
        <v>1.9444444444444358</v>
      </c>
      <c r="I1257">
        <f t="shared" si="116"/>
        <v>21.451999999999998</v>
      </c>
      <c r="J1257" s="6" cm="1">
        <f t="array" ref="J1257">_xlfn.STDEV.S(IF($A:$A=A1257, $F:$F))</f>
        <v>0.37318896017969277</v>
      </c>
      <c r="P1257" s="8">
        <f t="shared" si="117"/>
        <v>1.9444444444444358</v>
      </c>
      <c r="Q1257" s="8">
        <f t="shared" si="118"/>
        <v>1.9444444444444358</v>
      </c>
      <c r="R1257" s="8">
        <f t="shared" si="119"/>
        <v>1.9444444444444358</v>
      </c>
    </row>
    <row r="1258" spans="1:18" x14ac:dyDescent="0.25">
      <c r="A1258" s="7">
        <f t="shared" si="114"/>
        <v>252</v>
      </c>
      <c r="B1258" s="2">
        <v>44757</v>
      </c>
      <c r="C1258" s="3">
        <v>21.96</v>
      </c>
      <c r="D1258" s="3">
        <v>21.96</v>
      </c>
      <c r="E1258" s="3">
        <v>21.13</v>
      </c>
      <c r="F1258" s="3">
        <v>21.13</v>
      </c>
      <c r="G1258" s="3">
        <v>3692600</v>
      </c>
      <c r="H1258" s="8">
        <f t="shared" si="115"/>
        <v>1.9444444444444358</v>
      </c>
      <c r="I1258">
        <f t="shared" si="116"/>
        <v>21.451999999999998</v>
      </c>
      <c r="J1258" s="6" cm="1">
        <f t="array" ref="J1258">_xlfn.STDEV.S(IF($A:$A=A1258, $F:$F))</f>
        <v>0.37318896017969277</v>
      </c>
      <c r="P1258" s="8">
        <f t="shared" si="117"/>
        <v>1.9444444444444358</v>
      </c>
      <c r="Q1258" s="8">
        <f t="shared" si="118"/>
        <v>1.9444444444444358</v>
      </c>
      <c r="R1258" s="8">
        <f t="shared" si="119"/>
        <v>1.9444444444444358</v>
      </c>
    </row>
    <row r="1259" spans="1:18" x14ac:dyDescent="0.25">
      <c r="A1259" s="7">
        <f t="shared" si="114"/>
        <v>252</v>
      </c>
      <c r="B1259" s="2">
        <v>44760</v>
      </c>
      <c r="C1259" s="3">
        <v>21.41</v>
      </c>
      <c r="D1259" s="3">
        <v>21.82</v>
      </c>
      <c r="E1259" s="3">
        <v>21.07</v>
      </c>
      <c r="F1259" s="3">
        <v>21.38</v>
      </c>
      <c r="G1259" s="3">
        <v>3762600</v>
      </c>
      <c r="H1259" s="8">
        <f t="shared" si="115"/>
        <v>1.9444444444444358</v>
      </c>
      <c r="I1259">
        <f t="shared" si="116"/>
        <v>21.451999999999998</v>
      </c>
      <c r="J1259" s="6" cm="1">
        <f t="array" ref="J1259">_xlfn.STDEV.S(IF($A:$A=A1259, $F:$F))</f>
        <v>0.37318896017969277</v>
      </c>
      <c r="P1259" s="8">
        <f t="shared" si="117"/>
        <v>1.9444444444444358</v>
      </c>
      <c r="Q1259" s="8">
        <f t="shared" si="118"/>
        <v>1.9444444444444358</v>
      </c>
      <c r="R1259" s="8">
        <f t="shared" si="119"/>
        <v>1.9444444444444358</v>
      </c>
    </row>
    <row r="1260" spans="1:18" x14ac:dyDescent="0.25">
      <c r="A1260" s="7">
        <f t="shared" si="114"/>
        <v>252</v>
      </c>
      <c r="B1260" s="2">
        <v>44761</v>
      </c>
      <c r="C1260" s="3">
        <v>21.3</v>
      </c>
      <c r="D1260" s="3">
        <v>21.57</v>
      </c>
      <c r="E1260" s="3">
        <v>20.57</v>
      </c>
      <c r="F1260" s="3">
        <v>21.13</v>
      </c>
      <c r="G1260" s="3">
        <v>6500400</v>
      </c>
      <c r="H1260" s="8">
        <f t="shared" si="115"/>
        <v>1.9444444444444358</v>
      </c>
      <c r="I1260">
        <f t="shared" si="116"/>
        <v>21.451999999999998</v>
      </c>
      <c r="J1260" s="6" cm="1">
        <f t="array" ref="J1260">_xlfn.STDEV.S(IF($A:$A=A1260, $F:$F))</f>
        <v>0.37318896017969277</v>
      </c>
      <c r="P1260" s="8">
        <f t="shared" si="117"/>
        <v>1.9444444444444358</v>
      </c>
      <c r="Q1260" s="8">
        <f t="shared" si="118"/>
        <v>1.9444444444444358</v>
      </c>
      <c r="R1260" s="8">
        <f t="shared" si="119"/>
        <v>1.9444444444444358</v>
      </c>
    </row>
    <row r="1261" spans="1:18" x14ac:dyDescent="0.25">
      <c r="A1261" s="7">
        <f t="shared" si="114"/>
        <v>252</v>
      </c>
      <c r="B1261" s="2">
        <v>44762</v>
      </c>
      <c r="C1261" s="3">
        <v>21.52</v>
      </c>
      <c r="D1261" s="3">
        <v>22.46</v>
      </c>
      <c r="E1261" s="3">
        <v>21.41</v>
      </c>
      <c r="F1261" s="3">
        <v>22.02</v>
      </c>
      <c r="G1261" s="3">
        <v>6277100</v>
      </c>
      <c r="H1261" s="8">
        <f t="shared" si="115"/>
        <v>1.9444444444444358</v>
      </c>
      <c r="I1261">
        <f t="shared" si="116"/>
        <v>21.451999999999998</v>
      </c>
      <c r="J1261" s="6" cm="1">
        <f t="array" ref="J1261">_xlfn.STDEV.S(IF($A:$A=A1261, $F:$F))</f>
        <v>0.37318896017969277</v>
      </c>
      <c r="P1261" s="8">
        <f t="shared" si="117"/>
        <v>1.9444444444444358</v>
      </c>
      <c r="Q1261" s="8">
        <f t="shared" si="118"/>
        <v>1.9444444444444358</v>
      </c>
      <c r="R1261" s="8">
        <f t="shared" si="119"/>
        <v>1.9444444444444358</v>
      </c>
    </row>
    <row r="1262" spans="1:18" x14ac:dyDescent="0.25">
      <c r="A1262" s="7">
        <f t="shared" si="114"/>
        <v>253</v>
      </c>
      <c r="B1262" s="2">
        <v>44763</v>
      </c>
      <c r="C1262" s="3">
        <v>21.68</v>
      </c>
      <c r="D1262" s="3">
        <v>22.16</v>
      </c>
      <c r="E1262" s="3">
        <v>21.52</v>
      </c>
      <c r="F1262" s="3">
        <v>21.6</v>
      </c>
      <c r="G1262" s="3">
        <v>3307700</v>
      </c>
      <c r="H1262" s="8">
        <f t="shared" si="115"/>
        <v>-1.1574074074074074</v>
      </c>
      <c r="I1262">
        <f t="shared" si="116"/>
        <v>21.3</v>
      </c>
      <c r="J1262" s="6" cm="1">
        <f t="array" ref="J1262">_xlfn.STDEV.S(IF($A:$A=A1262, $F:$F))</f>
        <v>0.25622255950637962</v>
      </c>
      <c r="P1262" s="8">
        <f t="shared" si="117"/>
        <v>-1.1574074074074074</v>
      </c>
      <c r="Q1262" s="8">
        <f t="shared" si="118"/>
        <v>-1.1574074074074074</v>
      </c>
      <c r="R1262" s="8">
        <f t="shared" si="119"/>
        <v>-1.1574074074074074</v>
      </c>
    </row>
    <row r="1263" spans="1:18" x14ac:dyDescent="0.25">
      <c r="A1263" s="7">
        <f t="shared" si="114"/>
        <v>253</v>
      </c>
      <c r="B1263" s="2">
        <v>44764</v>
      </c>
      <c r="C1263" s="3">
        <v>21.6</v>
      </c>
      <c r="D1263" s="3">
        <v>21.8</v>
      </c>
      <c r="E1263" s="3">
        <v>21.13</v>
      </c>
      <c r="F1263" s="3">
        <v>21.13</v>
      </c>
      <c r="G1263" s="3">
        <v>3539800</v>
      </c>
      <c r="H1263" s="8">
        <f t="shared" si="115"/>
        <v>-1.1574074074074074</v>
      </c>
      <c r="I1263">
        <f t="shared" si="116"/>
        <v>21.3</v>
      </c>
      <c r="J1263" s="6" cm="1">
        <f t="array" ref="J1263">_xlfn.STDEV.S(IF($A:$A=A1263, $F:$F))</f>
        <v>0.25622255950637962</v>
      </c>
      <c r="P1263" s="8">
        <f t="shared" si="117"/>
        <v>-1.1574074074074074</v>
      </c>
      <c r="Q1263" s="8">
        <f t="shared" si="118"/>
        <v>-1.1574074074074074</v>
      </c>
      <c r="R1263" s="8">
        <f t="shared" si="119"/>
        <v>-1.1574074074074074</v>
      </c>
    </row>
    <row r="1264" spans="1:18" x14ac:dyDescent="0.25">
      <c r="A1264" s="7">
        <f t="shared" si="114"/>
        <v>253</v>
      </c>
      <c r="B1264" s="2">
        <v>44767</v>
      </c>
      <c r="C1264" s="3">
        <v>20.85</v>
      </c>
      <c r="D1264" s="3">
        <v>21.93</v>
      </c>
      <c r="E1264" s="3">
        <v>20.63</v>
      </c>
      <c r="F1264" s="3">
        <v>21.46</v>
      </c>
      <c r="G1264" s="3">
        <v>5304600</v>
      </c>
      <c r="H1264" s="8">
        <f t="shared" si="115"/>
        <v>-1.1574074074074074</v>
      </c>
      <c r="I1264">
        <f t="shared" si="116"/>
        <v>21.3</v>
      </c>
      <c r="J1264" s="6" cm="1">
        <f t="array" ref="J1264">_xlfn.STDEV.S(IF($A:$A=A1264, $F:$F))</f>
        <v>0.25622255950637962</v>
      </c>
      <c r="P1264" s="8">
        <f t="shared" si="117"/>
        <v>-1.1574074074074074</v>
      </c>
      <c r="Q1264" s="8">
        <f t="shared" si="118"/>
        <v>-1.1574074074074074</v>
      </c>
      <c r="R1264" s="8">
        <f t="shared" si="119"/>
        <v>-1.1574074074074074</v>
      </c>
    </row>
    <row r="1265" spans="1:18" x14ac:dyDescent="0.25">
      <c r="A1265" s="7">
        <f t="shared" si="114"/>
        <v>253</v>
      </c>
      <c r="B1265" s="2">
        <v>44768</v>
      </c>
      <c r="C1265" s="3">
        <v>21.46</v>
      </c>
      <c r="D1265" s="3">
        <v>21.6</v>
      </c>
      <c r="E1265" s="3">
        <v>20.96</v>
      </c>
      <c r="F1265" s="3">
        <v>20.96</v>
      </c>
      <c r="G1265" s="3">
        <v>2133200</v>
      </c>
      <c r="H1265" s="8">
        <f t="shared" si="115"/>
        <v>-1.1574074074074074</v>
      </c>
      <c r="I1265">
        <f t="shared" si="116"/>
        <v>21.3</v>
      </c>
      <c r="J1265" s="6" cm="1">
        <f t="array" ref="J1265">_xlfn.STDEV.S(IF($A:$A=A1265, $F:$F))</f>
        <v>0.25622255950637962</v>
      </c>
      <c r="P1265" s="8">
        <f t="shared" si="117"/>
        <v>-1.1574074074074074</v>
      </c>
      <c r="Q1265" s="8">
        <f t="shared" si="118"/>
        <v>-1.1574074074074074</v>
      </c>
      <c r="R1265" s="8">
        <f t="shared" si="119"/>
        <v>-1.1574074074074074</v>
      </c>
    </row>
    <row r="1266" spans="1:18" x14ac:dyDescent="0.25">
      <c r="A1266" s="7">
        <f t="shared" si="114"/>
        <v>253</v>
      </c>
      <c r="B1266" s="2">
        <v>44769</v>
      </c>
      <c r="C1266" s="3">
        <v>20.85</v>
      </c>
      <c r="D1266" s="3">
        <v>21.52</v>
      </c>
      <c r="E1266" s="3">
        <v>20.77</v>
      </c>
      <c r="F1266" s="3">
        <v>21.35</v>
      </c>
      <c r="G1266" s="3">
        <v>2419600</v>
      </c>
      <c r="H1266" s="8">
        <f t="shared" si="115"/>
        <v>-1.1574074074074074</v>
      </c>
      <c r="I1266">
        <f t="shared" si="116"/>
        <v>21.3</v>
      </c>
      <c r="J1266" s="6" cm="1">
        <f t="array" ref="J1266">_xlfn.STDEV.S(IF($A:$A=A1266, $F:$F))</f>
        <v>0.25622255950637962</v>
      </c>
      <c r="P1266" s="8">
        <f t="shared" si="117"/>
        <v>-1.1574074074074074</v>
      </c>
      <c r="Q1266" s="8">
        <f t="shared" si="118"/>
        <v>-1.1574074074074074</v>
      </c>
      <c r="R1266" s="8">
        <f t="shared" si="119"/>
        <v>-1.1574074074074074</v>
      </c>
    </row>
    <row r="1267" spans="1:18" x14ac:dyDescent="0.25">
      <c r="A1267" s="7">
        <f t="shared" si="114"/>
        <v>254</v>
      </c>
      <c r="B1267" s="2">
        <v>44770</v>
      </c>
      <c r="C1267" s="3">
        <v>21.68</v>
      </c>
      <c r="D1267" s="3">
        <v>22.24</v>
      </c>
      <c r="E1267" s="3">
        <v>21.6</v>
      </c>
      <c r="F1267" s="3">
        <v>21.63</v>
      </c>
      <c r="G1267" s="3">
        <v>5701300</v>
      </c>
      <c r="H1267" s="8">
        <f t="shared" si="115"/>
        <v>13.083680073971346</v>
      </c>
      <c r="I1267">
        <f t="shared" si="116"/>
        <v>23.251999999999999</v>
      </c>
      <c r="J1267" s="6" cm="1">
        <f t="array" ref="J1267">_xlfn.STDEV.S(IF($A:$A=A1267, $F:$F))</f>
        <v>1.1507693078979824</v>
      </c>
      <c r="P1267" s="8">
        <f t="shared" si="117"/>
        <v>13.083680073971346</v>
      </c>
      <c r="Q1267" s="8">
        <f t="shared" si="118"/>
        <v>13.083680073971346</v>
      </c>
      <c r="R1267" s="10">
        <f t="shared" si="119"/>
        <v>13.083680073971346</v>
      </c>
    </row>
    <row r="1268" spans="1:18" x14ac:dyDescent="0.25">
      <c r="A1268" s="7">
        <f t="shared" si="114"/>
        <v>254</v>
      </c>
      <c r="B1268" s="2">
        <v>44771</v>
      </c>
      <c r="C1268" s="3">
        <v>21.74</v>
      </c>
      <c r="D1268" s="3">
        <v>22.69</v>
      </c>
      <c r="E1268" s="3">
        <v>21.74</v>
      </c>
      <c r="F1268" s="3">
        <v>22.52</v>
      </c>
      <c r="G1268" s="3">
        <v>8041100</v>
      </c>
      <c r="H1268" s="8">
        <f t="shared" si="115"/>
        <v>13.083680073971346</v>
      </c>
      <c r="I1268">
        <f t="shared" si="116"/>
        <v>23.251999999999999</v>
      </c>
      <c r="J1268" s="6" cm="1">
        <f t="array" ref="J1268">_xlfn.STDEV.S(IF($A:$A=A1268, $F:$F))</f>
        <v>1.1507693078979824</v>
      </c>
      <c r="P1268" s="8">
        <f t="shared" si="117"/>
        <v>13.083680073971346</v>
      </c>
      <c r="Q1268" s="8">
        <f t="shared" si="118"/>
        <v>13.083680073971346</v>
      </c>
      <c r="R1268" s="10">
        <f t="shared" si="119"/>
        <v>13.083680073971346</v>
      </c>
    </row>
    <row r="1269" spans="1:18" x14ac:dyDescent="0.25">
      <c r="A1269" s="7">
        <f t="shared" si="114"/>
        <v>254</v>
      </c>
      <c r="B1269" s="2">
        <v>44774</v>
      </c>
      <c r="C1269" s="3">
        <v>22.63</v>
      </c>
      <c r="D1269" s="3">
        <v>23.91</v>
      </c>
      <c r="E1269" s="3">
        <v>22.63</v>
      </c>
      <c r="F1269" s="3">
        <v>23.91</v>
      </c>
      <c r="G1269" s="3">
        <v>6370700</v>
      </c>
      <c r="H1269" s="8">
        <f t="shared" si="115"/>
        <v>13.083680073971346</v>
      </c>
      <c r="I1269">
        <f t="shared" si="116"/>
        <v>23.251999999999999</v>
      </c>
      <c r="J1269" s="6" cm="1">
        <f t="array" ref="J1269">_xlfn.STDEV.S(IF($A:$A=A1269, $F:$F))</f>
        <v>1.1507693078979824</v>
      </c>
      <c r="P1269" s="8">
        <f t="shared" si="117"/>
        <v>13.083680073971346</v>
      </c>
      <c r="Q1269" s="8">
        <f t="shared" si="118"/>
        <v>13.083680073971346</v>
      </c>
      <c r="R1269" s="10">
        <f t="shared" si="119"/>
        <v>13.083680073971346</v>
      </c>
    </row>
    <row r="1270" spans="1:18" x14ac:dyDescent="0.25">
      <c r="A1270" s="7">
        <f t="shared" si="114"/>
        <v>254</v>
      </c>
      <c r="B1270" s="2">
        <v>44775</v>
      </c>
      <c r="C1270" s="3">
        <v>23.74</v>
      </c>
      <c r="D1270" s="3">
        <v>24.24</v>
      </c>
      <c r="E1270" s="3">
        <v>23.46</v>
      </c>
      <c r="F1270" s="3">
        <v>23.74</v>
      </c>
      <c r="G1270" s="3">
        <v>5901400</v>
      </c>
      <c r="H1270" s="8">
        <f t="shared" si="115"/>
        <v>13.083680073971346</v>
      </c>
      <c r="I1270">
        <f t="shared" si="116"/>
        <v>23.251999999999999</v>
      </c>
      <c r="J1270" s="6" cm="1">
        <f t="array" ref="J1270">_xlfn.STDEV.S(IF($A:$A=A1270, $F:$F))</f>
        <v>1.1507693078979824</v>
      </c>
      <c r="P1270" s="8">
        <f t="shared" si="117"/>
        <v>13.083680073971346</v>
      </c>
      <c r="Q1270" s="8">
        <f t="shared" si="118"/>
        <v>13.083680073971346</v>
      </c>
      <c r="R1270" s="10">
        <f t="shared" si="119"/>
        <v>13.083680073971346</v>
      </c>
    </row>
    <row r="1271" spans="1:18" x14ac:dyDescent="0.25">
      <c r="A1271" s="7">
        <f t="shared" si="114"/>
        <v>254</v>
      </c>
      <c r="B1271" s="2">
        <v>44776</v>
      </c>
      <c r="C1271" s="3">
        <v>23.52</v>
      </c>
      <c r="D1271" s="3">
        <v>24.46</v>
      </c>
      <c r="E1271" s="3">
        <v>23.46</v>
      </c>
      <c r="F1271" s="3">
        <v>24.46</v>
      </c>
      <c r="G1271" s="3">
        <v>6689400</v>
      </c>
      <c r="H1271" s="8">
        <f t="shared" si="115"/>
        <v>13.083680073971346</v>
      </c>
      <c r="I1271">
        <f t="shared" si="116"/>
        <v>23.251999999999999</v>
      </c>
      <c r="J1271" s="6" cm="1">
        <f t="array" ref="J1271">_xlfn.STDEV.S(IF($A:$A=A1271, $F:$F))</f>
        <v>1.1507693078979824</v>
      </c>
      <c r="P1271" s="8">
        <f t="shared" si="117"/>
        <v>13.083680073971346</v>
      </c>
      <c r="Q1271" s="8">
        <f t="shared" si="118"/>
        <v>13.083680073971346</v>
      </c>
      <c r="R1271" s="10">
        <f t="shared" si="119"/>
        <v>13.083680073971346</v>
      </c>
    </row>
    <row r="1272" spans="1:18" x14ac:dyDescent="0.25">
      <c r="A1272" s="7">
        <f t="shared" si="114"/>
        <v>255</v>
      </c>
      <c r="B1272" s="2">
        <v>44777</v>
      </c>
      <c r="C1272" s="3">
        <v>24.46</v>
      </c>
      <c r="D1272" s="3">
        <v>24.63</v>
      </c>
      <c r="E1272" s="3">
        <v>23.94</v>
      </c>
      <c r="F1272" s="3">
        <v>24.24</v>
      </c>
      <c r="G1272" s="3">
        <v>5057100</v>
      </c>
      <c r="H1272" s="8">
        <f t="shared" si="115"/>
        <v>9.4059405940594107</v>
      </c>
      <c r="I1272">
        <f t="shared" si="116"/>
        <v>25.57</v>
      </c>
      <c r="J1272" s="6" cm="1">
        <f t="array" ref="J1272">_xlfn.STDEV.S(IF($A:$A=A1272, $F:$F))</f>
        <v>0.89587945617700171</v>
      </c>
      <c r="P1272" s="8">
        <f t="shared" si="117"/>
        <v>9.4059405940594107</v>
      </c>
      <c r="Q1272" s="8">
        <f t="shared" si="118"/>
        <v>9.4059405940594107</v>
      </c>
      <c r="R1272" s="10">
        <f t="shared" si="119"/>
        <v>9.4059405940594107</v>
      </c>
    </row>
    <row r="1273" spans="1:18" x14ac:dyDescent="0.25">
      <c r="A1273" s="7">
        <f t="shared" si="114"/>
        <v>255</v>
      </c>
      <c r="B1273" s="2">
        <v>44778</v>
      </c>
      <c r="C1273" s="3">
        <v>24.13</v>
      </c>
      <c r="D1273" s="3">
        <v>25.27</v>
      </c>
      <c r="E1273" s="3">
        <v>24.02</v>
      </c>
      <c r="F1273" s="3">
        <v>25.27</v>
      </c>
      <c r="G1273" s="3">
        <v>7298700</v>
      </c>
      <c r="H1273" s="8">
        <f t="shared" si="115"/>
        <v>9.4059405940594107</v>
      </c>
      <c r="I1273">
        <f t="shared" si="116"/>
        <v>25.57</v>
      </c>
      <c r="J1273" s="6" cm="1">
        <f t="array" ref="J1273">_xlfn.STDEV.S(IF($A:$A=A1273, $F:$F))</f>
        <v>0.89587945617700171</v>
      </c>
      <c r="P1273" s="8">
        <f t="shared" si="117"/>
        <v>9.4059405940594107</v>
      </c>
      <c r="Q1273" s="8">
        <f t="shared" si="118"/>
        <v>9.4059405940594107</v>
      </c>
      <c r="R1273" s="10">
        <f t="shared" si="119"/>
        <v>9.4059405940594107</v>
      </c>
    </row>
    <row r="1274" spans="1:18" x14ac:dyDescent="0.25">
      <c r="A1274" s="7">
        <f t="shared" si="114"/>
        <v>255</v>
      </c>
      <c r="B1274" s="2">
        <v>44781</v>
      </c>
      <c r="C1274" s="3">
        <v>25.24</v>
      </c>
      <c r="D1274" s="3">
        <v>25.58</v>
      </c>
      <c r="E1274" s="3">
        <v>25.16</v>
      </c>
      <c r="F1274" s="3">
        <v>25.58</v>
      </c>
      <c r="G1274" s="3">
        <v>4908400</v>
      </c>
      <c r="H1274" s="8">
        <f t="shared" si="115"/>
        <v>9.4059405940594107</v>
      </c>
      <c r="I1274">
        <f t="shared" si="116"/>
        <v>25.57</v>
      </c>
      <c r="J1274" s="6" cm="1">
        <f t="array" ref="J1274">_xlfn.STDEV.S(IF($A:$A=A1274, $F:$F))</f>
        <v>0.89587945617700171</v>
      </c>
      <c r="P1274" s="8">
        <f t="shared" si="117"/>
        <v>9.4059405940594107</v>
      </c>
      <c r="Q1274" s="8">
        <f t="shared" si="118"/>
        <v>9.4059405940594107</v>
      </c>
      <c r="R1274" s="10">
        <f t="shared" si="119"/>
        <v>9.4059405940594107</v>
      </c>
    </row>
    <row r="1275" spans="1:18" x14ac:dyDescent="0.25">
      <c r="A1275" s="7">
        <f t="shared" si="114"/>
        <v>255</v>
      </c>
      <c r="B1275" s="2">
        <v>44782</v>
      </c>
      <c r="C1275" s="3">
        <v>25.58</v>
      </c>
      <c r="D1275" s="3">
        <v>26.38</v>
      </c>
      <c r="E1275" s="3">
        <v>25.33</v>
      </c>
      <c r="F1275" s="3">
        <v>26.24</v>
      </c>
      <c r="G1275" s="3">
        <v>4602100</v>
      </c>
      <c r="H1275" s="8">
        <f t="shared" si="115"/>
        <v>9.4059405940594107</v>
      </c>
      <c r="I1275">
        <f t="shared" si="116"/>
        <v>25.57</v>
      </c>
      <c r="J1275" s="6" cm="1">
        <f t="array" ref="J1275">_xlfn.STDEV.S(IF($A:$A=A1275, $F:$F))</f>
        <v>0.89587945617700171</v>
      </c>
      <c r="P1275" s="8">
        <f t="shared" si="117"/>
        <v>9.4059405940594107</v>
      </c>
      <c r="Q1275" s="8">
        <f t="shared" si="118"/>
        <v>9.4059405940594107</v>
      </c>
      <c r="R1275" s="10">
        <f t="shared" si="119"/>
        <v>9.4059405940594107</v>
      </c>
    </row>
    <row r="1276" spans="1:18" x14ac:dyDescent="0.25">
      <c r="A1276" s="7">
        <f t="shared" si="114"/>
        <v>255</v>
      </c>
      <c r="B1276" s="2">
        <v>44783</v>
      </c>
      <c r="C1276" s="3">
        <v>25.97</v>
      </c>
      <c r="D1276" s="3">
        <v>26.74</v>
      </c>
      <c r="E1276" s="3">
        <v>25.94</v>
      </c>
      <c r="F1276" s="3">
        <v>26.52</v>
      </c>
      <c r="G1276" s="3">
        <v>4464900</v>
      </c>
      <c r="H1276" s="8">
        <f t="shared" si="115"/>
        <v>9.4059405940594107</v>
      </c>
      <c r="I1276">
        <f t="shared" si="116"/>
        <v>25.57</v>
      </c>
      <c r="J1276" s="6" cm="1">
        <f t="array" ref="J1276">_xlfn.STDEV.S(IF($A:$A=A1276, $F:$F))</f>
        <v>0.89587945617700171</v>
      </c>
      <c r="P1276" s="8">
        <f t="shared" si="117"/>
        <v>9.4059405940594107</v>
      </c>
      <c r="Q1276" s="8">
        <f t="shared" si="118"/>
        <v>9.4059405940594107</v>
      </c>
      <c r="R1276" s="10">
        <f t="shared" si="119"/>
        <v>9.4059405940594107</v>
      </c>
    </row>
    <row r="1277" spans="1:18" x14ac:dyDescent="0.25">
      <c r="A1277" s="7">
        <f t="shared" si="114"/>
        <v>256</v>
      </c>
      <c r="B1277" s="2">
        <v>44784</v>
      </c>
      <c r="C1277" s="3">
        <v>26.8</v>
      </c>
      <c r="D1277" s="3">
        <v>27.11</v>
      </c>
      <c r="E1277" s="3">
        <v>24.8</v>
      </c>
      <c r="F1277" s="3">
        <v>25.08</v>
      </c>
      <c r="G1277" s="3">
        <v>14334400</v>
      </c>
      <c r="H1277" s="8">
        <f t="shared" si="115"/>
        <v>5.1834130781499237</v>
      </c>
      <c r="I1277">
        <f t="shared" si="116"/>
        <v>25.981999999999999</v>
      </c>
      <c r="J1277" s="6" cm="1">
        <f t="array" ref="J1277">_xlfn.STDEV.S(IF($A:$A=A1277, $F:$F))</f>
        <v>0.59717669077083058</v>
      </c>
      <c r="P1277" s="8">
        <f t="shared" si="117"/>
        <v>5.1834130781499237</v>
      </c>
      <c r="Q1277" s="8">
        <f t="shared" si="118"/>
        <v>5.1834130781499237</v>
      </c>
      <c r="R1277" s="8">
        <f t="shared" si="119"/>
        <v>5.1834130781499237</v>
      </c>
    </row>
    <row r="1278" spans="1:18" x14ac:dyDescent="0.25">
      <c r="A1278" s="7">
        <f t="shared" si="114"/>
        <v>256</v>
      </c>
      <c r="B1278" s="2">
        <v>44785</v>
      </c>
      <c r="C1278" s="3">
        <v>25.02</v>
      </c>
      <c r="D1278" s="3">
        <v>26.63</v>
      </c>
      <c r="E1278" s="3">
        <v>24.91</v>
      </c>
      <c r="F1278" s="3">
        <v>26.63</v>
      </c>
      <c r="G1278" s="3">
        <v>5954000</v>
      </c>
      <c r="H1278" s="8">
        <f t="shared" si="115"/>
        <v>5.1834130781499237</v>
      </c>
      <c r="I1278">
        <f t="shared" si="116"/>
        <v>25.981999999999999</v>
      </c>
      <c r="J1278" s="6" cm="1">
        <f t="array" ref="J1278">_xlfn.STDEV.S(IF($A:$A=A1278, $F:$F))</f>
        <v>0.59717669077083058</v>
      </c>
      <c r="P1278" s="8">
        <f t="shared" si="117"/>
        <v>5.1834130781499237</v>
      </c>
      <c r="Q1278" s="8">
        <f t="shared" si="118"/>
        <v>5.1834130781499237</v>
      </c>
      <c r="R1278" s="8">
        <f t="shared" si="119"/>
        <v>5.1834130781499237</v>
      </c>
    </row>
    <row r="1279" spans="1:18" x14ac:dyDescent="0.25">
      <c r="A1279" s="7">
        <f t="shared" si="114"/>
        <v>256</v>
      </c>
      <c r="B1279" s="2">
        <v>44788</v>
      </c>
      <c r="C1279" s="3">
        <v>26.97</v>
      </c>
      <c r="D1279" s="3">
        <v>26.97</v>
      </c>
      <c r="E1279" s="3">
        <v>25.74</v>
      </c>
      <c r="F1279" s="3">
        <v>25.8</v>
      </c>
      <c r="G1279" s="3">
        <v>7099200</v>
      </c>
      <c r="H1279" s="8">
        <f t="shared" si="115"/>
        <v>5.1834130781499237</v>
      </c>
      <c r="I1279">
        <f t="shared" si="116"/>
        <v>25.981999999999999</v>
      </c>
      <c r="J1279" s="6" cm="1">
        <f t="array" ref="J1279">_xlfn.STDEV.S(IF($A:$A=A1279, $F:$F))</f>
        <v>0.59717669077083058</v>
      </c>
      <c r="P1279" s="8">
        <f t="shared" si="117"/>
        <v>5.1834130781499237</v>
      </c>
      <c r="Q1279" s="8">
        <f t="shared" si="118"/>
        <v>5.1834130781499237</v>
      </c>
      <c r="R1279" s="8">
        <f t="shared" si="119"/>
        <v>5.1834130781499237</v>
      </c>
    </row>
    <row r="1280" spans="1:18" x14ac:dyDescent="0.25">
      <c r="A1280" s="7">
        <f t="shared" si="114"/>
        <v>256</v>
      </c>
      <c r="B1280" s="2">
        <v>44789</v>
      </c>
      <c r="C1280" s="3">
        <v>25.58</v>
      </c>
      <c r="D1280" s="3">
        <v>26.1</v>
      </c>
      <c r="E1280" s="3">
        <v>25.58</v>
      </c>
      <c r="F1280" s="3">
        <v>26.02</v>
      </c>
      <c r="G1280" s="3">
        <v>7593000</v>
      </c>
      <c r="H1280" s="8">
        <f t="shared" si="115"/>
        <v>5.1834130781499237</v>
      </c>
      <c r="I1280">
        <f t="shared" si="116"/>
        <v>25.981999999999999</v>
      </c>
      <c r="J1280" s="6" cm="1">
        <f t="array" ref="J1280">_xlfn.STDEV.S(IF($A:$A=A1280, $F:$F))</f>
        <v>0.59717669077083058</v>
      </c>
      <c r="P1280" s="8">
        <f t="shared" si="117"/>
        <v>5.1834130781499237</v>
      </c>
      <c r="Q1280" s="8">
        <f t="shared" si="118"/>
        <v>5.1834130781499237</v>
      </c>
      <c r="R1280" s="8">
        <f t="shared" si="119"/>
        <v>5.1834130781499237</v>
      </c>
    </row>
    <row r="1281" spans="1:18" x14ac:dyDescent="0.25">
      <c r="A1281" s="7">
        <f t="shared" si="114"/>
        <v>256</v>
      </c>
      <c r="B1281" s="2">
        <v>44790</v>
      </c>
      <c r="C1281" s="3">
        <v>27.61</v>
      </c>
      <c r="D1281" s="3">
        <v>27.61</v>
      </c>
      <c r="E1281" s="3">
        <v>26.28</v>
      </c>
      <c r="F1281" s="3">
        <v>26.38</v>
      </c>
      <c r="G1281" s="3">
        <v>7479800</v>
      </c>
      <c r="H1281" s="8">
        <f t="shared" si="115"/>
        <v>5.1834130781499237</v>
      </c>
      <c r="I1281">
        <f t="shared" si="116"/>
        <v>25.981999999999999</v>
      </c>
      <c r="J1281" s="6" cm="1">
        <f t="array" ref="J1281">_xlfn.STDEV.S(IF($A:$A=A1281, $F:$F))</f>
        <v>0.59717669077083058</v>
      </c>
      <c r="P1281" s="8">
        <f t="shared" si="117"/>
        <v>5.1834130781499237</v>
      </c>
      <c r="Q1281" s="8">
        <f t="shared" si="118"/>
        <v>5.1834130781499237</v>
      </c>
      <c r="R1281" s="8">
        <f t="shared" si="119"/>
        <v>5.1834130781499237</v>
      </c>
    </row>
    <row r="1282" spans="1:18" x14ac:dyDescent="0.25">
      <c r="A1282" s="7">
        <f t="shared" si="114"/>
        <v>257</v>
      </c>
      <c r="B1282" s="2">
        <v>44791</v>
      </c>
      <c r="C1282" s="3">
        <v>26.31</v>
      </c>
      <c r="D1282" s="3">
        <v>27.18</v>
      </c>
      <c r="E1282" s="3">
        <v>26.02</v>
      </c>
      <c r="F1282" s="3">
        <v>26.75</v>
      </c>
      <c r="G1282" s="3">
        <v>4466300</v>
      </c>
      <c r="H1282" s="8">
        <f t="shared" si="115"/>
        <v>3.3644859813084058</v>
      </c>
      <c r="I1282">
        <f t="shared" si="116"/>
        <v>26.927999999999997</v>
      </c>
      <c r="J1282" s="6" cm="1">
        <f t="array" ref="J1282">_xlfn.STDEV.S(IF($A:$A=A1282, $F:$F))</f>
        <v>0.7412287096436565</v>
      </c>
      <c r="P1282" s="8">
        <f t="shared" si="117"/>
        <v>3.3644859813084058</v>
      </c>
      <c r="Q1282" s="8">
        <f t="shared" si="118"/>
        <v>3.3644859813084058</v>
      </c>
      <c r="R1282" s="8">
        <f t="shared" si="119"/>
        <v>3.3644859813084058</v>
      </c>
    </row>
    <row r="1283" spans="1:18" x14ac:dyDescent="0.25">
      <c r="A1283" s="7">
        <f t="shared" ref="A1283:A1346" si="120">INT((ROW(A1283)-ROW($A$2))/5) + 1</f>
        <v>257</v>
      </c>
      <c r="B1283" s="2">
        <v>44792</v>
      </c>
      <c r="C1283" s="3">
        <v>26.85</v>
      </c>
      <c r="D1283" s="3">
        <v>26.85</v>
      </c>
      <c r="E1283" s="3">
        <v>26.2</v>
      </c>
      <c r="F1283" s="3">
        <v>26.6</v>
      </c>
      <c r="G1283" s="3">
        <v>4134600</v>
      </c>
      <c r="H1283" s="8">
        <f t="shared" ref="H1283:H1346" si="121">IF(A1283=A1282, H1282, (F1287-F1283)/F1283*100)</f>
        <v>3.3644859813084058</v>
      </c>
      <c r="I1283">
        <f t="shared" ref="I1283:I1346" si="122">AVERAGEIF($A:$A, A1283, $F:$F)</f>
        <v>26.927999999999997</v>
      </c>
      <c r="J1283" s="6" cm="1">
        <f t="array" ref="J1283">_xlfn.STDEV.S(IF($A:$A=A1283, $F:$F))</f>
        <v>0.7412287096436565</v>
      </c>
      <c r="P1283" s="8">
        <f t="shared" ref="P1283:P1346" si="123">IF(A1283=A1282,P1282,(F1287-F1283)/F1283*100)</f>
        <v>3.3644859813084058</v>
      </c>
      <c r="Q1283" s="8">
        <f t="shared" ref="Q1283:Q1346" si="124">IF(A1283=A1282,Q1282,(F1287-F1283)/F1283*100)</f>
        <v>3.3644859813084058</v>
      </c>
      <c r="R1283" s="8">
        <f t="shared" ref="R1283:R1346" si="125">IF(A1283=A1282,R1282,(F1287-F1283)/F1283*100)</f>
        <v>3.3644859813084058</v>
      </c>
    </row>
    <row r="1284" spans="1:18" x14ac:dyDescent="0.25">
      <c r="A1284" s="7">
        <f t="shared" si="120"/>
        <v>257</v>
      </c>
      <c r="B1284" s="2">
        <v>44795</v>
      </c>
      <c r="C1284" s="3">
        <v>26.42</v>
      </c>
      <c r="D1284" s="3">
        <v>26.64</v>
      </c>
      <c r="E1284" s="3">
        <v>25.73</v>
      </c>
      <c r="F1284" s="3">
        <v>25.95</v>
      </c>
      <c r="G1284" s="3">
        <v>4305300</v>
      </c>
      <c r="H1284" s="8">
        <f t="shared" si="121"/>
        <v>3.3644859813084058</v>
      </c>
      <c r="I1284">
        <f t="shared" si="122"/>
        <v>26.927999999999997</v>
      </c>
      <c r="J1284" s="6" cm="1">
        <f t="array" ref="J1284">_xlfn.STDEV.S(IF($A:$A=A1284, $F:$F))</f>
        <v>0.7412287096436565</v>
      </c>
      <c r="P1284" s="8">
        <f t="shared" si="123"/>
        <v>3.3644859813084058</v>
      </c>
      <c r="Q1284" s="8">
        <f t="shared" si="124"/>
        <v>3.3644859813084058</v>
      </c>
      <c r="R1284" s="8">
        <f t="shared" si="125"/>
        <v>3.3644859813084058</v>
      </c>
    </row>
    <row r="1285" spans="1:18" x14ac:dyDescent="0.25">
      <c r="A1285" s="7">
        <f t="shared" si="120"/>
        <v>257</v>
      </c>
      <c r="B1285" s="2">
        <v>44796</v>
      </c>
      <c r="C1285" s="3">
        <v>25.44</v>
      </c>
      <c r="D1285" s="3">
        <v>27.69</v>
      </c>
      <c r="E1285" s="3">
        <v>25.44</v>
      </c>
      <c r="F1285" s="3">
        <v>27.69</v>
      </c>
      <c r="G1285" s="3">
        <v>7160000</v>
      </c>
      <c r="H1285" s="8">
        <f t="shared" si="121"/>
        <v>3.3644859813084058</v>
      </c>
      <c r="I1285">
        <f t="shared" si="122"/>
        <v>26.927999999999997</v>
      </c>
      <c r="J1285" s="6" cm="1">
        <f t="array" ref="J1285">_xlfn.STDEV.S(IF($A:$A=A1285, $F:$F))</f>
        <v>0.7412287096436565</v>
      </c>
      <c r="P1285" s="8">
        <f t="shared" si="123"/>
        <v>3.3644859813084058</v>
      </c>
      <c r="Q1285" s="8">
        <f t="shared" si="124"/>
        <v>3.3644859813084058</v>
      </c>
      <c r="R1285" s="8">
        <f t="shared" si="125"/>
        <v>3.3644859813084058</v>
      </c>
    </row>
    <row r="1286" spans="1:18" x14ac:dyDescent="0.25">
      <c r="A1286" s="7">
        <f t="shared" si="120"/>
        <v>257</v>
      </c>
      <c r="B1286" s="2">
        <v>44797</v>
      </c>
      <c r="C1286" s="3">
        <v>27.69</v>
      </c>
      <c r="D1286" s="3">
        <v>28.01</v>
      </c>
      <c r="E1286" s="3">
        <v>27.36</v>
      </c>
      <c r="F1286" s="3">
        <v>27.65</v>
      </c>
      <c r="G1286" s="3">
        <v>3607200</v>
      </c>
      <c r="H1286" s="8">
        <f t="shared" si="121"/>
        <v>3.3644859813084058</v>
      </c>
      <c r="I1286">
        <f t="shared" si="122"/>
        <v>26.927999999999997</v>
      </c>
      <c r="J1286" s="6" cm="1">
        <f t="array" ref="J1286">_xlfn.STDEV.S(IF($A:$A=A1286, $F:$F))</f>
        <v>0.7412287096436565</v>
      </c>
      <c r="P1286" s="8">
        <f t="shared" si="123"/>
        <v>3.3644859813084058</v>
      </c>
      <c r="Q1286" s="8">
        <f t="shared" si="124"/>
        <v>3.3644859813084058</v>
      </c>
      <c r="R1286" s="8">
        <f t="shared" si="125"/>
        <v>3.3644859813084058</v>
      </c>
    </row>
    <row r="1287" spans="1:18" x14ac:dyDescent="0.25">
      <c r="A1287" s="7">
        <f t="shared" si="120"/>
        <v>258</v>
      </c>
      <c r="B1287" s="2">
        <v>44798</v>
      </c>
      <c r="C1287" s="3">
        <v>27.79</v>
      </c>
      <c r="D1287" s="3">
        <v>28.08</v>
      </c>
      <c r="E1287" s="3">
        <v>27.65</v>
      </c>
      <c r="F1287" s="3">
        <v>27.79</v>
      </c>
      <c r="G1287" s="3">
        <v>3436200</v>
      </c>
      <c r="H1287" s="8">
        <f t="shared" si="121"/>
        <v>-3.4904641957538645</v>
      </c>
      <c r="I1287">
        <f t="shared" si="122"/>
        <v>27.185999999999996</v>
      </c>
      <c r="J1287" s="6" cm="1">
        <f t="array" ref="J1287">_xlfn.STDEV.S(IF($A:$A=A1287, $F:$F))</f>
        <v>0.42945314063352641</v>
      </c>
      <c r="P1287" s="8">
        <f t="shared" si="123"/>
        <v>-3.4904641957538645</v>
      </c>
      <c r="Q1287" s="8">
        <f t="shared" si="124"/>
        <v>-3.4904641957538645</v>
      </c>
      <c r="R1287" s="8">
        <f t="shared" si="125"/>
        <v>-3.4904641957538645</v>
      </c>
    </row>
    <row r="1288" spans="1:18" x14ac:dyDescent="0.25">
      <c r="A1288" s="7">
        <f t="shared" si="120"/>
        <v>258</v>
      </c>
      <c r="B1288" s="2">
        <v>44799</v>
      </c>
      <c r="C1288" s="3">
        <v>27.83</v>
      </c>
      <c r="D1288" s="3">
        <v>27.83</v>
      </c>
      <c r="E1288" s="3">
        <v>26.89</v>
      </c>
      <c r="F1288" s="3">
        <v>27.03</v>
      </c>
      <c r="G1288" s="3">
        <v>5902400</v>
      </c>
      <c r="H1288" s="8">
        <f t="shared" si="121"/>
        <v>-3.4904641957538645</v>
      </c>
      <c r="I1288">
        <f t="shared" si="122"/>
        <v>27.185999999999996</v>
      </c>
      <c r="J1288" s="6" cm="1">
        <f t="array" ref="J1288">_xlfn.STDEV.S(IF($A:$A=A1288, $F:$F))</f>
        <v>0.42945314063352641</v>
      </c>
      <c r="P1288" s="8">
        <f t="shared" si="123"/>
        <v>-3.4904641957538645</v>
      </c>
      <c r="Q1288" s="8">
        <f t="shared" si="124"/>
        <v>-3.4904641957538645</v>
      </c>
      <c r="R1288" s="8">
        <f t="shared" si="125"/>
        <v>-3.4904641957538645</v>
      </c>
    </row>
    <row r="1289" spans="1:18" x14ac:dyDescent="0.25">
      <c r="A1289" s="7">
        <f t="shared" si="120"/>
        <v>258</v>
      </c>
      <c r="B1289" s="2">
        <v>44802</v>
      </c>
      <c r="C1289" s="3">
        <v>26.38</v>
      </c>
      <c r="D1289" s="3">
        <v>27.47</v>
      </c>
      <c r="E1289" s="3">
        <v>25.66</v>
      </c>
      <c r="F1289" s="3">
        <v>27.47</v>
      </c>
      <c r="G1289" s="3">
        <v>7971100</v>
      </c>
      <c r="H1289" s="8">
        <f t="shared" si="121"/>
        <v>-3.4904641957538645</v>
      </c>
      <c r="I1289">
        <f t="shared" si="122"/>
        <v>27.185999999999996</v>
      </c>
      <c r="J1289" s="6" cm="1">
        <f t="array" ref="J1289">_xlfn.STDEV.S(IF($A:$A=A1289, $F:$F))</f>
        <v>0.42945314063352641</v>
      </c>
      <c r="P1289" s="8">
        <f t="shared" si="123"/>
        <v>-3.4904641957538645</v>
      </c>
      <c r="Q1289" s="8">
        <f t="shared" si="124"/>
        <v>-3.4904641957538645</v>
      </c>
      <c r="R1289" s="8">
        <f t="shared" si="125"/>
        <v>-3.4904641957538645</v>
      </c>
    </row>
    <row r="1290" spans="1:18" x14ac:dyDescent="0.25">
      <c r="A1290" s="7">
        <f t="shared" si="120"/>
        <v>258</v>
      </c>
      <c r="B1290" s="2">
        <v>44803</v>
      </c>
      <c r="C1290" s="3">
        <v>27.72</v>
      </c>
      <c r="D1290" s="3">
        <v>27.79</v>
      </c>
      <c r="E1290" s="3">
        <v>26.82</v>
      </c>
      <c r="F1290" s="3">
        <v>26.82</v>
      </c>
      <c r="G1290" s="3">
        <v>4319000</v>
      </c>
      <c r="H1290" s="8">
        <f t="shared" si="121"/>
        <v>-3.4904641957538645</v>
      </c>
      <c r="I1290">
        <f t="shared" si="122"/>
        <v>27.185999999999996</v>
      </c>
      <c r="J1290" s="6" cm="1">
        <f t="array" ref="J1290">_xlfn.STDEV.S(IF($A:$A=A1290, $F:$F))</f>
        <v>0.42945314063352641</v>
      </c>
      <c r="P1290" s="8">
        <f t="shared" si="123"/>
        <v>-3.4904641957538645</v>
      </c>
      <c r="Q1290" s="8">
        <f t="shared" si="124"/>
        <v>-3.4904641957538645</v>
      </c>
      <c r="R1290" s="8">
        <f t="shared" si="125"/>
        <v>-3.4904641957538645</v>
      </c>
    </row>
    <row r="1291" spans="1:18" x14ac:dyDescent="0.25">
      <c r="A1291" s="7">
        <f t="shared" si="120"/>
        <v>258</v>
      </c>
      <c r="B1291" s="2">
        <v>44804</v>
      </c>
      <c r="C1291" s="3">
        <v>26.75</v>
      </c>
      <c r="D1291" s="3">
        <v>27.18</v>
      </c>
      <c r="E1291" s="3">
        <v>26.42</v>
      </c>
      <c r="F1291" s="3">
        <v>26.82</v>
      </c>
      <c r="G1291" s="3">
        <v>3968200</v>
      </c>
      <c r="H1291" s="8">
        <f t="shared" si="121"/>
        <v>-3.4904641957538645</v>
      </c>
      <c r="I1291">
        <f t="shared" si="122"/>
        <v>27.185999999999996</v>
      </c>
      <c r="J1291" s="6" cm="1">
        <f t="array" ref="J1291">_xlfn.STDEV.S(IF($A:$A=A1291, $F:$F))</f>
        <v>0.42945314063352641</v>
      </c>
      <c r="P1291" s="8">
        <f t="shared" si="123"/>
        <v>-3.4904641957538645</v>
      </c>
      <c r="Q1291" s="8">
        <f t="shared" si="124"/>
        <v>-3.4904641957538645</v>
      </c>
      <c r="R1291" s="8">
        <f t="shared" si="125"/>
        <v>-3.4904641957538645</v>
      </c>
    </row>
    <row r="1292" spans="1:18" x14ac:dyDescent="0.25">
      <c r="A1292" s="7">
        <f t="shared" si="120"/>
        <v>259</v>
      </c>
      <c r="B1292" s="2">
        <v>44809</v>
      </c>
      <c r="C1292" s="3">
        <v>26.82</v>
      </c>
      <c r="D1292" s="3">
        <v>27.5</v>
      </c>
      <c r="E1292" s="3">
        <v>26.53</v>
      </c>
      <c r="F1292" s="3">
        <v>27.03</v>
      </c>
      <c r="G1292" s="3">
        <v>4934700</v>
      </c>
      <c r="H1292" s="8">
        <f t="shared" si="121"/>
        <v>-1.0358860525342253</v>
      </c>
      <c r="I1292">
        <f t="shared" si="122"/>
        <v>26.956</v>
      </c>
      <c r="J1292" s="6" cm="1">
        <f t="array" ref="J1292">_xlfn.STDEV.S(IF($A:$A=A1292, $F:$F))</f>
        <v>0.35217893179462018</v>
      </c>
      <c r="P1292" s="8">
        <f t="shared" si="123"/>
        <v>-1.0358860525342253</v>
      </c>
      <c r="Q1292" s="8">
        <f t="shared" si="124"/>
        <v>-1.0358860525342253</v>
      </c>
      <c r="R1292" s="8">
        <f t="shared" si="125"/>
        <v>-1.0358860525342253</v>
      </c>
    </row>
    <row r="1293" spans="1:18" x14ac:dyDescent="0.25">
      <c r="A1293" s="7">
        <f t="shared" si="120"/>
        <v>259</v>
      </c>
      <c r="B1293" s="2">
        <v>44810</v>
      </c>
      <c r="C1293" s="3">
        <v>27.32</v>
      </c>
      <c r="D1293" s="3">
        <v>27.76</v>
      </c>
      <c r="E1293" s="3">
        <v>27</v>
      </c>
      <c r="F1293" s="3">
        <v>27.22</v>
      </c>
      <c r="G1293" s="3">
        <v>6406300</v>
      </c>
      <c r="H1293" s="8">
        <f t="shared" si="121"/>
        <v>-1.0358860525342253</v>
      </c>
      <c r="I1293">
        <f t="shared" si="122"/>
        <v>26.956</v>
      </c>
      <c r="J1293" s="6" cm="1">
        <f t="array" ref="J1293">_xlfn.STDEV.S(IF($A:$A=A1293, $F:$F))</f>
        <v>0.35217893179462018</v>
      </c>
      <c r="P1293" s="8">
        <f t="shared" si="123"/>
        <v>-1.0358860525342253</v>
      </c>
      <c r="Q1293" s="8">
        <f t="shared" si="124"/>
        <v>-1.0358860525342253</v>
      </c>
      <c r="R1293" s="8">
        <f t="shared" si="125"/>
        <v>-1.0358860525342253</v>
      </c>
    </row>
    <row r="1294" spans="1:18" x14ac:dyDescent="0.25">
      <c r="A1294" s="7">
        <f t="shared" si="120"/>
        <v>259</v>
      </c>
      <c r="B1294" s="2">
        <v>44811</v>
      </c>
      <c r="C1294" s="3">
        <v>27.18</v>
      </c>
      <c r="D1294" s="3">
        <v>28.34</v>
      </c>
      <c r="E1294" s="3">
        <v>27.14</v>
      </c>
      <c r="F1294" s="3">
        <v>27.32</v>
      </c>
      <c r="G1294" s="3">
        <v>11774900</v>
      </c>
      <c r="H1294" s="8">
        <f t="shared" si="121"/>
        <v>-1.0358860525342253</v>
      </c>
      <c r="I1294">
        <f t="shared" si="122"/>
        <v>26.956</v>
      </c>
      <c r="J1294" s="6" cm="1">
        <f t="array" ref="J1294">_xlfn.STDEV.S(IF($A:$A=A1294, $F:$F))</f>
        <v>0.35217893179462018</v>
      </c>
      <c r="P1294" s="8">
        <f t="shared" si="123"/>
        <v>-1.0358860525342253</v>
      </c>
      <c r="Q1294" s="8">
        <f t="shared" si="124"/>
        <v>-1.0358860525342253</v>
      </c>
      <c r="R1294" s="8">
        <f t="shared" si="125"/>
        <v>-1.0358860525342253</v>
      </c>
    </row>
    <row r="1295" spans="1:18" x14ac:dyDescent="0.25">
      <c r="A1295" s="7">
        <f t="shared" si="120"/>
        <v>259</v>
      </c>
      <c r="B1295" s="2">
        <v>44812</v>
      </c>
      <c r="C1295" s="3">
        <v>27.61</v>
      </c>
      <c r="D1295" s="3">
        <v>27.69</v>
      </c>
      <c r="E1295" s="3">
        <v>26.46</v>
      </c>
      <c r="F1295" s="3">
        <v>26.46</v>
      </c>
      <c r="G1295" s="3">
        <v>6190500</v>
      </c>
      <c r="H1295" s="8">
        <f t="shared" si="121"/>
        <v>-1.0358860525342253</v>
      </c>
      <c r="I1295">
        <f t="shared" si="122"/>
        <v>26.956</v>
      </c>
      <c r="J1295" s="6" cm="1">
        <f t="array" ref="J1295">_xlfn.STDEV.S(IF($A:$A=A1295, $F:$F))</f>
        <v>0.35217893179462018</v>
      </c>
      <c r="P1295" s="8">
        <f t="shared" si="123"/>
        <v>-1.0358860525342253</v>
      </c>
      <c r="Q1295" s="8">
        <f t="shared" si="124"/>
        <v>-1.0358860525342253</v>
      </c>
      <c r="R1295" s="8">
        <f t="shared" si="125"/>
        <v>-1.0358860525342253</v>
      </c>
    </row>
    <row r="1296" spans="1:18" x14ac:dyDescent="0.25">
      <c r="A1296" s="7">
        <f t="shared" si="120"/>
        <v>259</v>
      </c>
      <c r="B1296" s="2">
        <v>44813</v>
      </c>
      <c r="C1296" s="3">
        <v>26.67</v>
      </c>
      <c r="D1296" s="3">
        <v>26.82</v>
      </c>
      <c r="E1296" s="3">
        <v>25.01</v>
      </c>
      <c r="F1296" s="3">
        <v>26.75</v>
      </c>
      <c r="G1296" s="3">
        <v>8437000</v>
      </c>
      <c r="H1296" s="8">
        <f t="shared" si="121"/>
        <v>-1.0358860525342253</v>
      </c>
      <c r="I1296">
        <f t="shared" si="122"/>
        <v>26.956</v>
      </c>
      <c r="J1296" s="6" cm="1">
        <f t="array" ref="J1296">_xlfn.STDEV.S(IF($A:$A=A1296, $F:$F))</f>
        <v>0.35217893179462018</v>
      </c>
      <c r="P1296" s="8">
        <f t="shared" si="123"/>
        <v>-1.0358860525342253</v>
      </c>
      <c r="Q1296" s="8">
        <f t="shared" si="124"/>
        <v>-1.0358860525342253</v>
      </c>
      <c r="R1296" s="8">
        <f t="shared" si="125"/>
        <v>-1.0358860525342253</v>
      </c>
    </row>
    <row r="1297" spans="1:18" x14ac:dyDescent="0.25">
      <c r="A1297" s="7">
        <f t="shared" si="120"/>
        <v>260</v>
      </c>
      <c r="B1297" s="2">
        <v>44816</v>
      </c>
      <c r="C1297" s="3">
        <v>26.75</v>
      </c>
      <c r="D1297" s="3">
        <v>27.11</v>
      </c>
      <c r="E1297" s="3">
        <v>25.88</v>
      </c>
      <c r="F1297" s="3">
        <v>25.88</v>
      </c>
      <c r="G1297" s="3">
        <v>4541752</v>
      </c>
      <c r="H1297" s="8">
        <f t="shared" si="121"/>
        <v>-2.5115919629057135</v>
      </c>
      <c r="I1297">
        <f t="shared" si="122"/>
        <v>25.915999999999997</v>
      </c>
      <c r="J1297" s="6" cm="1">
        <f t="array" ref="J1297">_xlfn.STDEV.S(IF($A:$A=A1297, $F:$F))</f>
        <v>0.49287929556839816</v>
      </c>
      <c r="P1297" s="8">
        <f t="shared" si="123"/>
        <v>-2.5115919629057135</v>
      </c>
      <c r="Q1297" s="8">
        <f t="shared" si="124"/>
        <v>-2.5115919629057135</v>
      </c>
      <c r="R1297" s="8">
        <f t="shared" si="125"/>
        <v>-2.5115919629057135</v>
      </c>
    </row>
    <row r="1298" spans="1:18" x14ac:dyDescent="0.25">
      <c r="A1298" s="7">
        <f t="shared" si="120"/>
        <v>260</v>
      </c>
      <c r="B1298" s="2">
        <v>44817</v>
      </c>
      <c r="C1298" s="3">
        <v>25.99</v>
      </c>
      <c r="D1298" s="3">
        <v>26.24</v>
      </c>
      <c r="E1298" s="3">
        <v>25.34</v>
      </c>
      <c r="F1298" s="3">
        <v>25.81</v>
      </c>
      <c r="G1298" s="3">
        <v>4987967</v>
      </c>
      <c r="H1298" s="8">
        <f t="shared" si="121"/>
        <v>-2.5115919629057135</v>
      </c>
      <c r="I1298">
        <f t="shared" si="122"/>
        <v>25.915999999999997</v>
      </c>
      <c r="J1298" s="6" cm="1">
        <f t="array" ref="J1298">_xlfn.STDEV.S(IF($A:$A=A1298, $F:$F))</f>
        <v>0.49287929556839816</v>
      </c>
      <c r="P1298" s="8">
        <f t="shared" si="123"/>
        <v>-2.5115919629057135</v>
      </c>
      <c r="Q1298" s="8">
        <f t="shared" si="124"/>
        <v>-2.5115919629057135</v>
      </c>
      <c r="R1298" s="8">
        <f t="shared" si="125"/>
        <v>-2.5115919629057135</v>
      </c>
    </row>
    <row r="1299" spans="1:18" x14ac:dyDescent="0.25">
      <c r="A1299" s="7">
        <f t="shared" si="120"/>
        <v>260</v>
      </c>
      <c r="B1299" s="2">
        <v>44818</v>
      </c>
      <c r="C1299" s="3">
        <v>25.3</v>
      </c>
      <c r="D1299" s="3">
        <v>26.89</v>
      </c>
      <c r="E1299" s="3">
        <v>25.16</v>
      </c>
      <c r="F1299" s="3">
        <v>26.6</v>
      </c>
      <c r="G1299" s="3">
        <v>7098482</v>
      </c>
      <c r="H1299" s="8">
        <f t="shared" si="121"/>
        <v>-2.5115919629057135</v>
      </c>
      <c r="I1299">
        <f t="shared" si="122"/>
        <v>25.915999999999997</v>
      </c>
      <c r="J1299" s="6" cm="1">
        <f t="array" ref="J1299">_xlfn.STDEV.S(IF($A:$A=A1299, $F:$F))</f>
        <v>0.49287929556839816</v>
      </c>
      <c r="P1299" s="8">
        <f t="shared" si="123"/>
        <v>-2.5115919629057135</v>
      </c>
      <c r="Q1299" s="8">
        <f t="shared" si="124"/>
        <v>-2.5115919629057135</v>
      </c>
      <c r="R1299" s="8">
        <f t="shared" si="125"/>
        <v>-2.5115919629057135</v>
      </c>
    </row>
    <row r="1300" spans="1:18" x14ac:dyDescent="0.25">
      <c r="A1300" s="7">
        <f t="shared" si="120"/>
        <v>260</v>
      </c>
      <c r="B1300" s="2">
        <v>44819</v>
      </c>
      <c r="C1300" s="3">
        <v>26.6</v>
      </c>
      <c r="D1300" s="3">
        <v>26.75</v>
      </c>
      <c r="E1300" s="3">
        <v>26.06</v>
      </c>
      <c r="F1300" s="3">
        <v>26.06</v>
      </c>
      <c r="G1300" s="3">
        <v>3009322</v>
      </c>
      <c r="H1300" s="8">
        <f t="shared" si="121"/>
        <v>-2.5115919629057135</v>
      </c>
      <c r="I1300">
        <f t="shared" si="122"/>
        <v>25.915999999999997</v>
      </c>
      <c r="J1300" s="6" cm="1">
        <f t="array" ref="J1300">_xlfn.STDEV.S(IF($A:$A=A1300, $F:$F))</f>
        <v>0.49287929556839816</v>
      </c>
      <c r="P1300" s="8">
        <f t="shared" si="123"/>
        <v>-2.5115919629057135</v>
      </c>
      <c r="Q1300" s="8">
        <f t="shared" si="124"/>
        <v>-2.5115919629057135</v>
      </c>
      <c r="R1300" s="8">
        <f t="shared" si="125"/>
        <v>-2.5115919629057135</v>
      </c>
    </row>
    <row r="1301" spans="1:18" x14ac:dyDescent="0.25">
      <c r="A1301" s="7">
        <f t="shared" si="120"/>
        <v>260</v>
      </c>
      <c r="B1301" s="2">
        <v>44820</v>
      </c>
      <c r="C1301" s="3">
        <v>25.99</v>
      </c>
      <c r="D1301" s="3">
        <v>26.02</v>
      </c>
      <c r="E1301" s="3">
        <v>25.01</v>
      </c>
      <c r="F1301" s="3">
        <v>25.23</v>
      </c>
      <c r="G1301" s="3">
        <v>5048963</v>
      </c>
      <c r="H1301" s="8">
        <f t="shared" si="121"/>
        <v>-2.5115919629057135</v>
      </c>
      <c r="I1301">
        <f t="shared" si="122"/>
        <v>25.915999999999997</v>
      </c>
      <c r="J1301" s="6" cm="1">
        <f t="array" ref="J1301">_xlfn.STDEV.S(IF($A:$A=A1301, $F:$F))</f>
        <v>0.49287929556839816</v>
      </c>
      <c r="P1301" s="8">
        <f t="shared" si="123"/>
        <v>-2.5115919629057135</v>
      </c>
      <c r="Q1301" s="8">
        <f t="shared" si="124"/>
        <v>-2.5115919629057135</v>
      </c>
      <c r="R1301" s="8">
        <f t="shared" si="125"/>
        <v>-2.5115919629057135</v>
      </c>
    </row>
    <row r="1302" spans="1:18" x14ac:dyDescent="0.25">
      <c r="A1302" s="7">
        <f t="shared" si="120"/>
        <v>261</v>
      </c>
      <c r="B1302" s="2">
        <v>44823</v>
      </c>
      <c r="C1302" s="3">
        <v>25.19</v>
      </c>
      <c r="D1302" s="3">
        <v>25.19</v>
      </c>
      <c r="E1302" s="3">
        <v>23.49</v>
      </c>
      <c r="F1302" s="3">
        <v>23.49</v>
      </c>
      <c r="G1302" s="3">
        <v>7136565</v>
      </c>
      <c r="H1302" s="8">
        <f t="shared" si="121"/>
        <v>0.29799914857386245</v>
      </c>
      <c r="I1302">
        <f t="shared" si="122"/>
        <v>23.779999999999998</v>
      </c>
      <c r="J1302" s="6" cm="1">
        <f t="array" ref="J1302">_xlfn.STDEV.S(IF($A:$A=A1302, $F:$F))</f>
        <v>0.38774991940682646</v>
      </c>
      <c r="P1302" s="8">
        <f t="shared" si="123"/>
        <v>0.29799914857386245</v>
      </c>
      <c r="Q1302" s="8">
        <f t="shared" si="124"/>
        <v>0.29799914857386245</v>
      </c>
      <c r="R1302" s="8">
        <f t="shared" si="125"/>
        <v>0.29799914857386245</v>
      </c>
    </row>
    <row r="1303" spans="1:18" x14ac:dyDescent="0.25">
      <c r="A1303" s="7">
        <f t="shared" si="120"/>
        <v>261</v>
      </c>
      <c r="B1303" s="2">
        <v>44824</v>
      </c>
      <c r="C1303" s="3">
        <v>23.64</v>
      </c>
      <c r="D1303" s="3">
        <v>24.18</v>
      </c>
      <c r="E1303" s="3">
        <v>22.7</v>
      </c>
      <c r="F1303" s="3">
        <v>24</v>
      </c>
      <c r="G1303" s="3">
        <v>7332115</v>
      </c>
      <c r="H1303" s="8">
        <f t="shared" si="121"/>
        <v>0.29799914857386245</v>
      </c>
      <c r="I1303">
        <f t="shared" si="122"/>
        <v>23.779999999999998</v>
      </c>
      <c r="J1303" s="6" cm="1">
        <f t="array" ref="J1303">_xlfn.STDEV.S(IF($A:$A=A1303, $F:$F))</f>
        <v>0.38774991940682646</v>
      </c>
      <c r="P1303" s="8">
        <f t="shared" si="123"/>
        <v>0.29799914857386245</v>
      </c>
      <c r="Q1303" s="8">
        <f t="shared" si="124"/>
        <v>0.29799914857386245</v>
      </c>
      <c r="R1303" s="8">
        <f t="shared" si="125"/>
        <v>0.29799914857386245</v>
      </c>
    </row>
    <row r="1304" spans="1:18" x14ac:dyDescent="0.25">
      <c r="A1304" s="7">
        <f t="shared" si="120"/>
        <v>261</v>
      </c>
      <c r="B1304" s="2">
        <v>44825</v>
      </c>
      <c r="C1304" s="3">
        <v>23.71</v>
      </c>
      <c r="D1304" s="3">
        <v>24.03</v>
      </c>
      <c r="E1304" s="3">
        <v>23.35</v>
      </c>
      <c r="F1304" s="3">
        <v>23.49</v>
      </c>
      <c r="G1304" s="3">
        <v>2831503</v>
      </c>
      <c r="H1304" s="8">
        <f t="shared" si="121"/>
        <v>0.29799914857386245</v>
      </c>
      <c r="I1304">
        <f t="shared" si="122"/>
        <v>23.779999999999998</v>
      </c>
      <c r="J1304" s="6" cm="1">
        <f t="array" ref="J1304">_xlfn.STDEV.S(IF($A:$A=A1304, $F:$F))</f>
        <v>0.38774991940682646</v>
      </c>
      <c r="P1304" s="8">
        <f t="shared" si="123"/>
        <v>0.29799914857386245</v>
      </c>
      <c r="Q1304" s="8">
        <f t="shared" si="124"/>
        <v>0.29799914857386245</v>
      </c>
      <c r="R1304" s="8">
        <f t="shared" si="125"/>
        <v>0.29799914857386245</v>
      </c>
    </row>
    <row r="1305" spans="1:18" x14ac:dyDescent="0.25">
      <c r="A1305" s="7">
        <f t="shared" si="120"/>
        <v>261</v>
      </c>
      <c r="B1305" s="2">
        <v>44826</v>
      </c>
      <c r="C1305" s="3">
        <v>23.2</v>
      </c>
      <c r="D1305" s="3">
        <v>24.43</v>
      </c>
      <c r="E1305" s="3">
        <v>23.2</v>
      </c>
      <c r="F1305" s="3">
        <v>24.36</v>
      </c>
      <c r="G1305" s="3">
        <v>6449443</v>
      </c>
      <c r="H1305" s="8">
        <f t="shared" si="121"/>
        <v>0.29799914857386245</v>
      </c>
      <c r="I1305">
        <f t="shared" si="122"/>
        <v>23.779999999999998</v>
      </c>
      <c r="J1305" s="6" cm="1">
        <f t="array" ref="J1305">_xlfn.STDEV.S(IF($A:$A=A1305, $F:$F))</f>
        <v>0.38774991940682646</v>
      </c>
      <c r="P1305" s="8">
        <f t="shared" si="123"/>
        <v>0.29799914857386245</v>
      </c>
      <c r="Q1305" s="8">
        <f t="shared" si="124"/>
        <v>0.29799914857386245</v>
      </c>
      <c r="R1305" s="8">
        <f t="shared" si="125"/>
        <v>0.29799914857386245</v>
      </c>
    </row>
    <row r="1306" spans="1:18" x14ac:dyDescent="0.25">
      <c r="A1306" s="7">
        <f t="shared" si="120"/>
        <v>261</v>
      </c>
      <c r="B1306" s="2">
        <v>44827</v>
      </c>
      <c r="C1306" s="3">
        <v>24.32</v>
      </c>
      <c r="D1306" s="3">
        <v>24.47</v>
      </c>
      <c r="E1306" s="3">
        <v>23.56</v>
      </c>
      <c r="F1306" s="3">
        <v>23.56</v>
      </c>
      <c r="G1306" s="3">
        <v>3677122</v>
      </c>
      <c r="H1306" s="8">
        <f t="shared" si="121"/>
        <v>0.29799914857386245</v>
      </c>
      <c r="I1306">
        <f t="shared" si="122"/>
        <v>23.779999999999998</v>
      </c>
      <c r="J1306" s="6" cm="1">
        <f t="array" ref="J1306">_xlfn.STDEV.S(IF($A:$A=A1306, $F:$F))</f>
        <v>0.38774991940682646</v>
      </c>
      <c r="P1306" s="8">
        <f t="shared" si="123"/>
        <v>0.29799914857386245</v>
      </c>
      <c r="Q1306" s="8">
        <f t="shared" si="124"/>
        <v>0.29799914857386245</v>
      </c>
      <c r="R1306" s="8">
        <f t="shared" si="125"/>
        <v>0.29799914857386245</v>
      </c>
    </row>
    <row r="1307" spans="1:18" x14ac:dyDescent="0.25">
      <c r="A1307" s="7">
        <f t="shared" si="120"/>
        <v>262</v>
      </c>
      <c r="B1307" s="2">
        <v>44830</v>
      </c>
      <c r="C1307" s="3">
        <v>22.77</v>
      </c>
      <c r="D1307" s="3">
        <v>23.1</v>
      </c>
      <c r="E1307" s="3">
        <v>21.94</v>
      </c>
      <c r="F1307" s="3">
        <v>22.19</v>
      </c>
      <c r="G1307" s="3">
        <v>8035003</v>
      </c>
      <c r="H1307" s="8">
        <f t="shared" si="121"/>
        <v>-4.2361424064894155</v>
      </c>
      <c r="I1307">
        <f t="shared" si="122"/>
        <v>21.756</v>
      </c>
      <c r="J1307" s="6" cm="1">
        <f t="array" ref="J1307">_xlfn.STDEV.S(IF($A:$A=A1307, $F:$F))</f>
        <v>0.67611389573059422</v>
      </c>
      <c r="P1307" s="8">
        <f t="shared" si="123"/>
        <v>-4.2361424064894155</v>
      </c>
      <c r="Q1307" s="8">
        <f t="shared" si="124"/>
        <v>-4.2361424064894155</v>
      </c>
      <c r="R1307" s="8">
        <f t="shared" si="125"/>
        <v>-4.2361424064894155</v>
      </c>
    </row>
    <row r="1308" spans="1:18" x14ac:dyDescent="0.25">
      <c r="A1308" s="7">
        <f t="shared" si="120"/>
        <v>262</v>
      </c>
      <c r="B1308" s="2">
        <v>44831</v>
      </c>
      <c r="C1308" s="3">
        <v>22.41</v>
      </c>
      <c r="D1308" s="3">
        <v>22.95</v>
      </c>
      <c r="E1308" s="3">
        <v>22.05</v>
      </c>
      <c r="F1308" s="3">
        <v>22.26</v>
      </c>
      <c r="G1308" s="3">
        <v>3787848</v>
      </c>
      <c r="H1308" s="8">
        <f t="shared" si="121"/>
        <v>-4.2361424064894155</v>
      </c>
      <c r="I1308">
        <f t="shared" si="122"/>
        <v>21.756</v>
      </c>
      <c r="J1308" s="6" cm="1">
        <f t="array" ref="J1308">_xlfn.STDEV.S(IF($A:$A=A1308, $F:$F))</f>
        <v>0.67611389573059422</v>
      </c>
      <c r="P1308" s="8">
        <f t="shared" si="123"/>
        <v>-4.2361424064894155</v>
      </c>
      <c r="Q1308" s="8">
        <f t="shared" si="124"/>
        <v>-4.2361424064894155</v>
      </c>
      <c r="R1308" s="8">
        <f t="shared" si="125"/>
        <v>-4.2361424064894155</v>
      </c>
    </row>
    <row r="1309" spans="1:18" x14ac:dyDescent="0.25">
      <c r="A1309" s="7">
        <f t="shared" si="120"/>
        <v>262</v>
      </c>
      <c r="B1309" s="2">
        <v>44832</v>
      </c>
      <c r="C1309" s="3">
        <v>22.12</v>
      </c>
      <c r="D1309" s="3">
        <v>22.81</v>
      </c>
      <c r="E1309" s="3">
        <v>22.12</v>
      </c>
      <c r="F1309" s="3">
        <v>22.26</v>
      </c>
      <c r="G1309" s="3">
        <v>5345129</v>
      </c>
      <c r="H1309" s="8">
        <f t="shared" si="121"/>
        <v>-4.2361424064894155</v>
      </c>
      <c r="I1309">
        <f t="shared" si="122"/>
        <v>21.756</v>
      </c>
      <c r="J1309" s="6" cm="1">
        <f t="array" ref="J1309">_xlfn.STDEV.S(IF($A:$A=A1309, $F:$F))</f>
        <v>0.67611389573059422</v>
      </c>
      <c r="P1309" s="8">
        <f t="shared" si="123"/>
        <v>-4.2361424064894155</v>
      </c>
      <c r="Q1309" s="8">
        <f t="shared" si="124"/>
        <v>-4.2361424064894155</v>
      </c>
      <c r="R1309" s="8">
        <f t="shared" si="125"/>
        <v>-4.2361424064894155</v>
      </c>
    </row>
    <row r="1310" spans="1:18" x14ac:dyDescent="0.25">
      <c r="A1310" s="7">
        <f t="shared" si="120"/>
        <v>262</v>
      </c>
      <c r="B1310" s="2">
        <v>44833</v>
      </c>
      <c r="C1310" s="3">
        <v>22.77</v>
      </c>
      <c r="D1310" s="3">
        <v>22.81</v>
      </c>
      <c r="E1310" s="3">
        <v>20.82</v>
      </c>
      <c r="F1310" s="3">
        <v>20.82</v>
      </c>
      <c r="G1310" s="3">
        <v>4747806</v>
      </c>
      <c r="H1310" s="8">
        <f t="shared" si="121"/>
        <v>-4.2361424064894155</v>
      </c>
      <c r="I1310">
        <f t="shared" si="122"/>
        <v>21.756</v>
      </c>
      <c r="J1310" s="6" cm="1">
        <f t="array" ref="J1310">_xlfn.STDEV.S(IF($A:$A=A1310, $F:$F))</f>
        <v>0.67611389573059422</v>
      </c>
      <c r="P1310" s="8">
        <f t="shared" si="123"/>
        <v>-4.2361424064894155</v>
      </c>
      <c r="Q1310" s="8">
        <f t="shared" si="124"/>
        <v>-4.2361424064894155</v>
      </c>
      <c r="R1310" s="8">
        <f t="shared" si="125"/>
        <v>-4.2361424064894155</v>
      </c>
    </row>
    <row r="1311" spans="1:18" x14ac:dyDescent="0.25">
      <c r="A1311" s="7">
        <f t="shared" si="120"/>
        <v>262</v>
      </c>
      <c r="B1311" s="2">
        <v>44834</v>
      </c>
      <c r="C1311" s="3">
        <v>20.6</v>
      </c>
      <c r="D1311" s="3">
        <v>21.43</v>
      </c>
      <c r="E1311" s="3">
        <v>19.52</v>
      </c>
      <c r="F1311" s="3">
        <v>21.25</v>
      </c>
      <c r="G1311" s="3">
        <v>6731099</v>
      </c>
      <c r="H1311" s="8">
        <f t="shared" si="121"/>
        <v>-4.2361424064894155</v>
      </c>
      <c r="I1311">
        <f t="shared" si="122"/>
        <v>21.756</v>
      </c>
      <c r="J1311" s="6" cm="1">
        <f t="array" ref="J1311">_xlfn.STDEV.S(IF($A:$A=A1311, $F:$F))</f>
        <v>0.67611389573059422</v>
      </c>
      <c r="P1311" s="8">
        <f t="shared" si="123"/>
        <v>-4.2361424064894155</v>
      </c>
      <c r="Q1311" s="8">
        <f t="shared" si="124"/>
        <v>-4.2361424064894155</v>
      </c>
      <c r="R1311" s="8">
        <f t="shared" si="125"/>
        <v>-4.2361424064894155</v>
      </c>
    </row>
    <row r="1312" spans="1:18" x14ac:dyDescent="0.25">
      <c r="A1312" s="7">
        <f t="shared" si="120"/>
        <v>263</v>
      </c>
      <c r="B1312" s="2">
        <v>44837</v>
      </c>
      <c r="C1312" s="3">
        <v>20.96</v>
      </c>
      <c r="D1312" s="3">
        <v>21</v>
      </c>
      <c r="E1312" s="3">
        <v>19.77</v>
      </c>
      <c r="F1312" s="3">
        <v>19.77</v>
      </c>
      <c r="G1312" s="3">
        <v>5692608</v>
      </c>
      <c r="H1312" s="8">
        <f t="shared" si="121"/>
        <v>-11.127971674253917</v>
      </c>
      <c r="I1312">
        <f t="shared" si="122"/>
        <v>18.802</v>
      </c>
      <c r="J1312" s="6" cm="1">
        <f t="array" ref="J1312">_xlfn.STDEV.S(IF($A:$A=A1312, $F:$F))</f>
        <v>0.95455225105805486</v>
      </c>
      <c r="P1312" s="8">
        <f t="shared" si="123"/>
        <v>-11.127971674253917</v>
      </c>
      <c r="Q1312" s="8">
        <f t="shared" si="124"/>
        <v>-11.127971674253917</v>
      </c>
      <c r="R1312" s="11">
        <f t="shared" si="125"/>
        <v>-11.127971674253917</v>
      </c>
    </row>
    <row r="1313" spans="1:18" x14ac:dyDescent="0.25">
      <c r="A1313" s="7">
        <f t="shared" si="120"/>
        <v>263</v>
      </c>
      <c r="B1313" s="2">
        <v>44838</v>
      </c>
      <c r="C1313" s="3">
        <v>20.100000000000001</v>
      </c>
      <c r="D1313" s="3">
        <v>20.239999999999998</v>
      </c>
      <c r="E1313" s="3">
        <v>18.5</v>
      </c>
      <c r="F1313" s="3">
        <v>18.5</v>
      </c>
      <c r="G1313" s="3">
        <v>5298370</v>
      </c>
      <c r="H1313" s="8">
        <f t="shared" si="121"/>
        <v>-11.127971674253917</v>
      </c>
      <c r="I1313">
        <f t="shared" si="122"/>
        <v>18.802</v>
      </c>
      <c r="J1313" s="6" cm="1">
        <f t="array" ref="J1313">_xlfn.STDEV.S(IF($A:$A=A1313, $F:$F))</f>
        <v>0.95455225105805486</v>
      </c>
      <c r="P1313" s="8">
        <f t="shared" si="123"/>
        <v>-11.127971674253917</v>
      </c>
      <c r="Q1313" s="8">
        <f t="shared" si="124"/>
        <v>-11.127971674253917</v>
      </c>
      <c r="R1313" s="11">
        <f t="shared" si="125"/>
        <v>-11.127971674253917</v>
      </c>
    </row>
    <row r="1314" spans="1:18" x14ac:dyDescent="0.25">
      <c r="A1314" s="7">
        <f t="shared" si="120"/>
        <v>263</v>
      </c>
      <c r="B1314" s="2">
        <v>44839</v>
      </c>
      <c r="C1314" s="3">
        <v>19.079999999999998</v>
      </c>
      <c r="D1314" s="3">
        <v>19.77</v>
      </c>
      <c r="E1314" s="3">
        <v>18.79</v>
      </c>
      <c r="F1314" s="3">
        <v>19.77</v>
      </c>
      <c r="G1314" s="3">
        <v>4737002</v>
      </c>
      <c r="H1314" s="8">
        <f t="shared" si="121"/>
        <v>-11.127971674253917</v>
      </c>
      <c r="I1314">
        <f t="shared" si="122"/>
        <v>18.802</v>
      </c>
      <c r="J1314" s="6" cm="1">
        <f t="array" ref="J1314">_xlfn.STDEV.S(IF($A:$A=A1314, $F:$F))</f>
        <v>0.95455225105805486</v>
      </c>
      <c r="P1314" s="8">
        <f t="shared" si="123"/>
        <v>-11.127971674253917</v>
      </c>
      <c r="Q1314" s="8">
        <f t="shared" si="124"/>
        <v>-11.127971674253917</v>
      </c>
      <c r="R1314" s="11">
        <f t="shared" si="125"/>
        <v>-11.127971674253917</v>
      </c>
    </row>
    <row r="1315" spans="1:18" x14ac:dyDescent="0.25">
      <c r="A1315" s="7">
        <f t="shared" si="120"/>
        <v>263</v>
      </c>
      <c r="B1315" s="2">
        <v>44840</v>
      </c>
      <c r="C1315" s="3">
        <v>19.59</v>
      </c>
      <c r="D1315" s="3">
        <v>19.88</v>
      </c>
      <c r="E1315" s="3">
        <v>18.399999999999999</v>
      </c>
      <c r="F1315" s="3">
        <v>18.399999999999999</v>
      </c>
      <c r="G1315" s="3">
        <v>4574812</v>
      </c>
      <c r="H1315" s="8">
        <f t="shared" si="121"/>
        <v>-11.127971674253917</v>
      </c>
      <c r="I1315">
        <f t="shared" si="122"/>
        <v>18.802</v>
      </c>
      <c r="J1315" s="6" cm="1">
        <f t="array" ref="J1315">_xlfn.STDEV.S(IF($A:$A=A1315, $F:$F))</f>
        <v>0.95455225105805486</v>
      </c>
      <c r="P1315" s="8">
        <f t="shared" si="123"/>
        <v>-11.127971674253917</v>
      </c>
      <c r="Q1315" s="8">
        <f t="shared" si="124"/>
        <v>-11.127971674253917</v>
      </c>
      <c r="R1315" s="11">
        <f t="shared" si="125"/>
        <v>-11.127971674253917</v>
      </c>
    </row>
    <row r="1316" spans="1:18" x14ac:dyDescent="0.25">
      <c r="A1316" s="7">
        <f t="shared" si="120"/>
        <v>263</v>
      </c>
      <c r="B1316" s="2">
        <v>44841</v>
      </c>
      <c r="C1316" s="3">
        <v>17.71</v>
      </c>
      <c r="D1316" s="3">
        <v>18.22</v>
      </c>
      <c r="E1316" s="3">
        <v>17.13</v>
      </c>
      <c r="F1316" s="3">
        <v>17.57</v>
      </c>
      <c r="G1316" s="3">
        <v>7876145</v>
      </c>
      <c r="H1316" s="8">
        <f t="shared" si="121"/>
        <v>-11.127971674253917</v>
      </c>
      <c r="I1316">
        <f t="shared" si="122"/>
        <v>18.802</v>
      </c>
      <c r="J1316" s="6" cm="1">
        <f t="array" ref="J1316">_xlfn.STDEV.S(IF($A:$A=A1316, $F:$F))</f>
        <v>0.95455225105805486</v>
      </c>
      <c r="P1316" s="8">
        <f t="shared" si="123"/>
        <v>-11.127971674253917</v>
      </c>
      <c r="Q1316" s="8">
        <f t="shared" si="124"/>
        <v>-11.127971674253917</v>
      </c>
      <c r="R1316" s="11">
        <f t="shared" si="125"/>
        <v>-11.127971674253917</v>
      </c>
    </row>
    <row r="1317" spans="1:18" x14ac:dyDescent="0.25">
      <c r="A1317" s="7">
        <f t="shared" si="120"/>
        <v>264</v>
      </c>
      <c r="B1317" s="2">
        <v>44844</v>
      </c>
      <c r="C1317" s="3">
        <v>17.57</v>
      </c>
      <c r="D1317" s="3">
        <v>18.79</v>
      </c>
      <c r="E1317" s="3">
        <v>17.57</v>
      </c>
      <c r="F1317" s="3">
        <v>18.79</v>
      </c>
      <c r="G1317" s="3">
        <v>7600507</v>
      </c>
      <c r="H1317" s="8">
        <f t="shared" si="121"/>
        <v>6.1734965407131464</v>
      </c>
      <c r="I1317">
        <f t="shared" si="122"/>
        <v>18.98</v>
      </c>
      <c r="J1317" s="6" cm="1">
        <f t="array" ref="J1317">_xlfn.STDEV.S(IF($A:$A=A1317, $F:$F))</f>
        <v>0.80156097709406948</v>
      </c>
      <c r="P1317" s="8">
        <f t="shared" si="123"/>
        <v>6.1734965407131464</v>
      </c>
      <c r="Q1317" s="8">
        <f t="shared" si="124"/>
        <v>6.1734965407131464</v>
      </c>
      <c r="R1317" s="8">
        <f t="shared" si="125"/>
        <v>6.1734965407131464</v>
      </c>
    </row>
    <row r="1318" spans="1:18" x14ac:dyDescent="0.25">
      <c r="A1318" s="7">
        <f t="shared" si="120"/>
        <v>264</v>
      </c>
      <c r="B1318" s="2">
        <v>44845</v>
      </c>
      <c r="C1318" s="3">
        <v>18.79</v>
      </c>
      <c r="D1318" s="3">
        <v>19.12</v>
      </c>
      <c r="E1318" s="3">
        <v>17.489999999999998</v>
      </c>
      <c r="F1318" s="3">
        <v>17.78</v>
      </c>
      <c r="G1318" s="3">
        <v>6960225</v>
      </c>
      <c r="H1318" s="8">
        <f t="shared" si="121"/>
        <v>6.1734965407131464</v>
      </c>
      <c r="I1318">
        <f t="shared" si="122"/>
        <v>18.98</v>
      </c>
      <c r="J1318" s="6" cm="1">
        <f t="array" ref="J1318">_xlfn.STDEV.S(IF($A:$A=A1318, $F:$F))</f>
        <v>0.80156097709406948</v>
      </c>
      <c r="P1318" s="8">
        <f t="shared" si="123"/>
        <v>6.1734965407131464</v>
      </c>
      <c r="Q1318" s="8">
        <f t="shared" si="124"/>
        <v>6.1734965407131464</v>
      </c>
      <c r="R1318" s="8">
        <f t="shared" si="125"/>
        <v>6.1734965407131464</v>
      </c>
    </row>
    <row r="1319" spans="1:18" x14ac:dyDescent="0.25">
      <c r="A1319" s="7">
        <f t="shared" si="120"/>
        <v>264</v>
      </c>
      <c r="B1319" s="2">
        <v>44846</v>
      </c>
      <c r="C1319" s="3">
        <v>18.14</v>
      </c>
      <c r="D1319" s="3">
        <v>19.010000000000002</v>
      </c>
      <c r="E1319" s="3">
        <v>17.89</v>
      </c>
      <c r="F1319" s="3">
        <v>19.010000000000002</v>
      </c>
      <c r="G1319" s="3">
        <v>6008851</v>
      </c>
      <c r="H1319" s="8">
        <f t="shared" si="121"/>
        <v>6.1734965407131464</v>
      </c>
      <c r="I1319">
        <f t="shared" si="122"/>
        <v>18.98</v>
      </c>
      <c r="J1319" s="6" cm="1">
        <f t="array" ref="J1319">_xlfn.STDEV.S(IF($A:$A=A1319, $F:$F))</f>
        <v>0.80156097709406948</v>
      </c>
      <c r="P1319" s="8">
        <f t="shared" si="123"/>
        <v>6.1734965407131464</v>
      </c>
      <c r="Q1319" s="8">
        <f t="shared" si="124"/>
        <v>6.1734965407131464</v>
      </c>
      <c r="R1319" s="8">
        <f t="shared" si="125"/>
        <v>6.1734965407131464</v>
      </c>
    </row>
    <row r="1320" spans="1:18" x14ac:dyDescent="0.25">
      <c r="A1320" s="7">
        <f t="shared" si="120"/>
        <v>264</v>
      </c>
      <c r="B1320" s="2">
        <v>44847</v>
      </c>
      <c r="C1320" s="3">
        <v>18.87</v>
      </c>
      <c r="D1320" s="3">
        <v>19.37</v>
      </c>
      <c r="E1320" s="3">
        <v>18.760000000000002</v>
      </c>
      <c r="F1320" s="3">
        <v>19.37</v>
      </c>
      <c r="G1320" s="3">
        <v>5025770</v>
      </c>
      <c r="H1320" s="8">
        <f t="shared" si="121"/>
        <v>6.1734965407131464</v>
      </c>
      <c r="I1320">
        <f t="shared" si="122"/>
        <v>18.98</v>
      </c>
      <c r="J1320" s="6" cm="1">
        <f t="array" ref="J1320">_xlfn.STDEV.S(IF($A:$A=A1320, $F:$F))</f>
        <v>0.80156097709406948</v>
      </c>
      <c r="P1320" s="8">
        <f t="shared" si="123"/>
        <v>6.1734965407131464</v>
      </c>
      <c r="Q1320" s="8">
        <f t="shared" si="124"/>
        <v>6.1734965407131464</v>
      </c>
      <c r="R1320" s="8">
        <f t="shared" si="125"/>
        <v>6.1734965407131464</v>
      </c>
    </row>
    <row r="1321" spans="1:18" x14ac:dyDescent="0.25">
      <c r="A1321" s="7">
        <f t="shared" si="120"/>
        <v>264</v>
      </c>
      <c r="B1321" s="2">
        <v>44848</v>
      </c>
      <c r="C1321" s="3">
        <v>19.95</v>
      </c>
      <c r="D1321" s="3">
        <v>20.38</v>
      </c>
      <c r="E1321" s="3">
        <v>19.73</v>
      </c>
      <c r="F1321" s="3">
        <v>19.95</v>
      </c>
      <c r="G1321" s="3">
        <v>7644791</v>
      </c>
      <c r="H1321" s="8">
        <f t="shared" si="121"/>
        <v>6.1734965407131464</v>
      </c>
      <c r="I1321">
        <f t="shared" si="122"/>
        <v>18.98</v>
      </c>
      <c r="J1321" s="6" cm="1">
        <f t="array" ref="J1321">_xlfn.STDEV.S(IF($A:$A=A1321, $F:$F))</f>
        <v>0.80156097709406948</v>
      </c>
      <c r="P1321" s="8">
        <f t="shared" si="123"/>
        <v>6.1734965407131464</v>
      </c>
      <c r="Q1321" s="8">
        <f t="shared" si="124"/>
        <v>6.1734965407131464</v>
      </c>
      <c r="R1321" s="8">
        <f t="shared" si="125"/>
        <v>6.1734965407131464</v>
      </c>
    </row>
    <row r="1322" spans="1:18" x14ac:dyDescent="0.25">
      <c r="A1322" s="7">
        <f t="shared" si="120"/>
        <v>265</v>
      </c>
      <c r="B1322" s="2">
        <v>44851</v>
      </c>
      <c r="C1322" s="3">
        <v>19.63</v>
      </c>
      <c r="D1322" s="3">
        <v>20.57</v>
      </c>
      <c r="E1322" s="3">
        <v>19.23</v>
      </c>
      <c r="F1322" s="3">
        <v>20.57</v>
      </c>
      <c r="G1322" s="3">
        <v>7778589</v>
      </c>
      <c r="H1322" s="8">
        <f t="shared" si="121"/>
        <v>-11.618862421001461</v>
      </c>
      <c r="I1322">
        <f t="shared" si="122"/>
        <v>19.683999999999997</v>
      </c>
      <c r="J1322" s="6" cm="1">
        <f t="array" ref="J1322">_xlfn.STDEV.S(IF($A:$A=A1322, $F:$F))</f>
        <v>0.9200163042033549</v>
      </c>
      <c r="P1322" s="8">
        <f t="shared" si="123"/>
        <v>-11.618862421001461</v>
      </c>
      <c r="Q1322" s="8">
        <f t="shared" si="124"/>
        <v>-11.618862421001461</v>
      </c>
      <c r="R1322" s="11">
        <f t="shared" si="125"/>
        <v>-11.618862421001461</v>
      </c>
    </row>
    <row r="1323" spans="1:18" x14ac:dyDescent="0.25">
      <c r="A1323" s="7">
        <f t="shared" si="120"/>
        <v>265</v>
      </c>
      <c r="B1323" s="2">
        <v>44852</v>
      </c>
      <c r="C1323" s="3">
        <v>20.96</v>
      </c>
      <c r="D1323" s="3">
        <v>20.96</v>
      </c>
      <c r="E1323" s="3">
        <v>20.02</v>
      </c>
      <c r="F1323" s="3">
        <v>20.13</v>
      </c>
      <c r="G1323" s="3">
        <v>6952948</v>
      </c>
      <c r="H1323" s="8">
        <f t="shared" si="121"/>
        <v>-11.618862421001461</v>
      </c>
      <c r="I1323">
        <f t="shared" si="122"/>
        <v>19.683999999999997</v>
      </c>
      <c r="J1323" s="6" cm="1">
        <f t="array" ref="J1323">_xlfn.STDEV.S(IF($A:$A=A1323, $F:$F))</f>
        <v>0.9200163042033549</v>
      </c>
      <c r="P1323" s="8">
        <f t="shared" si="123"/>
        <v>-11.618862421001461</v>
      </c>
      <c r="Q1323" s="8">
        <f t="shared" si="124"/>
        <v>-11.618862421001461</v>
      </c>
      <c r="R1323" s="11">
        <f t="shared" si="125"/>
        <v>-11.618862421001461</v>
      </c>
    </row>
    <row r="1324" spans="1:18" x14ac:dyDescent="0.25">
      <c r="A1324" s="7">
        <f t="shared" si="120"/>
        <v>265</v>
      </c>
      <c r="B1324" s="2">
        <v>44853</v>
      </c>
      <c r="C1324" s="3">
        <v>20.2</v>
      </c>
      <c r="D1324" s="3">
        <v>20.420000000000002</v>
      </c>
      <c r="E1324" s="3">
        <v>19.989999999999998</v>
      </c>
      <c r="F1324" s="3">
        <v>20.02</v>
      </c>
      <c r="G1324" s="3">
        <v>4351032</v>
      </c>
      <c r="H1324" s="8">
        <f t="shared" si="121"/>
        <v>-11.618862421001461</v>
      </c>
      <c r="I1324">
        <f t="shared" si="122"/>
        <v>19.683999999999997</v>
      </c>
      <c r="J1324" s="6" cm="1">
        <f t="array" ref="J1324">_xlfn.STDEV.S(IF($A:$A=A1324, $F:$F))</f>
        <v>0.9200163042033549</v>
      </c>
      <c r="P1324" s="8">
        <f t="shared" si="123"/>
        <v>-11.618862421001461</v>
      </c>
      <c r="Q1324" s="8">
        <f t="shared" si="124"/>
        <v>-11.618862421001461</v>
      </c>
      <c r="R1324" s="11">
        <f t="shared" si="125"/>
        <v>-11.618862421001461</v>
      </c>
    </row>
    <row r="1325" spans="1:18" x14ac:dyDescent="0.25">
      <c r="A1325" s="7">
        <f t="shared" si="120"/>
        <v>265</v>
      </c>
      <c r="B1325" s="2">
        <v>44854</v>
      </c>
      <c r="C1325" s="3">
        <v>19.91</v>
      </c>
      <c r="D1325" s="3">
        <v>20.13</v>
      </c>
      <c r="E1325" s="3">
        <v>19.440000000000001</v>
      </c>
      <c r="F1325" s="3">
        <v>19.52</v>
      </c>
      <c r="G1325" s="3">
        <v>5044339</v>
      </c>
      <c r="H1325" s="8">
        <f t="shared" si="121"/>
        <v>-11.618862421001461</v>
      </c>
      <c r="I1325">
        <f t="shared" si="122"/>
        <v>19.683999999999997</v>
      </c>
      <c r="J1325" s="6" cm="1">
        <f t="array" ref="J1325">_xlfn.STDEV.S(IF($A:$A=A1325, $F:$F))</f>
        <v>0.9200163042033549</v>
      </c>
      <c r="P1325" s="8">
        <f t="shared" si="123"/>
        <v>-11.618862421001461</v>
      </c>
      <c r="Q1325" s="8">
        <f t="shared" si="124"/>
        <v>-11.618862421001461</v>
      </c>
      <c r="R1325" s="11">
        <f t="shared" si="125"/>
        <v>-11.618862421001461</v>
      </c>
    </row>
    <row r="1326" spans="1:18" x14ac:dyDescent="0.25">
      <c r="A1326" s="7">
        <f t="shared" si="120"/>
        <v>265</v>
      </c>
      <c r="B1326" s="2">
        <v>44855</v>
      </c>
      <c r="C1326" s="3">
        <v>19.55</v>
      </c>
      <c r="D1326" s="3">
        <v>19.63</v>
      </c>
      <c r="E1326" s="3">
        <v>18.18</v>
      </c>
      <c r="F1326" s="3">
        <v>18.18</v>
      </c>
      <c r="G1326" s="3">
        <v>8348169</v>
      </c>
      <c r="H1326" s="8">
        <f t="shared" si="121"/>
        <v>-11.618862421001461</v>
      </c>
      <c r="I1326">
        <f t="shared" si="122"/>
        <v>19.683999999999997</v>
      </c>
      <c r="J1326" s="6" cm="1">
        <f t="array" ref="J1326">_xlfn.STDEV.S(IF($A:$A=A1326, $F:$F))</f>
        <v>0.9200163042033549</v>
      </c>
      <c r="P1326" s="8">
        <f t="shared" si="123"/>
        <v>-11.618862421001461</v>
      </c>
      <c r="Q1326" s="8">
        <f t="shared" si="124"/>
        <v>-11.618862421001461</v>
      </c>
      <c r="R1326" s="11">
        <f t="shared" si="125"/>
        <v>-11.618862421001461</v>
      </c>
    </row>
    <row r="1327" spans="1:18" x14ac:dyDescent="0.25">
      <c r="A1327" s="7">
        <f t="shared" si="120"/>
        <v>266</v>
      </c>
      <c r="B1327" s="2">
        <v>44858</v>
      </c>
      <c r="C1327" s="3">
        <v>18.07</v>
      </c>
      <c r="D1327" s="3">
        <v>18.36</v>
      </c>
      <c r="E1327" s="3">
        <v>16.91</v>
      </c>
      <c r="F1327" s="3">
        <v>16.91</v>
      </c>
      <c r="G1327" s="3">
        <v>8287970</v>
      </c>
      <c r="H1327" s="8">
        <f t="shared" si="121"/>
        <v>6.4458900059136601</v>
      </c>
      <c r="I1327">
        <f t="shared" si="122"/>
        <v>17.260000000000002</v>
      </c>
      <c r="J1327" s="6" cm="1">
        <f t="array" ref="J1327">_xlfn.STDEV.S(IF($A:$A=A1327, $F:$F))</f>
        <v>0.59025418253494821</v>
      </c>
      <c r="P1327" s="8">
        <f t="shared" si="123"/>
        <v>6.4458900059136601</v>
      </c>
      <c r="Q1327" s="8">
        <f t="shared" si="124"/>
        <v>6.4458900059136601</v>
      </c>
      <c r="R1327" s="8">
        <f t="shared" si="125"/>
        <v>6.4458900059136601</v>
      </c>
    </row>
    <row r="1328" spans="1:18" x14ac:dyDescent="0.25">
      <c r="A1328" s="7">
        <f t="shared" si="120"/>
        <v>266</v>
      </c>
      <c r="B1328" s="2">
        <v>44859</v>
      </c>
      <c r="C1328" s="3">
        <v>17.28</v>
      </c>
      <c r="D1328" s="3">
        <v>18.07</v>
      </c>
      <c r="E1328" s="3">
        <v>15.9</v>
      </c>
      <c r="F1328" s="3">
        <v>17.13</v>
      </c>
      <c r="G1328" s="3">
        <v>7603486</v>
      </c>
      <c r="H1328" s="8">
        <f t="shared" si="121"/>
        <v>6.4458900059136601</v>
      </c>
      <c r="I1328">
        <f t="shared" si="122"/>
        <v>17.260000000000002</v>
      </c>
      <c r="J1328" s="6" cm="1">
        <f t="array" ref="J1328">_xlfn.STDEV.S(IF($A:$A=A1328, $F:$F))</f>
        <v>0.59025418253494821</v>
      </c>
      <c r="P1328" s="8">
        <f t="shared" si="123"/>
        <v>6.4458900059136601</v>
      </c>
      <c r="Q1328" s="8">
        <f t="shared" si="124"/>
        <v>6.4458900059136601</v>
      </c>
      <c r="R1328" s="8">
        <f t="shared" si="125"/>
        <v>6.4458900059136601</v>
      </c>
    </row>
    <row r="1329" spans="1:18" x14ac:dyDescent="0.25">
      <c r="A1329" s="7">
        <f t="shared" si="120"/>
        <v>266</v>
      </c>
      <c r="B1329" s="2">
        <v>44860</v>
      </c>
      <c r="C1329" s="3">
        <v>17.600000000000001</v>
      </c>
      <c r="D1329" s="3">
        <v>17.64</v>
      </c>
      <c r="E1329" s="3">
        <v>16.55</v>
      </c>
      <c r="F1329" s="3">
        <v>16.55</v>
      </c>
      <c r="G1329" s="3">
        <v>3312840</v>
      </c>
      <c r="H1329" s="8">
        <f t="shared" si="121"/>
        <v>6.4458900059136601</v>
      </c>
      <c r="I1329">
        <f t="shared" si="122"/>
        <v>17.260000000000002</v>
      </c>
      <c r="J1329" s="6" cm="1">
        <f t="array" ref="J1329">_xlfn.STDEV.S(IF($A:$A=A1329, $F:$F))</f>
        <v>0.59025418253494821</v>
      </c>
      <c r="P1329" s="8">
        <f t="shared" si="123"/>
        <v>6.4458900059136601</v>
      </c>
      <c r="Q1329" s="8">
        <f t="shared" si="124"/>
        <v>6.4458900059136601</v>
      </c>
      <c r="R1329" s="8">
        <f t="shared" si="125"/>
        <v>6.4458900059136601</v>
      </c>
    </row>
    <row r="1330" spans="1:18" x14ac:dyDescent="0.25">
      <c r="A1330" s="7">
        <f t="shared" si="120"/>
        <v>266</v>
      </c>
      <c r="B1330" s="2">
        <v>44861</v>
      </c>
      <c r="C1330" s="3">
        <v>16.989999999999998</v>
      </c>
      <c r="D1330" s="3">
        <v>17.71</v>
      </c>
      <c r="E1330" s="3">
        <v>16.59</v>
      </c>
      <c r="F1330" s="3">
        <v>17.71</v>
      </c>
      <c r="G1330" s="3">
        <v>5605149</v>
      </c>
      <c r="H1330" s="8">
        <f t="shared" si="121"/>
        <v>6.4458900059136601</v>
      </c>
      <c r="I1330">
        <f t="shared" si="122"/>
        <v>17.260000000000002</v>
      </c>
      <c r="J1330" s="6" cm="1">
        <f t="array" ref="J1330">_xlfn.STDEV.S(IF($A:$A=A1330, $F:$F))</f>
        <v>0.59025418253494821</v>
      </c>
      <c r="P1330" s="8">
        <f t="shared" si="123"/>
        <v>6.4458900059136601</v>
      </c>
      <c r="Q1330" s="8">
        <f t="shared" si="124"/>
        <v>6.4458900059136601</v>
      </c>
      <c r="R1330" s="8">
        <f t="shared" si="125"/>
        <v>6.4458900059136601</v>
      </c>
    </row>
    <row r="1331" spans="1:18" x14ac:dyDescent="0.25">
      <c r="A1331" s="7">
        <f t="shared" si="120"/>
        <v>266</v>
      </c>
      <c r="B1331" s="2">
        <v>44862</v>
      </c>
      <c r="C1331" s="3">
        <v>18.25</v>
      </c>
      <c r="D1331" s="3">
        <v>18.579999999999998</v>
      </c>
      <c r="E1331" s="3">
        <v>18</v>
      </c>
      <c r="F1331" s="3">
        <v>18</v>
      </c>
      <c r="G1331" s="3">
        <v>7334999</v>
      </c>
      <c r="H1331" s="8">
        <f t="shared" si="121"/>
        <v>6.4458900059136601</v>
      </c>
      <c r="I1331">
        <f t="shared" si="122"/>
        <v>17.260000000000002</v>
      </c>
      <c r="J1331" s="6" cm="1">
        <f t="array" ref="J1331">_xlfn.STDEV.S(IF($A:$A=A1331, $F:$F))</f>
        <v>0.59025418253494821</v>
      </c>
      <c r="P1331" s="8">
        <f t="shared" si="123"/>
        <v>6.4458900059136601</v>
      </c>
      <c r="Q1331" s="8">
        <f t="shared" si="124"/>
        <v>6.4458900059136601</v>
      </c>
      <c r="R1331" s="8">
        <f t="shared" si="125"/>
        <v>6.4458900059136601</v>
      </c>
    </row>
    <row r="1332" spans="1:18" x14ac:dyDescent="0.25">
      <c r="A1332" s="7">
        <f t="shared" si="120"/>
        <v>267</v>
      </c>
      <c r="B1332" s="2">
        <v>44865</v>
      </c>
      <c r="C1332" s="3">
        <v>18</v>
      </c>
      <c r="D1332" s="3">
        <v>19.05</v>
      </c>
      <c r="E1332" s="3">
        <v>17.57</v>
      </c>
      <c r="F1332" s="3">
        <v>18.940000000000001</v>
      </c>
      <c r="G1332" s="3">
        <v>10629056</v>
      </c>
      <c r="H1332" s="8">
        <f t="shared" si="121"/>
        <v>-4.3822597676874437</v>
      </c>
      <c r="I1332">
        <f t="shared" si="122"/>
        <v>18.896000000000001</v>
      </c>
      <c r="J1332" s="6" cm="1">
        <f t="array" ref="J1332">_xlfn.STDEV.S(IF($A:$A=A1332, $F:$F))</f>
        <v>0.49155874521770099</v>
      </c>
      <c r="P1332" s="8">
        <f t="shared" si="123"/>
        <v>-4.3822597676874437</v>
      </c>
      <c r="Q1332" s="8">
        <f t="shared" si="124"/>
        <v>-4.3822597676874437</v>
      </c>
      <c r="R1332" s="8">
        <f t="shared" si="125"/>
        <v>-4.3822597676874437</v>
      </c>
    </row>
    <row r="1333" spans="1:18" x14ac:dyDescent="0.25">
      <c r="A1333" s="7">
        <f t="shared" si="120"/>
        <v>267</v>
      </c>
      <c r="B1333" s="2">
        <v>44866</v>
      </c>
      <c r="C1333" s="3">
        <v>19.3</v>
      </c>
      <c r="D1333" s="3">
        <v>19.66</v>
      </c>
      <c r="E1333" s="3">
        <v>19.079999999999998</v>
      </c>
      <c r="F1333" s="3">
        <v>19.12</v>
      </c>
      <c r="G1333" s="3">
        <v>6011951</v>
      </c>
      <c r="H1333" s="8">
        <f t="shared" si="121"/>
        <v>-4.3822597676874437</v>
      </c>
      <c r="I1333">
        <f t="shared" si="122"/>
        <v>18.896000000000001</v>
      </c>
      <c r="J1333" s="6" cm="1">
        <f t="array" ref="J1333">_xlfn.STDEV.S(IF($A:$A=A1333, $F:$F))</f>
        <v>0.49155874521770099</v>
      </c>
      <c r="P1333" s="8">
        <f t="shared" si="123"/>
        <v>-4.3822597676874437</v>
      </c>
      <c r="Q1333" s="8">
        <f t="shared" si="124"/>
        <v>-4.3822597676874437</v>
      </c>
      <c r="R1333" s="8">
        <f t="shared" si="125"/>
        <v>-4.3822597676874437</v>
      </c>
    </row>
    <row r="1334" spans="1:18" x14ac:dyDescent="0.25">
      <c r="A1334" s="7">
        <f t="shared" si="120"/>
        <v>267</v>
      </c>
      <c r="B1334" s="2">
        <v>44867</v>
      </c>
      <c r="C1334" s="3">
        <v>19.16</v>
      </c>
      <c r="D1334" s="3">
        <v>19.440000000000001</v>
      </c>
      <c r="E1334" s="3">
        <v>18.79</v>
      </c>
      <c r="F1334" s="3">
        <v>18.87</v>
      </c>
      <c r="G1334" s="3">
        <v>6101632</v>
      </c>
      <c r="H1334" s="8">
        <f t="shared" si="121"/>
        <v>-4.3822597676874437</v>
      </c>
      <c r="I1334">
        <f t="shared" si="122"/>
        <v>18.896000000000001</v>
      </c>
      <c r="J1334" s="6" cm="1">
        <f t="array" ref="J1334">_xlfn.STDEV.S(IF($A:$A=A1334, $F:$F))</f>
        <v>0.49155874521770099</v>
      </c>
      <c r="P1334" s="8">
        <f t="shared" si="123"/>
        <v>-4.3822597676874437</v>
      </c>
      <c r="Q1334" s="8">
        <f t="shared" si="124"/>
        <v>-4.3822597676874437</v>
      </c>
      <c r="R1334" s="8">
        <f t="shared" si="125"/>
        <v>-4.3822597676874437</v>
      </c>
    </row>
    <row r="1335" spans="1:18" x14ac:dyDescent="0.25">
      <c r="A1335" s="7">
        <f t="shared" si="120"/>
        <v>267</v>
      </c>
      <c r="B1335" s="2">
        <v>44868</v>
      </c>
      <c r="C1335" s="3">
        <v>18.579999999999998</v>
      </c>
      <c r="D1335" s="3">
        <v>19.66</v>
      </c>
      <c r="E1335" s="3">
        <v>18.5</v>
      </c>
      <c r="F1335" s="3">
        <v>19.440000000000001</v>
      </c>
      <c r="G1335" s="3">
        <v>7705510</v>
      </c>
      <c r="H1335" s="8">
        <f t="shared" si="121"/>
        <v>-4.3822597676874437</v>
      </c>
      <c r="I1335">
        <f t="shared" si="122"/>
        <v>18.896000000000001</v>
      </c>
      <c r="J1335" s="6" cm="1">
        <f t="array" ref="J1335">_xlfn.STDEV.S(IF($A:$A=A1335, $F:$F))</f>
        <v>0.49155874521770099</v>
      </c>
      <c r="P1335" s="8">
        <f t="shared" si="123"/>
        <v>-4.3822597676874437</v>
      </c>
      <c r="Q1335" s="8">
        <f t="shared" si="124"/>
        <v>-4.3822597676874437</v>
      </c>
      <c r="R1335" s="8">
        <f t="shared" si="125"/>
        <v>-4.3822597676874437</v>
      </c>
    </row>
    <row r="1336" spans="1:18" x14ac:dyDescent="0.25">
      <c r="A1336" s="7">
        <f t="shared" si="120"/>
        <v>267</v>
      </c>
      <c r="B1336" s="2">
        <v>44869</v>
      </c>
      <c r="C1336" s="3">
        <v>19.16</v>
      </c>
      <c r="D1336" s="3">
        <v>19.37</v>
      </c>
      <c r="E1336" s="3">
        <v>18.11</v>
      </c>
      <c r="F1336" s="3">
        <v>18.11</v>
      </c>
      <c r="G1336" s="3">
        <v>10838740</v>
      </c>
      <c r="H1336" s="8">
        <f t="shared" si="121"/>
        <v>-4.3822597676874437</v>
      </c>
      <c r="I1336">
        <f t="shared" si="122"/>
        <v>18.896000000000001</v>
      </c>
      <c r="J1336" s="6" cm="1">
        <f t="array" ref="J1336">_xlfn.STDEV.S(IF($A:$A=A1336, $F:$F))</f>
        <v>0.49155874521770099</v>
      </c>
      <c r="P1336" s="8">
        <f t="shared" si="123"/>
        <v>-4.3822597676874437</v>
      </c>
      <c r="Q1336" s="8">
        <f t="shared" si="124"/>
        <v>-4.3822597676874437</v>
      </c>
      <c r="R1336" s="8">
        <f t="shared" si="125"/>
        <v>-4.3822597676874437</v>
      </c>
    </row>
    <row r="1337" spans="1:18" x14ac:dyDescent="0.25">
      <c r="A1337" s="7">
        <f t="shared" si="120"/>
        <v>268</v>
      </c>
      <c r="B1337" s="2">
        <v>44872</v>
      </c>
      <c r="C1337" s="3">
        <v>18.14</v>
      </c>
      <c r="D1337" s="3">
        <v>18.36</v>
      </c>
      <c r="E1337" s="3">
        <v>16.84</v>
      </c>
      <c r="F1337" s="3">
        <v>16.84</v>
      </c>
      <c r="G1337" s="3">
        <v>9201916</v>
      </c>
      <c r="H1337" s="8">
        <f t="shared" si="121"/>
        <v>-12.410926365795724</v>
      </c>
      <c r="I1337">
        <f t="shared" si="122"/>
        <v>16.38</v>
      </c>
      <c r="J1337" s="6" cm="1">
        <f t="array" ref="J1337">_xlfn.STDEV.S(IF($A:$A=A1337, $F:$F))</f>
        <v>1.0926115503691138</v>
      </c>
      <c r="P1337" s="8">
        <f t="shared" si="123"/>
        <v>-12.410926365795724</v>
      </c>
      <c r="Q1337" s="8">
        <f t="shared" si="124"/>
        <v>-12.410926365795724</v>
      </c>
      <c r="R1337" s="11">
        <f t="shared" si="125"/>
        <v>-12.410926365795724</v>
      </c>
    </row>
    <row r="1338" spans="1:18" x14ac:dyDescent="0.25">
      <c r="A1338" s="7">
        <f t="shared" si="120"/>
        <v>268</v>
      </c>
      <c r="B1338" s="2">
        <v>44873</v>
      </c>
      <c r="C1338" s="3">
        <v>16.12</v>
      </c>
      <c r="D1338" s="3">
        <v>17.53</v>
      </c>
      <c r="E1338" s="3">
        <v>16.05</v>
      </c>
      <c r="F1338" s="3">
        <v>17.489999999999998</v>
      </c>
      <c r="G1338" s="3">
        <v>7425537</v>
      </c>
      <c r="H1338" s="8">
        <f t="shared" si="121"/>
        <v>-12.410926365795724</v>
      </c>
      <c r="I1338">
        <f t="shared" si="122"/>
        <v>16.38</v>
      </c>
      <c r="J1338" s="6" cm="1">
        <f t="array" ref="J1338">_xlfn.STDEV.S(IF($A:$A=A1338, $F:$F))</f>
        <v>1.0926115503691138</v>
      </c>
      <c r="P1338" s="8">
        <f t="shared" si="123"/>
        <v>-12.410926365795724</v>
      </c>
      <c r="Q1338" s="8">
        <f t="shared" si="124"/>
        <v>-12.410926365795724</v>
      </c>
      <c r="R1338" s="11">
        <f t="shared" si="125"/>
        <v>-12.410926365795724</v>
      </c>
    </row>
    <row r="1339" spans="1:18" x14ac:dyDescent="0.25">
      <c r="A1339" s="7">
        <f t="shared" si="120"/>
        <v>268</v>
      </c>
      <c r="B1339" s="2">
        <v>44874</v>
      </c>
      <c r="C1339" s="3">
        <v>17.71</v>
      </c>
      <c r="D1339" s="3">
        <v>18.07</v>
      </c>
      <c r="E1339" s="3">
        <v>16.84</v>
      </c>
      <c r="F1339" s="3">
        <v>16.989999999999998</v>
      </c>
      <c r="G1339" s="3">
        <v>5153306</v>
      </c>
      <c r="H1339" s="8">
        <f t="shared" si="121"/>
        <v>-12.410926365795724</v>
      </c>
      <c r="I1339">
        <f t="shared" si="122"/>
        <v>16.38</v>
      </c>
      <c r="J1339" s="6" cm="1">
        <f t="array" ref="J1339">_xlfn.STDEV.S(IF($A:$A=A1339, $F:$F))</f>
        <v>1.0926115503691138</v>
      </c>
      <c r="P1339" s="8">
        <f t="shared" si="123"/>
        <v>-12.410926365795724</v>
      </c>
      <c r="Q1339" s="8">
        <f t="shared" si="124"/>
        <v>-12.410926365795724</v>
      </c>
      <c r="R1339" s="11">
        <f t="shared" si="125"/>
        <v>-12.410926365795724</v>
      </c>
    </row>
    <row r="1340" spans="1:18" x14ac:dyDescent="0.25">
      <c r="A1340" s="7">
        <f t="shared" si="120"/>
        <v>268</v>
      </c>
      <c r="B1340" s="2">
        <v>44875</v>
      </c>
      <c r="C1340" s="3">
        <v>16.63</v>
      </c>
      <c r="D1340" s="3">
        <v>16.809999999999999</v>
      </c>
      <c r="E1340" s="3">
        <v>15.83</v>
      </c>
      <c r="F1340" s="3">
        <v>15.83</v>
      </c>
      <c r="G1340" s="3">
        <v>4954443</v>
      </c>
      <c r="H1340" s="8">
        <f t="shared" si="121"/>
        <v>-12.410926365795724</v>
      </c>
      <c r="I1340">
        <f t="shared" si="122"/>
        <v>16.38</v>
      </c>
      <c r="J1340" s="6" cm="1">
        <f t="array" ref="J1340">_xlfn.STDEV.S(IF($A:$A=A1340, $F:$F))</f>
        <v>1.0926115503691138</v>
      </c>
      <c r="P1340" s="8">
        <f t="shared" si="123"/>
        <v>-12.410926365795724</v>
      </c>
      <c r="Q1340" s="8">
        <f t="shared" si="124"/>
        <v>-12.410926365795724</v>
      </c>
      <c r="R1340" s="11">
        <f t="shared" si="125"/>
        <v>-12.410926365795724</v>
      </c>
    </row>
    <row r="1341" spans="1:18" x14ac:dyDescent="0.25">
      <c r="A1341" s="7">
        <f t="shared" si="120"/>
        <v>268</v>
      </c>
      <c r="B1341" s="2">
        <v>44876</v>
      </c>
      <c r="C1341" s="3">
        <v>16.260000000000002</v>
      </c>
      <c r="D1341" s="3">
        <v>16.34</v>
      </c>
      <c r="E1341" s="3">
        <v>14.75</v>
      </c>
      <c r="F1341" s="3">
        <v>14.75</v>
      </c>
      <c r="G1341" s="3">
        <v>12099781</v>
      </c>
      <c r="H1341" s="8">
        <f t="shared" si="121"/>
        <v>-12.410926365795724</v>
      </c>
      <c r="I1341">
        <f t="shared" si="122"/>
        <v>16.38</v>
      </c>
      <c r="J1341" s="6" cm="1">
        <f t="array" ref="J1341">_xlfn.STDEV.S(IF($A:$A=A1341, $F:$F))</f>
        <v>1.0926115503691138</v>
      </c>
      <c r="P1341" s="8">
        <f t="shared" si="123"/>
        <v>-12.410926365795724</v>
      </c>
      <c r="Q1341" s="8">
        <f t="shared" si="124"/>
        <v>-12.410926365795724</v>
      </c>
      <c r="R1341" s="11">
        <f t="shared" si="125"/>
        <v>-12.410926365795724</v>
      </c>
    </row>
    <row r="1342" spans="1:18" x14ac:dyDescent="0.25">
      <c r="A1342" s="7">
        <f t="shared" si="120"/>
        <v>269</v>
      </c>
      <c r="B1342" s="2">
        <v>44879</v>
      </c>
      <c r="C1342" s="3">
        <v>13.81</v>
      </c>
      <c r="D1342" s="3">
        <v>14.2</v>
      </c>
      <c r="E1342" s="3">
        <v>13.73</v>
      </c>
      <c r="F1342" s="3">
        <v>13.73</v>
      </c>
      <c r="G1342" s="3">
        <v>4141521</v>
      </c>
      <c r="H1342" s="8">
        <f t="shared" si="121"/>
        <v>2.1121631463947499</v>
      </c>
      <c r="I1342">
        <f t="shared" si="122"/>
        <v>13.66</v>
      </c>
      <c r="J1342" s="6" cm="1">
        <f t="array" ref="J1342">_xlfn.STDEV.S(IF($A:$A=A1342, $F:$F))</f>
        <v>0.52081666639999169</v>
      </c>
      <c r="P1342" s="8">
        <f t="shared" si="123"/>
        <v>2.1121631463947499</v>
      </c>
      <c r="Q1342" s="8">
        <f t="shared" si="124"/>
        <v>2.1121631463947499</v>
      </c>
      <c r="R1342" s="8">
        <f t="shared" si="125"/>
        <v>2.1121631463947499</v>
      </c>
    </row>
    <row r="1343" spans="1:18" x14ac:dyDescent="0.25">
      <c r="A1343" s="7">
        <f t="shared" si="120"/>
        <v>269</v>
      </c>
      <c r="B1343" s="2">
        <v>44880</v>
      </c>
      <c r="C1343" s="3">
        <v>12.79</v>
      </c>
      <c r="D1343" s="3">
        <v>12.98</v>
      </c>
      <c r="E1343" s="3">
        <v>12.79</v>
      </c>
      <c r="F1343" s="3">
        <v>12.79</v>
      </c>
      <c r="G1343" s="3">
        <v>2873808</v>
      </c>
      <c r="H1343" s="8">
        <f t="shared" si="121"/>
        <v>2.1121631463947499</v>
      </c>
      <c r="I1343">
        <f t="shared" si="122"/>
        <v>13.66</v>
      </c>
      <c r="J1343" s="6" cm="1">
        <f t="array" ref="J1343">_xlfn.STDEV.S(IF($A:$A=A1343, $F:$F))</f>
        <v>0.52081666639999169</v>
      </c>
      <c r="P1343" s="8">
        <f t="shared" si="123"/>
        <v>2.1121631463947499</v>
      </c>
      <c r="Q1343" s="8">
        <f t="shared" si="124"/>
        <v>2.1121631463947499</v>
      </c>
      <c r="R1343" s="8">
        <f t="shared" si="125"/>
        <v>2.1121631463947499</v>
      </c>
    </row>
    <row r="1344" spans="1:18" x14ac:dyDescent="0.25">
      <c r="A1344" s="7">
        <f t="shared" si="120"/>
        <v>269</v>
      </c>
      <c r="B1344" s="2">
        <v>44881</v>
      </c>
      <c r="C1344" s="3">
        <v>11.93</v>
      </c>
      <c r="D1344" s="3">
        <v>13.66</v>
      </c>
      <c r="E1344" s="3">
        <v>11.93</v>
      </c>
      <c r="F1344" s="3">
        <v>13.66</v>
      </c>
      <c r="G1344" s="3">
        <v>17154810</v>
      </c>
      <c r="H1344" s="8">
        <f t="shared" si="121"/>
        <v>2.1121631463947499</v>
      </c>
      <c r="I1344">
        <f t="shared" si="122"/>
        <v>13.66</v>
      </c>
      <c r="J1344" s="6" cm="1">
        <f t="array" ref="J1344">_xlfn.STDEV.S(IF($A:$A=A1344, $F:$F))</f>
        <v>0.52081666639999169</v>
      </c>
      <c r="P1344" s="8">
        <f t="shared" si="123"/>
        <v>2.1121631463947499</v>
      </c>
      <c r="Q1344" s="8">
        <f t="shared" si="124"/>
        <v>2.1121631463947499</v>
      </c>
      <c r="R1344" s="8">
        <f t="shared" si="125"/>
        <v>2.1121631463947499</v>
      </c>
    </row>
    <row r="1345" spans="1:18" x14ac:dyDescent="0.25">
      <c r="A1345" s="7">
        <f t="shared" si="120"/>
        <v>269</v>
      </c>
      <c r="B1345" s="2">
        <v>44882</v>
      </c>
      <c r="C1345" s="3">
        <v>13.88</v>
      </c>
      <c r="D1345" s="3">
        <v>14.38</v>
      </c>
      <c r="E1345" s="3">
        <v>13.63</v>
      </c>
      <c r="F1345" s="3">
        <v>14.1</v>
      </c>
      <c r="G1345" s="3">
        <v>7311035</v>
      </c>
      <c r="H1345" s="8">
        <f t="shared" si="121"/>
        <v>2.1121631463947499</v>
      </c>
      <c r="I1345">
        <f t="shared" si="122"/>
        <v>13.66</v>
      </c>
      <c r="J1345" s="6" cm="1">
        <f t="array" ref="J1345">_xlfn.STDEV.S(IF($A:$A=A1345, $F:$F))</f>
        <v>0.52081666639999169</v>
      </c>
      <c r="P1345" s="8">
        <f t="shared" si="123"/>
        <v>2.1121631463947499</v>
      </c>
      <c r="Q1345" s="8">
        <f t="shared" si="124"/>
        <v>2.1121631463947499</v>
      </c>
      <c r="R1345" s="8">
        <f t="shared" si="125"/>
        <v>2.1121631463947499</v>
      </c>
    </row>
    <row r="1346" spans="1:18" x14ac:dyDescent="0.25">
      <c r="A1346" s="7">
        <f t="shared" si="120"/>
        <v>269</v>
      </c>
      <c r="B1346" s="2">
        <v>44883</v>
      </c>
      <c r="C1346" s="3">
        <v>13.91</v>
      </c>
      <c r="D1346" s="3">
        <v>14.64</v>
      </c>
      <c r="E1346" s="3">
        <v>13.12</v>
      </c>
      <c r="F1346" s="3">
        <v>14.02</v>
      </c>
      <c r="G1346" s="3">
        <v>10259638</v>
      </c>
      <c r="H1346" s="8">
        <f t="shared" si="121"/>
        <v>2.1121631463947499</v>
      </c>
      <c r="I1346">
        <f t="shared" si="122"/>
        <v>13.66</v>
      </c>
      <c r="J1346" s="6" cm="1">
        <f t="array" ref="J1346">_xlfn.STDEV.S(IF($A:$A=A1346, $F:$F))</f>
        <v>0.52081666639999169</v>
      </c>
      <c r="P1346" s="8">
        <f t="shared" si="123"/>
        <v>2.1121631463947499</v>
      </c>
      <c r="Q1346" s="8">
        <f t="shared" si="124"/>
        <v>2.1121631463947499</v>
      </c>
      <c r="R1346" s="8">
        <f t="shared" si="125"/>
        <v>2.1121631463947499</v>
      </c>
    </row>
    <row r="1347" spans="1:18" x14ac:dyDescent="0.25">
      <c r="A1347" s="7">
        <f t="shared" ref="A1347:A1410" si="126">INT((ROW(A1347)-ROW($A$2))/5) + 1</f>
        <v>270</v>
      </c>
      <c r="B1347" s="2">
        <v>44886</v>
      </c>
      <c r="C1347" s="3">
        <v>14.17</v>
      </c>
      <c r="D1347" s="3">
        <v>14.28</v>
      </c>
      <c r="E1347" s="3">
        <v>13.44</v>
      </c>
      <c r="F1347" s="3">
        <v>13.66</v>
      </c>
      <c r="G1347" s="3">
        <v>6193503</v>
      </c>
      <c r="H1347" s="8">
        <f t="shared" ref="H1347:H1410" si="127">IF(A1347=A1346, H1346, (F1351-F1347)/F1347*100)</f>
        <v>10.322108345534406</v>
      </c>
      <c r="I1347">
        <f t="shared" ref="I1347:I1410" si="128">AVERAGEIF($A:$A, A1347, $F:$F)</f>
        <v>14.262</v>
      </c>
      <c r="J1347" s="6" cm="1">
        <f t="array" ref="J1347">_xlfn.STDEV.S(IF($A:$A=A1347, $F:$F))</f>
        <v>0.570455957984488</v>
      </c>
      <c r="P1347" s="8">
        <f t="shared" ref="P1347:P1410" si="129">IF(A1347=A1346,P1346,(F1351-F1347)/F1347*100)</f>
        <v>10.322108345534406</v>
      </c>
      <c r="Q1347" s="8">
        <f t="shared" ref="Q1347:Q1410" si="130">IF(A1347=A1346,Q1346,(F1351-F1347)/F1347*100)</f>
        <v>10.322108345534406</v>
      </c>
      <c r="R1347" s="10">
        <f t="shared" ref="R1347:R1410" si="131">IF(A1347=A1346,R1346,(F1351-F1347)/F1347*100)</f>
        <v>10.322108345534406</v>
      </c>
    </row>
    <row r="1348" spans="1:18" x14ac:dyDescent="0.25">
      <c r="A1348" s="7">
        <f t="shared" si="126"/>
        <v>270</v>
      </c>
      <c r="B1348" s="2">
        <v>44887</v>
      </c>
      <c r="C1348" s="3">
        <v>13.41</v>
      </c>
      <c r="D1348" s="3">
        <v>14.6</v>
      </c>
      <c r="E1348" s="3">
        <v>13.41</v>
      </c>
      <c r="F1348" s="3">
        <v>14.6</v>
      </c>
      <c r="G1348" s="3">
        <v>12590624</v>
      </c>
      <c r="H1348" s="8">
        <f t="shared" si="127"/>
        <v>10.322108345534406</v>
      </c>
      <c r="I1348">
        <f t="shared" si="128"/>
        <v>14.262</v>
      </c>
      <c r="J1348" s="6" cm="1">
        <f t="array" ref="J1348">_xlfn.STDEV.S(IF($A:$A=A1348, $F:$F))</f>
        <v>0.570455957984488</v>
      </c>
      <c r="P1348" s="8">
        <f t="shared" si="129"/>
        <v>10.322108345534406</v>
      </c>
      <c r="Q1348" s="8">
        <f t="shared" si="130"/>
        <v>10.322108345534406</v>
      </c>
      <c r="R1348" s="10">
        <f t="shared" si="131"/>
        <v>10.322108345534406</v>
      </c>
    </row>
    <row r="1349" spans="1:18" x14ac:dyDescent="0.25">
      <c r="A1349" s="7">
        <f t="shared" si="126"/>
        <v>270</v>
      </c>
      <c r="B1349" s="2">
        <v>44888</v>
      </c>
      <c r="C1349" s="3">
        <v>14.31</v>
      </c>
      <c r="D1349" s="3">
        <v>15.14</v>
      </c>
      <c r="E1349" s="3">
        <v>13.88</v>
      </c>
      <c r="F1349" s="3">
        <v>13.88</v>
      </c>
      <c r="G1349" s="3">
        <v>4952351</v>
      </c>
      <c r="H1349" s="8">
        <f t="shared" si="127"/>
        <v>10.322108345534406</v>
      </c>
      <c r="I1349">
        <f t="shared" si="128"/>
        <v>14.262</v>
      </c>
      <c r="J1349" s="6" cm="1">
        <f t="array" ref="J1349">_xlfn.STDEV.S(IF($A:$A=A1349, $F:$F))</f>
        <v>0.570455957984488</v>
      </c>
      <c r="P1349" s="8">
        <f t="shared" si="129"/>
        <v>10.322108345534406</v>
      </c>
      <c r="Q1349" s="8">
        <f t="shared" si="130"/>
        <v>10.322108345534406</v>
      </c>
      <c r="R1349" s="10">
        <f t="shared" si="131"/>
        <v>10.322108345534406</v>
      </c>
    </row>
    <row r="1350" spans="1:18" x14ac:dyDescent="0.25">
      <c r="A1350" s="7">
        <f t="shared" si="126"/>
        <v>270</v>
      </c>
      <c r="B1350" s="2">
        <v>44889</v>
      </c>
      <c r="C1350" s="3">
        <v>13.81</v>
      </c>
      <c r="D1350" s="3">
        <v>14.24</v>
      </c>
      <c r="E1350" s="3">
        <v>13.08</v>
      </c>
      <c r="F1350" s="3">
        <v>14.1</v>
      </c>
      <c r="G1350" s="3">
        <v>5551973</v>
      </c>
      <c r="H1350" s="8">
        <f t="shared" si="127"/>
        <v>10.322108345534406</v>
      </c>
      <c r="I1350">
        <f t="shared" si="128"/>
        <v>14.262</v>
      </c>
      <c r="J1350" s="6" cm="1">
        <f t="array" ref="J1350">_xlfn.STDEV.S(IF($A:$A=A1350, $F:$F))</f>
        <v>0.570455957984488</v>
      </c>
      <c r="P1350" s="8">
        <f t="shared" si="129"/>
        <v>10.322108345534406</v>
      </c>
      <c r="Q1350" s="8">
        <f t="shared" si="130"/>
        <v>10.322108345534406</v>
      </c>
      <c r="R1350" s="10">
        <f t="shared" si="131"/>
        <v>10.322108345534406</v>
      </c>
    </row>
    <row r="1351" spans="1:18" x14ac:dyDescent="0.25">
      <c r="A1351" s="7">
        <f t="shared" si="126"/>
        <v>270</v>
      </c>
      <c r="B1351" s="2">
        <v>44890</v>
      </c>
      <c r="C1351" s="3">
        <v>14.46</v>
      </c>
      <c r="D1351" s="3">
        <v>15.07</v>
      </c>
      <c r="E1351" s="3">
        <v>14.06</v>
      </c>
      <c r="F1351" s="3">
        <v>15.07</v>
      </c>
      <c r="G1351" s="3">
        <v>8662487</v>
      </c>
      <c r="H1351" s="8">
        <f t="shared" si="127"/>
        <v>10.322108345534406</v>
      </c>
      <c r="I1351">
        <f t="shared" si="128"/>
        <v>14.262</v>
      </c>
      <c r="J1351" s="6" cm="1">
        <f t="array" ref="J1351">_xlfn.STDEV.S(IF($A:$A=A1351, $F:$F))</f>
        <v>0.570455957984488</v>
      </c>
      <c r="P1351" s="8">
        <f t="shared" si="129"/>
        <v>10.322108345534406</v>
      </c>
      <c r="Q1351" s="8">
        <f t="shared" si="130"/>
        <v>10.322108345534406</v>
      </c>
      <c r="R1351" s="10">
        <f t="shared" si="131"/>
        <v>10.322108345534406</v>
      </c>
    </row>
    <row r="1352" spans="1:18" x14ac:dyDescent="0.25">
      <c r="A1352" s="7">
        <f t="shared" si="126"/>
        <v>271</v>
      </c>
      <c r="B1352" s="2">
        <v>44893</v>
      </c>
      <c r="C1352" s="3">
        <v>15.79</v>
      </c>
      <c r="D1352" s="3">
        <v>16.12</v>
      </c>
      <c r="E1352" s="3">
        <v>15.69</v>
      </c>
      <c r="F1352" s="3">
        <v>16.12</v>
      </c>
      <c r="G1352" s="3">
        <v>6649913</v>
      </c>
      <c r="H1352" s="8">
        <f t="shared" si="127"/>
        <v>12.779156327543415</v>
      </c>
      <c r="I1352">
        <f t="shared" si="128"/>
        <v>17.167999999999999</v>
      </c>
      <c r="J1352" s="6" cm="1">
        <f t="array" ref="J1352">_xlfn.STDEV.S(IF($A:$A=A1352, $F:$F))</f>
        <v>0.81263152781565118</v>
      </c>
      <c r="P1352" s="8">
        <f t="shared" si="129"/>
        <v>12.779156327543415</v>
      </c>
      <c r="Q1352" s="8">
        <f t="shared" si="130"/>
        <v>12.779156327543415</v>
      </c>
      <c r="R1352" s="10">
        <f t="shared" si="131"/>
        <v>12.779156327543415</v>
      </c>
    </row>
    <row r="1353" spans="1:18" x14ac:dyDescent="0.25">
      <c r="A1353" s="7">
        <f t="shared" si="126"/>
        <v>271</v>
      </c>
      <c r="B1353" s="2">
        <v>44894</v>
      </c>
      <c r="C1353" s="3">
        <v>16.55</v>
      </c>
      <c r="D1353" s="3">
        <v>17.239999999999998</v>
      </c>
      <c r="E1353" s="3">
        <v>16.010000000000002</v>
      </c>
      <c r="F1353" s="3">
        <v>16.77</v>
      </c>
      <c r="G1353" s="3">
        <v>15162267</v>
      </c>
      <c r="H1353" s="8">
        <f t="shared" si="127"/>
        <v>12.779156327543415</v>
      </c>
      <c r="I1353">
        <f t="shared" si="128"/>
        <v>17.167999999999999</v>
      </c>
      <c r="J1353" s="6" cm="1">
        <f t="array" ref="J1353">_xlfn.STDEV.S(IF($A:$A=A1353, $F:$F))</f>
        <v>0.81263152781565118</v>
      </c>
      <c r="P1353" s="8">
        <f t="shared" si="129"/>
        <v>12.779156327543415</v>
      </c>
      <c r="Q1353" s="8">
        <f t="shared" si="130"/>
        <v>12.779156327543415</v>
      </c>
      <c r="R1353" s="10">
        <f t="shared" si="131"/>
        <v>12.779156327543415</v>
      </c>
    </row>
    <row r="1354" spans="1:18" x14ac:dyDescent="0.25">
      <c r="A1354" s="7">
        <f t="shared" si="126"/>
        <v>271</v>
      </c>
      <c r="B1354" s="2">
        <v>44895</v>
      </c>
      <c r="C1354" s="3">
        <v>16.63</v>
      </c>
      <c r="D1354" s="3">
        <v>17.93</v>
      </c>
      <c r="E1354" s="3">
        <v>16.34</v>
      </c>
      <c r="F1354" s="3">
        <v>17.75</v>
      </c>
      <c r="G1354" s="3">
        <v>9105477</v>
      </c>
      <c r="H1354" s="8">
        <f t="shared" si="127"/>
        <v>12.779156327543415</v>
      </c>
      <c r="I1354">
        <f t="shared" si="128"/>
        <v>17.167999999999999</v>
      </c>
      <c r="J1354" s="6" cm="1">
        <f t="array" ref="J1354">_xlfn.STDEV.S(IF($A:$A=A1354, $F:$F))</f>
        <v>0.81263152781565118</v>
      </c>
      <c r="P1354" s="8">
        <f t="shared" si="129"/>
        <v>12.779156327543415</v>
      </c>
      <c r="Q1354" s="8">
        <f t="shared" si="130"/>
        <v>12.779156327543415</v>
      </c>
      <c r="R1354" s="10">
        <f t="shared" si="131"/>
        <v>12.779156327543415</v>
      </c>
    </row>
    <row r="1355" spans="1:18" x14ac:dyDescent="0.25">
      <c r="A1355" s="7">
        <f t="shared" si="126"/>
        <v>271</v>
      </c>
      <c r="B1355" s="2">
        <v>44896</v>
      </c>
      <c r="C1355" s="3">
        <v>18.07</v>
      </c>
      <c r="D1355" s="3">
        <v>18.649999999999999</v>
      </c>
      <c r="E1355" s="3">
        <v>16.88</v>
      </c>
      <c r="F1355" s="3">
        <v>17.02</v>
      </c>
      <c r="G1355" s="3">
        <v>10523656</v>
      </c>
      <c r="H1355" s="8">
        <f t="shared" si="127"/>
        <v>12.779156327543415</v>
      </c>
      <c r="I1355">
        <f t="shared" si="128"/>
        <v>17.167999999999999</v>
      </c>
      <c r="J1355" s="6" cm="1">
        <f t="array" ref="J1355">_xlfn.STDEV.S(IF($A:$A=A1355, $F:$F))</f>
        <v>0.81263152781565118</v>
      </c>
      <c r="P1355" s="8">
        <f t="shared" si="129"/>
        <v>12.779156327543415</v>
      </c>
      <c r="Q1355" s="8">
        <f t="shared" si="130"/>
        <v>12.779156327543415</v>
      </c>
      <c r="R1355" s="10">
        <f t="shared" si="131"/>
        <v>12.779156327543415</v>
      </c>
    </row>
    <row r="1356" spans="1:18" x14ac:dyDescent="0.25">
      <c r="A1356" s="7">
        <f t="shared" si="126"/>
        <v>271</v>
      </c>
      <c r="B1356" s="2">
        <v>44897</v>
      </c>
      <c r="C1356" s="3">
        <v>16.989999999999998</v>
      </c>
      <c r="D1356" s="3">
        <v>18.18</v>
      </c>
      <c r="E1356" s="3">
        <v>16.66</v>
      </c>
      <c r="F1356" s="3">
        <v>18.18</v>
      </c>
      <c r="G1356" s="3">
        <v>8928680</v>
      </c>
      <c r="H1356" s="8">
        <f t="shared" si="127"/>
        <v>12.779156327543415</v>
      </c>
      <c r="I1356">
        <f t="shared" si="128"/>
        <v>17.167999999999999</v>
      </c>
      <c r="J1356" s="6" cm="1">
        <f t="array" ref="J1356">_xlfn.STDEV.S(IF($A:$A=A1356, $F:$F))</f>
        <v>0.81263152781565118</v>
      </c>
      <c r="P1356" s="8">
        <f t="shared" si="129"/>
        <v>12.779156327543415</v>
      </c>
      <c r="Q1356" s="8">
        <f t="shared" si="130"/>
        <v>12.779156327543415</v>
      </c>
      <c r="R1356" s="10">
        <f t="shared" si="131"/>
        <v>12.779156327543415</v>
      </c>
    </row>
    <row r="1357" spans="1:18" x14ac:dyDescent="0.25">
      <c r="A1357" s="7">
        <f t="shared" si="126"/>
        <v>272</v>
      </c>
      <c r="B1357" s="2">
        <v>44900</v>
      </c>
      <c r="C1357" s="3">
        <v>18.940000000000001</v>
      </c>
      <c r="D1357" s="3">
        <v>19.440000000000001</v>
      </c>
      <c r="E1357" s="3">
        <v>18.61</v>
      </c>
      <c r="F1357" s="3">
        <v>19.440000000000001</v>
      </c>
      <c r="G1357" s="3">
        <v>11377089</v>
      </c>
      <c r="H1357" s="8">
        <f t="shared" si="127"/>
        <v>-1.0802469135802513</v>
      </c>
      <c r="I1357">
        <f t="shared" si="128"/>
        <v>18.968</v>
      </c>
      <c r="J1357" s="6" cm="1">
        <f t="array" ref="J1357">_xlfn.STDEV.S(IF($A:$A=A1357, $F:$F))</f>
        <v>0.67621742065699619</v>
      </c>
      <c r="P1357" s="8">
        <f t="shared" si="129"/>
        <v>-1.0802469135802513</v>
      </c>
      <c r="Q1357" s="8">
        <f t="shared" si="130"/>
        <v>-1.0802469135802513</v>
      </c>
      <c r="R1357" s="8">
        <f t="shared" si="131"/>
        <v>-1.0802469135802513</v>
      </c>
    </row>
    <row r="1358" spans="1:18" x14ac:dyDescent="0.25">
      <c r="A1358" s="7">
        <f t="shared" si="126"/>
        <v>272</v>
      </c>
      <c r="B1358" s="2">
        <v>44901</v>
      </c>
      <c r="C1358" s="3">
        <v>19.079999999999998</v>
      </c>
      <c r="D1358" s="3">
        <v>19.52</v>
      </c>
      <c r="E1358" s="3">
        <v>18.11</v>
      </c>
      <c r="F1358" s="3">
        <v>18.11</v>
      </c>
      <c r="G1358" s="3">
        <v>15398162</v>
      </c>
      <c r="H1358" s="8">
        <f t="shared" si="127"/>
        <v>-1.0802469135802513</v>
      </c>
      <c r="I1358">
        <f t="shared" si="128"/>
        <v>18.968</v>
      </c>
      <c r="J1358" s="6" cm="1">
        <f t="array" ref="J1358">_xlfn.STDEV.S(IF($A:$A=A1358, $F:$F))</f>
        <v>0.67621742065699619</v>
      </c>
      <c r="P1358" s="8">
        <f t="shared" si="129"/>
        <v>-1.0802469135802513</v>
      </c>
      <c r="Q1358" s="8">
        <f t="shared" si="130"/>
        <v>-1.0802469135802513</v>
      </c>
      <c r="R1358" s="8">
        <f t="shared" si="131"/>
        <v>-1.0802469135802513</v>
      </c>
    </row>
    <row r="1359" spans="1:18" x14ac:dyDescent="0.25">
      <c r="A1359" s="7">
        <f t="shared" si="126"/>
        <v>272</v>
      </c>
      <c r="B1359" s="2">
        <v>44902</v>
      </c>
      <c r="C1359" s="3">
        <v>18.07</v>
      </c>
      <c r="D1359" s="3">
        <v>18.72</v>
      </c>
      <c r="E1359" s="3">
        <v>17.239999999999998</v>
      </c>
      <c r="F1359" s="3">
        <v>18.399999999999999</v>
      </c>
      <c r="G1359" s="3">
        <v>8551215</v>
      </c>
      <c r="H1359" s="8">
        <f t="shared" si="127"/>
        <v>-1.0802469135802513</v>
      </c>
      <c r="I1359">
        <f t="shared" si="128"/>
        <v>18.968</v>
      </c>
      <c r="J1359" s="6" cm="1">
        <f t="array" ref="J1359">_xlfn.STDEV.S(IF($A:$A=A1359, $F:$F))</f>
        <v>0.67621742065699619</v>
      </c>
      <c r="P1359" s="8">
        <f t="shared" si="129"/>
        <v>-1.0802469135802513</v>
      </c>
      <c r="Q1359" s="8">
        <f t="shared" si="130"/>
        <v>-1.0802469135802513</v>
      </c>
      <c r="R1359" s="8">
        <f t="shared" si="131"/>
        <v>-1.0802469135802513</v>
      </c>
    </row>
    <row r="1360" spans="1:18" x14ac:dyDescent="0.25">
      <c r="A1360" s="7">
        <f t="shared" si="126"/>
        <v>272</v>
      </c>
      <c r="B1360" s="2">
        <v>44903</v>
      </c>
      <c r="C1360" s="3">
        <v>18.940000000000001</v>
      </c>
      <c r="D1360" s="3">
        <v>19.66</v>
      </c>
      <c r="E1360" s="3">
        <v>18.829999999999998</v>
      </c>
      <c r="F1360" s="3">
        <v>19.66</v>
      </c>
      <c r="G1360" s="3">
        <v>11230368</v>
      </c>
      <c r="H1360" s="8">
        <f t="shared" si="127"/>
        <v>-1.0802469135802513</v>
      </c>
      <c r="I1360">
        <f t="shared" si="128"/>
        <v>18.968</v>
      </c>
      <c r="J1360" s="6" cm="1">
        <f t="array" ref="J1360">_xlfn.STDEV.S(IF($A:$A=A1360, $F:$F))</f>
        <v>0.67621742065699619</v>
      </c>
      <c r="P1360" s="8">
        <f t="shared" si="129"/>
        <v>-1.0802469135802513</v>
      </c>
      <c r="Q1360" s="8">
        <f t="shared" si="130"/>
        <v>-1.0802469135802513</v>
      </c>
      <c r="R1360" s="8">
        <f t="shared" si="131"/>
        <v>-1.0802469135802513</v>
      </c>
    </row>
    <row r="1361" spans="1:18" x14ac:dyDescent="0.25">
      <c r="A1361" s="7">
        <f t="shared" si="126"/>
        <v>272</v>
      </c>
      <c r="B1361" s="2">
        <v>44904</v>
      </c>
      <c r="C1361" s="3">
        <v>19.73</v>
      </c>
      <c r="D1361" s="3">
        <v>19.88</v>
      </c>
      <c r="E1361" s="3">
        <v>18.940000000000001</v>
      </c>
      <c r="F1361" s="3">
        <v>19.23</v>
      </c>
      <c r="G1361" s="3">
        <v>7898140</v>
      </c>
      <c r="H1361" s="8">
        <f t="shared" si="127"/>
        <v>-1.0802469135802513</v>
      </c>
      <c r="I1361">
        <f t="shared" si="128"/>
        <v>18.968</v>
      </c>
      <c r="J1361" s="6" cm="1">
        <f t="array" ref="J1361">_xlfn.STDEV.S(IF($A:$A=A1361, $F:$F))</f>
        <v>0.67621742065699619</v>
      </c>
      <c r="P1361" s="8">
        <f t="shared" si="129"/>
        <v>-1.0802469135802513</v>
      </c>
      <c r="Q1361" s="8">
        <f t="shared" si="130"/>
        <v>-1.0802469135802513</v>
      </c>
      <c r="R1361" s="8">
        <f t="shared" si="131"/>
        <v>-1.0802469135802513</v>
      </c>
    </row>
    <row r="1362" spans="1:18" x14ac:dyDescent="0.25">
      <c r="A1362" s="7">
        <f t="shared" si="126"/>
        <v>273</v>
      </c>
      <c r="B1362" s="2">
        <v>44907</v>
      </c>
      <c r="C1362" s="3">
        <v>19.23</v>
      </c>
      <c r="D1362" s="3">
        <v>19.91</v>
      </c>
      <c r="E1362" s="3">
        <v>17.89</v>
      </c>
      <c r="F1362" s="3">
        <v>17.89</v>
      </c>
      <c r="G1362" s="3">
        <v>13135184</v>
      </c>
      <c r="H1362" s="8">
        <f t="shared" si="127"/>
        <v>12.744550027948581</v>
      </c>
      <c r="I1362">
        <f t="shared" si="128"/>
        <v>19.164000000000001</v>
      </c>
      <c r="J1362" s="6" cm="1">
        <f t="array" ref="J1362">_xlfn.STDEV.S(IF($A:$A=A1362, $F:$F))</f>
        <v>0.841356048293468</v>
      </c>
      <c r="P1362" s="8">
        <f t="shared" si="129"/>
        <v>12.744550027948581</v>
      </c>
      <c r="Q1362" s="8">
        <f t="shared" si="130"/>
        <v>12.744550027948581</v>
      </c>
      <c r="R1362" s="10">
        <f t="shared" si="131"/>
        <v>12.744550027948581</v>
      </c>
    </row>
    <row r="1363" spans="1:18" x14ac:dyDescent="0.25">
      <c r="A1363" s="7">
        <f t="shared" si="126"/>
        <v>273</v>
      </c>
      <c r="B1363" s="2">
        <v>44908</v>
      </c>
      <c r="C1363" s="3">
        <v>18.07</v>
      </c>
      <c r="D1363" s="3">
        <v>19.12</v>
      </c>
      <c r="E1363" s="3">
        <v>17.53</v>
      </c>
      <c r="F1363" s="3">
        <v>19.12</v>
      </c>
      <c r="G1363" s="3">
        <v>7896687</v>
      </c>
      <c r="H1363" s="8">
        <f t="shared" si="127"/>
        <v>12.744550027948581</v>
      </c>
      <c r="I1363">
        <f t="shared" si="128"/>
        <v>19.164000000000001</v>
      </c>
      <c r="J1363" s="6" cm="1">
        <f t="array" ref="J1363">_xlfn.STDEV.S(IF($A:$A=A1363, $F:$F))</f>
        <v>0.841356048293468</v>
      </c>
      <c r="P1363" s="8">
        <f t="shared" si="129"/>
        <v>12.744550027948581</v>
      </c>
      <c r="Q1363" s="8">
        <f t="shared" si="130"/>
        <v>12.744550027948581</v>
      </c>
      <c r="R1363" s="10">
        <f t="shared" si="131"/>
        <v>12.744550027948581</v>
      </c>
    </row>
    <row r="1364" spans="1:18" x14ac:dyDescent="0.25">
      <c r="A1364" s="7">
        <f t="shared" si="126"/>
        <v>273</v>
      </c>
      <c r="B1364" s="2">
        <v>44909</v>
      </c>
      <c r="C1364" s="3">
        <v>19.52</v>
      </c>
      <c r="D1364" s="3">
        <v>19.73</v>
      </c>
      <c r="E1364" s="3">
        <v>18.940000000000001</v>
      </c>
      <c r="F1364" s="3">
        <v>19.05</v>
      </c>
      <c r="G1364" s="3">
        <v>5793948</v>
      </c>
      <c r="H1364" s="8">
        <f t="shared" si="127"/>
        <v>12.744550027948581</v>
      </c>
      <c r="I1364">
        <f t="shared" si="128"/>
        <v>19.164000000000001</v>
      </c>
      <c r="J1364" s="6" cm="1">
        <f t="array" ref="J1364">_xlfn.STDEV.S(IF($A:$A=A1364, $F:$F))</f>
        <v>0.841356048293468</v>
      </c>
      <c r="P1364" s="8">
        <f t="shared" si="129"/>
        <v>12.744550027948581</v>
      </c>
      <c r="Q1364" s="8">
        <f t="shared" si="130"/>
        <v>12.744550027948581</v>
      </c>
      <c r="R1364" s="10">
        <f t="shared" si="131"/>
        <v>12.744550027948581</v>
      </c>
    </row>
    <row r="1365" spans="1:18" x14ac:dyDescent="0.25">
      <c r="A1365" s="7">
        <f t="shared" si="126"/>
        <v>273</v>
      </c>
      <c r="B1365" s="2">
        <v>44910</v>
      </c>
      <c r="C1365" s="3">
        <v>19.05</v>
      </c>
      <c r="D1365" s="3">
        <v>19.73</v>
      </c>
      <c r="E1365" s="3">
        <v>18.899999999999999</v>
      </c>
      <c r="F1365" s="3">
        <v>19.59</v>
      </c>
      <c r="G1365" s="3">
        <v>6997928</v>
      </c>
      <c r="H1365" s="8">
        <f t="shared" si="127"/>
        <v>12.744550027948581</v>
      </c>
      <c r="I1365">
        <f t="shared" si="128"/>
        <v>19.164000000000001</v>
      </c>
      <c r="J1365" s="6" cm="1">
        <f t="array" ref="J1365">_xlfn.STDEV.S(IF($A:$A=A1365, $F:$F))</f>
        <v>0.841356048293468</v>
      </c>
      <c r="P1365" s="8">
        <f t="shared" si="129"/>
        <v>12.744550027948581</v>
      </c>
      <c r="Q1365" s="8">
        <f t="shared" si="130"/>
        <v>12.744550027948581</v>
      </c>
      <c r="R1365" s="10">
        <f t="shared" si="131"/>
        <v>12.744550027948581</v>
      </c>
    </row>
    <row r="1366" spans="1:18" x14ac:dyDescent="0.25">
      <c r="A1366" s="7">
        <f t="shared" si="126"/>
        <v>273</v>
      </c>
      <c r="B1366" s="2">
        <v>44911</v>
      </c>
      <c r="C1366" s="3">
        <v>19.440000000000001</v>
      </c>
      <c r="D1366" s="3">
        <v>20.2</v>
      </c>
      <c r="E1366" s="3">
        <v>19.3</v>
      </c>
      <c r="F1366" s="3">
        <v>20.170000000000002</v>
      </c>
      <c r="G1366" s="3">
        <v>9345724</v>
      </c>
      <c r="H1366" s="8">
        <f t="shared" si="127"/>
        <v>12.744550027948581</v>
      </c>
      <c r="I1366">
        <f t="shared" si="128"/>
        <v>19.164000000000001</v>
      </c>
      <c r="J1366" s="6" cm="1">
        <f t="array" ref="J1366">_xlfn.STDEV.S(IF($A:$A=A1366, $F:$F))</f>
        <v>0.841356048293468</v>
      </c>
      <c r="P1366" s="8">
        <f t="shared" si="129"/>
        <v>12.744550027948581</v>
      </c>
      <c r="Q1366" s="8">
        <f t="shared" si="130"/>
        <v>12.744550027948581</v>
      </c>
      <c r="R1366" s="10">
        <f t="shared" si="131"/>
        <v>12.744550027948581</v>
      </c>
    </row>
    <row r="1367" spans="1:18" x14ac:dyDescent="0.25">
      <c r="A1367" s="7">
        <f t="shared" si="126"/>
        <v>274</v>
      </c>
      <c r="B1367" s="2">
        <v>44914</v>
      </c>
      <c r="C1367" s="3">
        <v>20.239999999999998</v>
      </c>
      <c r="D1367" s="3">
        <v>21.18</v>
      </c>
      <c r="E1367" s="3">
        <v>19.52</v>
      </c>
      <c r="F1367" s="3">
        <v>19.52</v>
      </c>
      <c r="G1367" s="3">
        <v>9599330</v>
      </c>
      <c r="H1367" s="8">
        <f t="shared" si="127"/>
        <v>-8.5553278688524497</v>
      </c>
      <c r="I1367">
        <f t="shared" si="128"/>
        <v>18.633999999999997</v>
      </c>
      <c r="J1367" s="6" cm="1">
        <f t="array" ref="J1367">_xlfn.STDEV.S(IF($A:$A=A1367, $F:$F))</f>
        <v>0.60185546437662196</v>
      </c>
      <c r="P1367" s="8">
        <f t="shared" si="129"/>
        <v>-8.5553278688524497</v>
      </c>
      <c r="Q1367" s="8">
        <f t="shared" si="130"/>
        <v>-8.5553278688524497</v>
      </c>
      <c r="R1367" s="11">
        <f t="shared" si="131"/>
        <v>-8.5553278688524497</v>
      </c>
    </row>
    <row r="1368" spans="1:18" x14ac:dyDescent="0.25">
      <c r="A1368" s="7">
        <f t="shared" si="126"/>
        <v>274</v>
      </c>
      <c r="B1368" s="2">
        <v>44915</v>
      </c>
      <c r="C1368" s="3">
        <v>19.52</v>
      </c>
      <c r="D1368" s="3">
        <v>19.73</v>
      </c>
      <c r="E1368" s="3">
        <v>18.29</v>
      </c>
      <c r="F1368" s="3">
        <v>18.72</v>
      </c>
      <c r="G1368" s="3">
        <v>10274652</v>
      </c>
      <c r="H1368" s="8">
        <f t="shared" si="127"/>
        <v>-8.5553278688524497</v>
      </c>
      <c r="I1368">
        <f t="shared" si="128"/>
        <v>18.633999999999997</v>
      </c>
      <c r="J1368" s="6" cm="1">
        <f t="array" ref="J1368">_xlfn.STDEV.S(IF($A:$A=A1368, $F:$F))</f>
        <v>0.60185546437662196</v>
      </c>
      <c r="P1368" s="8">
        <f t="shared" si="129"/>
        <v>-8.5553278688524497</v>
      </c>
      <c r="Q1368" s="8">
        <f t="shared" si="130"/>
        <v>-8.5553278688524497</v>
      </c>
      <c r="R1368" s="11">
        <f t="shared" si="131"/>
        <v>-8.5553278688524497</v>
      </c>
    </row>
    <row r="1369" spans="1:18" x14ac:dyDescent="0.25">
      <c r="A1369" s="7">
        <f t="shared" si="126"/>
        <v>274</v>
      </c>
      <c r="B1369" s="2">
        <v>44916</v>
      </c>
      <c r="C1369" s="3">
        <v>19.37</v>
      </c>
      <c r="D1369" s="3">
        <v>19.37</v>
      </c>
      <c r="E1369" s="3">
        <v>17.420000000000002</v>
      </c>
      <c r="F1369" s="3">
        <v>18.43</v>
      </c>
      <c r="G1369" s="3">
        <v>10297426</v>
      </c>
      <c r="H1369" s="8">
        <f t="shared" si="127"/>
        <v>-8.5553278688524497</v>
      </c>
      <c r="I1369">
        <f t="shared" si="128"/>
        <v>18.633999999999997</v>
      </c>
      <c r="J1369" s="6" cm="1">
        <f t="array" ref="J1369">_xlfn.STDEV.S(IF($A:$A=A1369, $F:$F))</f>
        <v>0.60185546437662196</v>
      </c>
      <c r="P1369" s="8">
        <f t="shared" si="129"/>
        <v>-8.5553278688524497</v>
      </c>
      <c r="Q1369" s="8">
        <f t="shared" si="130"/>
        <v>-8.5553278688524497</v>
      </c>
      <c r="R1369" s="11">
        <f t="shared" si="131"/>
        <v>-8.5553278688524497</v>
      </c>
    </row>
    <row r="1370" spans="1:18" x14ac:dyDescent="0.25">
      <c r="A1370" s="7">
        <f t="shared" si="126"/>
        <v>274</v>
      </c>
      <c r="B1370" s="2">
        <v>44917</v>
      </c>
      <c r="C1370" s="3">
        <v>18.61</v>
      </c>
      <c r="D1370" s="3">
        <v>18.87</v>
      </c>
      <c r="E1370" s="3">
        <v>17.71</v>
      </c>
      <c r="F1370" s="3">
        <v>18.649999999999999</v>
      </c>
      <c r="G1370" s="3">
        <v>4108767</v>
      </c>
      <c r="H1370" s="8">
        <f t="shared" si="127"/>
        <v>-8.5553278688524497</v>
      </c>
      <c r="I1370">
        <f t="shared" si="128"/>
        <v>18.633999999999997</v>
      </c>
      <c r="J1370" s="6" cm="1">
        <f t="array" ref="J1370">_xlfn.STDEV.S(IF($A:$A=A1370, $F:$F))</f>
        <v>0.60185546437662196</v>
      </c>
      <c r="P1370" s="8">
        <f t="shared" si="129"/>
        <v>-8.5553278688524497</v>
      </c>
      <c r="Q1370" s="8">
        <f t="shared" si="130"/>
        <v>-8.5553278688524497</v>
      </c>
      <c r="R1370" s="11">
        <f t="shared" si="131"/>
        <v>-8.5553278688524497</v>
      </c>
    </row>
    <row r="1371" spans="1:18" x14ac:dyDescent="0.25">
      <c r="A1371" s="7">
        <f t="shared" si="126"/>
        <v>274</v>
      </c>
      <c r="B1371" s="2">
        <v>44918</v>
      </c>
      <c r="C1371" s="3">
        <v>18.649999999999999</v>
      </c>
      <c r="D1371" s="3">
        <v>18.649999999999999</v>
      </c>
      <c r="E1371" s="3">
        <v>17.850000000000001</v>
      </c>
      <c r="F1371" s="3">
        <v>17.850000000000001</v>
      </c>
      <c r="G1371" s="3">
        <v>3371560</v>
      </c>
      <c r="H1371" s="8">
        <f t="shared" si="127"/>
        <v>-8.5553278688524497</v>
      </c>
      <c r="I1371">
        <f t="shared" si="128"/>
        <v>18.633999999999997</v>
      </c>
      <c r="J1371" s="6" cm="1">
        <f t="array" ref="J1371">_xlfn.STDEV.S(IF($A:$A=A1371, $F:$F))</f>
        <v>0.60185546437662196</v>
      </c>
      <c r="P1371" s="8">
        <f t="shared" si="129"/>
        <v>-8.5553278688524497</v>
      </c>
      <c r="Q1371" s="8">
        <f t="shared" si="130"/>
        <v>-8.5553278688524497</v>
      </c>
      <c r="R1371" s="11">
        <f t="shared" si="131"/>
        <v>-8.5553278688524497</v>
      </c>
    </row>
    <row r="1372" spans="1:18" x14ac:dyDescent="0.25">
      <c r="A1372" s="7">
        <f t="shared" si="126"/>
        <v>275</v>
      </c>
      <c r="B1372" s="2">
        <v>44921</v>
      </c>
      <c r="C1372" s="3">
        <v>18.04</v>
      </c>
      <c r="D1372" s="3">
        <v>18.04</v>
      </c>
      <c r="E1372" s="3">
        <v>16.63</v>
      </c>
      <c r="F1372" s="3">
        <v>16.63</v>
      </c>
      <c r="G1372" s="3">
        <v>6101118</v>
      </c>
      <c r="H1372" s="8">
        <f t="shared" si="127"/>
        <v>4.2092603728202</v>
      </c>
      <c r="I1372">
        <f t="shared" si="128"/>
        <v>17.445999999999998</v>
      </c>
      <c r="J1372" s="6" cm="1">
        <f t="array" ref="J1372">_xlfn.STDEV.S(IF($A:$A=A1372, $F:$F))</f>
        <v>0.54637898934713813</v>
      </c>
      <c r="P1372" s="8">
        <f t="shared" si="129"/>
        <v>4.2092603728202</v>
      </c>
      <c r="Q1372" s="8">
        <f t="shared" si="130"/>
        <v>4.2092603728202</v>
      </c>
      <c r="R1372" s="8">
        <f t="shared" si="131"/>
        <v>4.2092603728202</v>
      </c>
    </row>
    <row r="1373" spans="1:18" x14ac:dyDescent="0.25">
      <c r="A1373" s="7">
        <f t="shared" si="126"/>
        <v>275</v>
      </c>
      <c r="B1373" s="2">
        <v>44922</v>
      </c>
      <c r="C1373" s="3">
        <v>16.77</v>
      </c>
      <c r="D1373" s="3">
        <v>17.78</v>
      </c>
      <c r="E1373" s="3">
        <v>16.48</v>
      </c>
      <c r="F1373" s="3">
        <v>17.78</v>
      </c>
      <c r="G1373" s="3">
        <v>4717507</v>
      </c>
      <c r="H1373" s="8">
        <f t="shared" si="127"/>
        <v>4.2092603728202</v>
      </c>
      <c r="I1373">
        <f t="shared" si="128"/>
        <v>17.445999999999998</v>
      </c>
      <c r="J1373" s="6" cm="1">
        <f t="array" ref="J1373">_xlfn.STDEV.S(IF($A:$A=A1373, $F:$F))</f>
        <v>0.54637898934713813</v>
      </c>
      <c r="P1373" s="8">
        <f t="shared" si="129"/>
        <v>4.2092603728202</v>
      </c>
      <c r="Q1373" s="8">
        <f t="shared" si="130"/>
        <v>4.2092603728202</v>
      </c>
      <c r="R1373" s="8">
        <f t="shared" si="131"/>
        <v>4.2092603728202</v>
      </c>
    </row>
    <row r="1374" spans="1:18" x14ac:dyDescent="0.25">
      <c r="A1374" s="7">
        <f t="shared" si="126"/>
        <v>275</v>
      </c>
      <c r="B1374" s="2">
        <v>44923</v>
      </c>
      <c r="C1374" s="3">
        <v>17.89</v>
      </c>
      <c r="D1374" s="3">
        <v>18.41</v>
      </c>
      <c r="E1374" s="3">
        <v>17.670000000000002</v>
      </c>
      <c r="F1374" s="3">
        <v>18.079999999999998</v>
      </c>
      <c r="G1374" s="3">
        <v>3673019</v>
      </c>
      <c r="H1374" s="8">
        <f t="shared" si="127"/>
        <v>4.2092603728202</v>
      </c>
      <c r="I1374">
        <f t="shared" si="128"/>
        <v>17.445999999999998</v>
      </c>
      <c r="J1374" s="6" cm="1">
        <f t="array" ref="J1374">_xlfn.STDEV.S(IF($A:$A=A1374, $F:$F))</f>
        <v>0.54637898934713813</v>
      </c>
      <c r="P1374" s="8">
        <f t="shared" si="129"/>
        <v>4.2092603728202</v>
      </c>
      <c r="Q1374" s="8">
        <f t="shared" si="130"/>
        <v>4.2092603728202</v>
      </c>
      <c r="R1374" s="8">
        <f t="shared" si="131"/>
        <v>4.2092603728202</v>
      </c>
    </row>
    <row r="1375" spans="1:18" x14ac:dyDescent="0.25">
      <c r="A1375" s="7">
        <f t="shared" si="126"/>
        <v>275</v>
      </c>
      <c r="B1375" s="2">
        <v>44924</v>
      </c>
      <c r="C1375" s="3">
        <v>17.82</v>
      </c>
      <c r="D1375" s="3">
        <v>18.04</v>
      </c>
      <c r="E1375" s="3">
        <v>17.41</v>
      </c>
      <c r="F1375" s="3">
        <v>17.41</v>
      </c>
      <c r="G1375" s="3">
        <v>2567231</v>
      </c>
      <c r="H1375" s="8">
        <f t="shared" si="127"/>
        <v>4.2092603728202</v>
      </c>
      <c r="I1375">
        <f t="shared" si="128"/>
        <v>17.445999999999998</v>
      </c>
      <c r="J1375" s="6" cm="1">
        <f t="array" ref="J1375">_xlfn.STDEV.S(IF($A:$A=A1375, $F:$F))</f>
        <v>0.54637898934713813</v>
      </c>
      <c r="P1375" s="8">
        <f t="shared" si="129"/>
        <v>4.2092603728202</v>
      </c>
      <c r="Q1375" s="8">
        <f t="shared" si="130"/>
        <v>4.2092603728202</v>
      </c>
      <c r="R1375" s="8">
        <f t="shared" si="131"/>
        <v>4.2092603728202</v>
      </c>
    </row>
    <row r="1376" spans="1:18" x14ac:dyDescent="0.25">
      <c r="A1376" s="7">
        <f t="shared" si="126"/>
        <v>275</v>
      </c>
      <c r="B1376" s="2">
        <v>44925</v>
      </c>
      <c r="C1376" s="3">
        <v>17.559999999999999</v>
      </c>
      <c r="D1376" s="3">
        <v>17.78</v>
      </c>
      <c r="E1376" s="3">
        <v>17.329999999999998</v>
      </c>
      <c r="F1376" s="3">
        <v>17.329999999999998</v>
      </c>
      <c r="G1376" s="3">
        <v>2313517</v>
      </c>
      <c r="H1376" s="8">
        <f t="shared" si="127"/>
        <v>4.2092603728202</v>
      </c>
      <c r="I1376">
        <f t="shared" si="128"/>
        <v>17.445999999999998</v>
      </c>
      <c r="J1376" s="6" cm="1">
        <f t="array" ref="J1376">_xlfn.STDEV.S(IF($A:$A=A1376, $F:$F))</f>
        <v>0.54637898934713813</v>
      </c>
      <c r="P1376" s="8">
        <f t="shared" si="129"/>
        <v>4.2092603728202</v>
      </c>
      <c r="Q1376" s="8">
        <f t="shared" si="130"/>
        <v>4.2092603728202</v>
      </c>
      <c r="R1376" s="8">
        <f t="shared" si="131"/>
        <v>4.2092603728202</v>
      </c>
    </row>
    <row r="1377" spans="1:18" x14ac:dyDescent="0.25">
      <c r="A1377" s="7">
        <f t="shared" si="126"/>
        <v>276</v>
      </c>
      <c r="B1377" s="2">
        <v>44929</v>
      </c>
      <c r="C1377" s="3">
        <v>17.329999999999998</v>
      </c>
      <c r="D1377" s="3">
        <v>18.53</v>
      </c>
      <c r="E1377" s="3">
        <v>17.329999999999998</v>
      </c>
      <c r="F1377" s="3">
        <v>18.53</v>
      </c>
      <c r="G1377" s="3">
        <v>4585774</v>
      </c>
      <c r="H1377" s="8">
        <f t="shared" si="127"/>
        <v>3.9935240151106228</v>
      </c>
      <c r="I1377">
        <f t="shared" si="128"/>
        <v>19.027999999999999</v>
      </c>
      <c r="J1377" s="6" cm="1">
        <f t="array" ref="J1377">_xlfn.STDEV.S(IF($A:$A=A1377, $F:$F))</f>
        <v>0.37204838395025985</v>
      </c>
      <c r="P1377" s="8">
        <f t="shared" si="129"/>
        <v>3.9935240151106228</v>
      </c>
      <c r="Q1377" s="8">
        <f t="shared" si="130"/>
        <v>3.9935240151106228</v>
      </c>
      <c r="R1377" s="8">
        <f t="shared" si="131"/>
        <v>3.9935240151106228</v>
      </c>
    </row>
    <row r="1378" spans="1:18" x14ac:dyDescent="0.25">
      <c r="A1378" s="7">
        <f t="shared" si="126"/>
        <v>276</v>
      </c>
      <c r="B1378" s="2">
        <v>44930</v>
      </c>
      <c r="C1378" s="3">
        <v>18.86</v>
      </c>
      <c r="D1378" s="3">
        <v>19.09</v>
      </c>
      <c r="E1378" s="3">
        <v>18.559999999999999</v>
      </c>
      <c r="F1378" s="3">
        <v>18.79</v>
      </c>
      <c r="G1378" s="3">
        <v>4711577</v>
      </c>
      <c r="H1378" s="8">
        <f t="shared" si="127"/>
        <v>3.9935240151106228</v>
      </c>
      <c r="I1378">
        <f t="shared" si="128"/>
        <v>19.027999999999999</v>
      </c>
      <c r="J1378" s="6" cm="1">
        <f t="array" ref="J1378">_xlfn.STDEV.S(IF($A:$A=A1378, $F:$F))</f>
        <v>0.37204838395025985</v>
      </c>
      <c r="P1378" s="8">
        <f t="shared" si="129"/>
        <v>3.9935240151106228</v>
      </c>
      <c r="Q1378" s="8">
        <f t="shared" si="130"/>
        <v>3.9935240151106228</v>
      </c>
      <c r="R1378" s="8">
        <f t="shared" si="131"/>
        <v>3.9935240151106228</v>
      </c>
    </row>
    <row r="1379" spans="1:18" x14ac:dyDescent="0.25">
      <c r="A1379" s="7">
        <f t="shared" si="126"/>
        <v>276</v>
      </c>
      <c r="B1379" s="2">
        <v>44931</v>
      </c>
      <c r="C1379" s="3">
        <v>18.82</v>
      </c>
      <c r="D1379" s="3">
        <v>19.53</v>
      </c>
      <c r="E1379" s="3">
        <v>18.68</v>
      </c>
      <c r="F1379" s="3">
        <v>19.46</v>
      </c>
      <c r="G1379" s="3">
        <v>6056174</v>
      </c>
      <c r="H1379" s="8">
        <f t="shared" si="127"/>
        <v>3.9935240151106228</v>
      </c>
      <c r="I1379">
        <f t="shared" si="128"/>
        <v>19.027999999999999</v>
      </c>
      <c r="J1379" s="6" cm="1">
        <f t="array" ref="J1379">_xlfn.STDEV.S(IF($A:$A=A1379, $F:$F))</f>
        <v>0.37204838395025985</v>
      </c>
      <c r="P1379" s="8">
        <f t="shared" si="129"/>
        <v>3.9935240151106228</v>
      </c>
      <c r="Q1379" s="8">
        <f t="shared" si="130"/>
        <v>3.9935240151106228</v>
      </c>
      <c r="R1379" s="8">
        <f t="shared" si="131"/>
        <v>3.9935240151106228</v>
      </c>
    </row>
    <row r="1380" spans="1:18" x14ac:dyDescent="0.25">
      <c r="A1380" s="7">
        <f t="shared" si="126"/>
        <v>276</v>
      </c>
      <c r="B1380" s="2">
        <v>44932</v>
      </c>
      <c r="C1380" s="3">
        <v>19.53</v>
      </c>
      <c r="D1380" s="3">
        <v>19.829999999999998</v>
      </c>
      <c r="E1380" s="3">
        <v>19.010000000000002</v>
      </c>
      <c r="F1380" s="3">
        <v>19.09</v>
      </c>
      <c r="G1380" s="3">
        <v>5137196</v>
      </c>
      <c r="H1380" s="8">
        <f t="shared" si="127"/>
        <v>3.9935240151106228</v>
      </c>
      <c r="I1380">
        <f t="shared" si="128"/>
        <v>19.027999999999999</v>
      </c>
      <c r="J1380" s="6" cm="1">
        <f t="array" ref="J1380">_xlfn.STDEV.S(IF($A:$A=A1380, $F:$F))</f>
        <v>0.37204838395025985</v>
      </c>
      <c r="P1380" s="8">
        <f t="shared" si="129"/>
        <v>3.9935240151106228</v>
      </c>
      <c r="Q1380" s="8">
        <f t="shared" si="130"/>
        <v>3.9935240151106228</v>
      </c>
      <c r="R1380" s="8">
        <f t="shared" si="131"/>
        <v>3.9935240151106228</v>
      </c>
    </row>
    <row r="1381" spans="1:18" x14ac:dyDescent="0.25">
      <c r="A1381" s="7">
        <f t="shared" si="126"/>
        <v>276</v>
      </c>
      <c r="B1381" s="2">
        <v>44935</v>
      </c>
      <c r="C1381" s="3">
        <v>19.350000000000001</v>
      </c>
      <c r="D1381" s="3">
        <v>19.57</v>
      </c>
      <c r="E1381" s="3">
        <v>19.09</v>
      </c>
      <c r="F1381" s="3">
        <v>19.27</v>
      </c>
      <c r="G1381" s="3">
        <v>5045278</v>
      </c>
      <c r="H1381" s="8">
        <f t="shared" si="127"/>
        <v>3.9935240151106228</v>
      </c>
      <c r="I1381">
        <f t="shared" si="128"/>
        <v>19.027999999999999</v>
      </c>
      <c r="J1381" s="6" cm="1">
        <f t="array" ref="J1381">_xlfn.STDEV.S(IF($A:$A=A1381, $F:$F))</f>
        <v>0.37204838395025985</v>
      </c>
      <c r="P1381" s="8">
        <f t="shared" si="129"/>
        <v>3.9935240151106228</v>
      </c>
      <c r="Q1381" s="8">
        <f t="shared" si="130"/>
        <v>3.9935240151106228</v>
      </c>
      <c r="R1381" s="8">
        <f t="shared" si="131"/>
        <v>3.9935240151106228</v>
      </c>
    </row>
    <row r="1382" spans="1:18" x14ac:dyDescent="0.25">
      <c r="A1382" s="7">
        <f t="shared" si="126"/>
        <v>277</v>
      </c>
      <c r="B1382" s="2">
        <v>44936</v>
      </c>
      <c r="C1382" s="3">
        <v>19.27</v>
      </c>
      <c r="D1382" s="3">
        <v>19.760000000000002</v>
      </c>
      <c r="E1382" s="3">
        <v>18.75</v>
      </c>
      <c r="F1382" s="3">
        <v>19.61</v>
      </c>
      <c r="G1382" s="3">
        <v>4209223</v>
      </c>
      <c r="H1382" s="8">
        <f t="shared" si="127"/>
        <v>7.0372259051504278</v>
      </c>
      <c r="I1382">
        <f t="shared" si="128"/>
        <v>20.339999999999996</v>
      </c>
      <c r="J1382" s="6" cm="1">
        <f t="array" ref="J1382">_xlfn.STDEV.S(IF($A:$A=A1382, $F:$F))</f>
        <v>0.54378304497290098</v>
      </c>
      <c r="P1382" s="8">
        <f t="shared" si="129"/>
        <v>7.0372259051504278</v>
      </c>
      <c r="Q1382" s="8">
        <f t="shared" si="130"/>
        <v>7.0372259051504278</v>
      </c>
      <c r="R1382" s="8">
        <f t="shared" si="131"/>
        <v>7.0372259051504278</v>
      </c>
    </row>
    <row r="1383" spans="1:18" x14ac:dyDescent="0.25">
      <c r="A1383" s="7">
        <f t="shared" si="126"/>
        <v>277</v>
      </c>
      <c r="B1383" s="2">
        <v>44937</v>
      </c>
      <c r="C1383" s="3">
        <v>19.98</v>
      </c>
      <c r="D1383" s="3">
        <v>20.65</v>
      </c>
      <c r="E1383" s="3">
        <v>19.64</v>
      </c>
      <c r="F1383" s="3">
        <v>20.39</v>
      </c>
      <c r="G1383" s="3">
        <v>8072280</v>
      </c>
      <c r="H1383" s="8">
        <f t="shared" si="127"/>
        <v>7.0372259051504278</v>
      </c>
      <c r="I1383">
        <f t="shared" si="128"/>
        <v>20.339999999999996</v>
      </c>
      <c r="J1383" s="6" cm="1">
        <f t="array" ref="J1383">_xlfn.STDEV.S(IF($A:$A=A1383, $F:$F))</f>
        <v>0.54378304497290098</v>
      </c>
      <c r="P1383" s="8">
        <f t="shared" si="129"/>
        <v>7.0372259051504278</v>
      </c>
      <c r="Q1383" s="8">
        <f t="shared" si="130"/>
        <v>7.0372259051504278</v>
      </c>
      <c r="R1383" s="8">
        <f t="shared" si="131"/>
        <v>7.0372259051504278</v>
      </c>
    </row>
    <row r="1384" spans="1:18" x14ac:dyDescent="0.25">
      <c r="A1384" s="7">
        <f t="shared" si="126"/>
        <v>277</v>
      </c>
      <c r="B1384" s="2">
        <v>44938</v>
      </c>
      <c r="C1384" s="3">
        <v>20.5</v>
      </c>
      <c r="D1384" s="3">
        <v>20.5</v>
      </c>
      <c r="E1384" s="3">
        <v>19.87</v>
      </c>
      <c r="F1384" s="3">
        <v>20.02</v>
      </c>
      <c r="G1384" s="3">
        <v>4673649</v>
      </c>
      <c r="H1384" s="8">
        <f t="shared" si="127"/>
        <v>7.0372259051504278</v>
      </c>
      <c r="I1384">
        <f t="shared" si="128"/>
        <v>20.339999999999996</v>
      </c>
      <c r="J1384" s="6" cm="1">
        <f t="array" ref="J1384">_xlfn.STDEV.S(IF($A:$A=A1384, $F:$F))</f>
        <v>0.54378304497290098</v>
      </c>
      <c r="P1384" s="8">
        <f t="shared" si="129"/>
        <v>7.0372259051504278</v>
      </c>
      <c r="Q1384" s="8">
        <f t="shared" si="130"/>
        <v>7.0372259051504278</v>
      </c>
      <c r="R1384" s="8">
        <f t="shared" si="131"/>
        <v>7.0372259051504278</v>
      </c>
    </row>
    <row r="1385" spans="1:18" x14ac:dyDescent="0.25">
      <c r="A1385" s="7">
        <f t="shared" si="126"/>
        <v>277</v>
      </c>
      <c r="B1385" s="2">
        <v>44939</v>
      </c>
      <c r="C1385" s="3">
        <v>20.350000000000001</v>
      </c>
      <c r="D1385" s="3">
        <v>21.06</v>
      </c>
      <c r="E1385" s="3">
        <v>20.350000000000001</v>
      </c>
      <c r="F1385" s="3">
        <v>20.69</v>
      </c>
      <c r="G1385" s="3">
        <v>7798802</v>
      </c>
      <c r="H1385" s="8">
        <f t="shared" si="127"/>
        <v>7.0372259051504278</v>
      </c>
      <c r="I1385">
        <f t="shared" si="128"/>
        <v>20.339999999999996</v>
      </c>
      <c r="J1385" s="6" cm="1">
        <f t="array" ref="J1385">_xlfn.STDEV.S(IF($A:$A=A1385, $F:$F))</f>
        <v>0.54378304497290098</v>
      </c>
      <c r="P1385" s="8">
        <f t="shared" si="129"/>
        <v>7.0372259051504278</v>
      </c>
      <c r="Q1385" s="8">
        <f t="shared" si="130"/>
        <v>7.0372259051504278</v>
      </c>
      <c r="R1385" s="8">
        <f t="shared" si="131"/>
        <v>7.0372259051504278</v>
      </c>
    </row>
    <row r="1386" spans="1:18" x14ac:dyDescent="0.25">
      <c r="A1386" s="7">
        <f t="shared" si="126"/>
        <v>277</v>
      </c>
      <c r="B1386" s="2">
        <v>44942</v>
      </c>
      <c r="C1386" s="3">
        <v>20.84</v>
      </c>
      <c r="D1386" s="3">
        <v>21.4</v>
      </c>
      <c r="E1386" s="3">
        <v>20.39</v>
      </c>
      <c r="F1386" s="3">
        <v>20.99</v>
      </c>
      <c r="G1386" s="3">
        <v>4623727</v>
      </c>
      <c r="H1386" s="8">
        <f t="shared" si="127"/>
        <v>7.0372259051504278</v>
      </c>
      <c r="I1386">
        <f t="shared" si="128"/>
        <v>20.339999999999996</v>
      </c>
      <c r="J1386" s="6" cm="1">
        <f t="array" ref="J1386">_xlfn.STDEV.S(IF($A:$A=A1386, $F:$F))</f>
        <v>0.54378304497290098</v>
      </c>
      <c r="P1386" s="8">
        <f t="shared" si="129"/>
        <v>7.0372259051504278</v>
      </c>
      <c r="Q1386" s="8">
        <f t="shared" si="130"/>
        <v>7.0372259051504278</v>
      </c>
      <c r="R1386" s="8">
        <f t="shared" si="131"/>
        <v>7.0372259051504278</v>
      </c>
    </row>
    <row r="1387" spans="1:18" x14ac:dyDescent="0.25">
      <c r="A1387" s="7">
        <f t="shared" si="126"/>
        <v>278</v>
      </c>
      <c r="B1387" s="2">
        <v>44943</v>
      </c>
      <c r="C1387" s="3">
        <v>21.25</v>
      </c>
      <c r="D1387" s="3">
        <v>22.29</v>
      </c>
      <c r="E1387" s="3">
        <v>21.14</v>
      </c>
      <c r="F1387" s="3">
        <v>22.29</v>
      </c>
      <c r="G1387" s="3">
        <v>5098701</v>
      </c>
      <c r="H1387" s="8">
        <f t="shared" si="127"/>
        <v>-2.0188425302826345</v>
      </c>
      <c r="I1387">
        <f t="shared" si="128"/>
        <v>22.134</v>
      </c>
      <c r="J1387" s="6" cm="1">
        <f t="array" ref="J1387">_xlfn.STDEV.S(IF($A:$A=A1387, $F:$F))</f>
        <v>0.21054690688775274</v>
      </c>
      <c r="P1387" s="8">
        <f t="shared" si="129"/>
        <v>-2.0188425302826345</v>
      </c>
      <c r="Q1387" s="8">
        <f t="shared" si="130"/>
        <v>-2.0188425302826345</v>
      </c>
      <c r="R1387" s="8">
        <f t="shared" si="131"/>
        <v>-2.0188425302826345</v>
      </c>
    </row>
    <row r="1388" spans="1:18" x14ac:dyDescent="0.25">
      <c r="A1388" s="7">
        <f t="shared" si="126"/>
        <v>278</v>
      </c>
      <c r="B1388" s="2">
        <v>44944</v>
      </c>
      <c r="C1388" s="3">
        <v>22.07</v>
      </c>
      <c r="D1388" s="3">
        <v>22.37</v>
      </c>
      <c r="E1388" s="3">
        <v>21.69</v>
      </c>
      <c r="F1388" s="3">
        <v>22.14</v>
      </c>
      <c r="G1388" s="3">
        <v>9781552</v>
      </c>
      <c r="H1388" s="8">
        <f t="shared" si="127"/>
        <v>-2.0188425302826345</v>
      </c>
      <c r="I1388">
        <f t="shared" si="128"/>
        <v>22.134</v>
      </c>
      <c r="J1388" s="6" cm="1">
        <f t="array" ref="J1388">_xlfn.STDEV.S(IF($A:$A=A1388, $F:$F))</f>
        <v>0.21054690688775274</v>
      </c>
      <c r="P1388" s="8">
        <f t="shared" si="129"/>
        <v>-2.0188425302826345</v>
      </c>
      <c r="Q1388" s="8">
        <f t="shared" si="130"/>
        <v>-2.0188425302826345</v>
      </c>
      <c r="R1388" s="8">
        <f t="shared" si="131"/>
        <v>-2.0188425302826345</v>
      </c>
    </row>
    <row r="1389" spans="1:18" x14ac:dyDescent="0.25">
      <c r="A1389" s="7">
        <f t="shared" si="126"/>
        <v>278</v>
      </c>
      <c r="B1389" s="2">
        <v>44945</v>
      </c>
      <c r="C1389" s="3">
        <v>21.84</v>
      </c>
      <c r="D1389" s="3">
        <v>22.96</v>
      </c>
      <c r="E1389" s="3">
        <v>21.84</v>
      </c>
      <c r="F1389" s="3">
        <v>22.37</v>
      </c>
      <c r="G1389" s="3">
        <v>3834180</v>
      </c>
      <c r="H1389" s="8">
        <f t="shared" si="127"/>
        <v>-2.0188425302826345</v>
      </c>
      <c r="I1389">
        <f t="shared" si="128"/>
        <v>22.134</v>
      </c>
      <c r="J1389" s="6" cm="1">
        <f t="array" ref="J1389">_xlfn.STDEV.S(IF($A:$A=A1389, $F:$F))</f>
        <v>0.21054690688775274</v>
      </c>
      <c r="P1389" s="8">
        <f t="shared" si="129"/>
        <v>-2.0188425302826345</v>
      </c>
      <c r="Q1389" s="8">
        <f t="shared" si="130"/>
        <v>-2.0188425302826345</v>
      </c>
      <c r="R1389" s="8">
        <f t="shared" si="131"/>
        <v>-2.0188425302826345</v>
      </c>
    </row>
    <row r="1390" spans="1:18" x14ac:dyDescent="0.25">
      <c r="A1390" s="7">
        <f t="shared" si="126"/>
        <v>278</v>
      </c>
      <c r="B1390" s="2">
        <v>44953</v>
      </c>
      <c r="C1390" s="3">
        <v>22.59</v>
      </c>
      <c r="D1390" s="3">
        <v>22.81</v>
      </c>
      <c r="E1390" s="3">
        <v>21.96</v>
      </c>
      <c r="F1390" s="3">
        <v>22.03</v>
      </c>
      <c r="G1390" s="3">
        <v>5003131</v>
      </c>
      <c r="H1390" s="8">
        <f t="shared" si="127"/>
        <v>-2.0188425302826345</v>
      </c>
      <c r="I1390">
        <f t="shared" si="128"/>
        <v>22.134</v>
      </c>
      <c r="J1390" s="6" cm="1">
        <f t="array" ref="J1390">_xlfn.STDEV.S(IF($A:$A=A1390, $F:$F))</f>
        <v>0.21054690688775274</v>
      </c>
      <c r="P1390" s="8">
        <f t="shared" si="129"/>
        <v>-2.0188425302826345</v>
      </c>
      <c r="Q1390" s="8">
        <f t="shared" si="130"/>
        <v>-2.0188425302826345</v>
      </c>
      <c r="R1390" s="8">
        <f t="shared" si="131"/>
        <v>-2.0188425302826345</v>
      </c>
    </row>
    <row r="1391" spans="1:18" x14ac:dyDescent="0.25">
      <c r="A1391" s="7">
        <f t="shared" si="126"/>
        <v>278</v>
      </c>
      <c r="B1391" s="2">
        <v>44956</v>
      </c>
      <c r="C1391" s="3">
        <v>21.84</v>
      </c>
      <c r="D1391" s="3">
        <v>22.51</v>
      </c>
      <c r="E1391" s="3">
        <v>21.62</v>
      </c>
      <c r="F1391" s="3">
        <v>21.84</v>
      </c>
      <c r="G1391" s="3">
        <v>8906137</v>
      </c>
      <c r="H1391" s="8">
        <f t="shared" si="127"/>
        <v>-2.0188425302826345</v>
      </c>
      <c r="I1391">
        <f t="shared" si="128"/>
        <v>22.134</v>
      </c>
      <c r="J1391" s="6" cm="1">
        <f t="array" ref="J1391">_xlfn.STDEV.S(IF($A:$A=A1391, $F:$F))</f>
        <v>0.21054690688775274</v>
      </c>
      <c r="P1391" s="8">
        <f t="shared" si="129"/>
        <v>-2.0188425302826345</v>
      </c>
      <c r="Q1391" s="8">
        <f t="shared" si="130"/>
        <v>-2.0188425302826345</v>
      </c>
      <c r="R1391" s="8">
        <f t="shared" si="131"/>
        <v>-2.0188425302826345</v>
      </c>
    </row>
    <row r="1392" spans="1:18" x14ac:dyDescent="0.25">
      <c r="A1392" s="7">
        <f t="shared" si="126"/>
        <v>279</v>
      </c>
      <c r="B1392" s="2">
        <v>44957</v>
      </c>
      <c r="C1392" s="3">
        <v>21.84</v>
      </c>
      <c r="D1392" s="3">
        <v>22.29</v>
      </c>
      <c r="E1392" s="3">
        <v>21.36</v>
      </c>
      <c r="F1392" s="3">
        <v>22.29</v>
      </c>
      <c r="G1392" s="3">
        <v>6236764</v>
      </c>
      <c r="H1392" s="8">
        <f t="shared" si="127"/>
        <v>-8.8380439659039887</v>
      </c>
      <c r="I1392">
        <f t="shared" si="128"/>
        <v>20.830000000000002</v>
      </c>
      <c r="J1392" s="6" cm="1">
        <f t="array" ref="J1392">_xlfn.STDEV.S(IF($A:$A=A1392, $F:$F))</f>
        <v>0.83785440262613586</v>
      </c>
      <c r="P1392" s="8">
        <f t="shared" si="129"/>
        <v>-8.8380439659039887</v>
      </c>
      <c r="Q1392" s="8">
        <f t="shared" si="130"/>
        <v>-8.8380439659039887</v>
      </c>
      <c r="R1392" s="11">
        <f t="shared" si="131"/>
        <v>-8.8380439659039887</v>
      </c>
    </row>
    <row r="1393" spans="1:18" x14ac:dyDescent="0.25">
      <c r="A1393" s="7">
        <f t="shared" si="126"/>
        <v>279</v>
      </c>
      <c r="B1393" s="2">
        <v>44958</v>
      </c>
      <c r="C1393" s="3">
        <v>22.4</v>
      </c>
      <c r="D1393" s="3">
        <v>22.7</v>
      </c>
      <c r="E1393" s="3">
        <v>20.76</v>
      </c>
      <c r="F1393" s="3">
        <v>20.76</v>
      </c>
      <c r="G1393" s="3">
        <v>9830878</v>
      </c>
      <c r="H1393" s="8">
        <f t="shared" si="127"/>
        <v>-8.8380439659039887</v>
      </c>
      <c r="I1393">
        <f t="shared" si="128"/>
        <v>20.830000000000002</v>
      </c>
      <c r="J1393" s="6" cm="1">
        <f t="array" ref="J1393">_xlfn.STDEV.S(IF($A:$A=A1393, $F:$F))</f>
        <v>0.83785440262613586</v>
      </c>
      <c r="P1393" s="8">
        <f t="shared" si="129"/>
        <v>-8.8380439659039887</v>
      </c>
      <c r="Q1393" s="8">
        <f t="shared" si="130"/>
        <v>-8.8380439659039887</v>
      </c>
      <c r="R1393" s="11">
        <f t="shared" si="131"/>
        <v>-8.8380439659039887</v>
      </c>
    </row>
    <row r="1394" spans="1:18" x14ac:dyDescent="0.25">
      <c r="A1394" s="7">
        <f t="shared" si="126"/>
        <v>279</v>
      </c>
      <c r="B1394" s="2">
        <v>44959</v>
      </c>
      <c r="C1394" s="3">
        <v>20.8</v>
      </c>
      <c r="D1394" s="3">
        <v>21.02</v>
      </c>
      <c r="E1394" s="3">
        <v>20.170000000000002</v>
      </c>
      <c r="F1394" s="3">
        <v>20.5</v>
      </c>
      <c r="G1394" s="3">
        <v>4799100</v>
      </c>
      <c r="H1394" s="8">
        <f t="shared" si="127"/>
        <v>-8.8380439659039887</v>
      </c>
      <c r="I1394">
        <f t="shared" si="128"/>
        <v>20.830000000000002</v>
      </c>
      <c r="J1394" s="6" cm="1">
        <f t="array" ref="J1394">_xlfn.STDEV.S(IF($A:$A=A1394, $F:$F))</f>
        <v>0.83785440262613586</v>
      </c>
      <c r="P1394" s="8">
        <f t="shared" si="129"/>
        <v>-8.8380439659039887</v>
      </c>
      <c r="Q1394" s="8">
        <f t="shared" si="130"/>
        <v>-8.8380439659039887</v>
      </c>
      <c r="R1394" s="11">
        <f t="shared" si="131"/>
        <v>-8.8380439659039887</v>
      </c>
    </row>
    <row r="1395" spans="1:18" x14ac:dyDescent="0.25">
      <c r="A1395" s="7">
        <f t="shared" si="126"/>
        <v>279</v>
      </c>
      <c r="B1395" s="2">
        <v>44960</v>
      </c>
      <c r="C1395" s="3">
        <v>20.65</v>
      </c>
      <c r="D1395" s="3">
        <v>20.99</v>
      </c>
      <c r="E1395" s="3">
        <v>20.09</v>
      </c>
      <c r="F1395" s="3">
        <v>20.28</v>
      </c>
      <c r="G1395" s="3">
        <v>3438161</v>
      </c>
      <c r="H1395" s="8">
        <f t="shared" si="127"/>
        <v>-8.8380439659039887</v>
      </c>
      <c r="I1395">
        <f t="shared" si="128"/>
        <v>20.830000000000002</v>
      </c>
      <c r="J1395" s="6" cm="1">
        <f t="array" ref="J1395">_xlfn.STDEV.S(IF($A:$A=A1395, $F:$F))</f>
        <v>0.83785440262613586</v>
      </c>
      <c r="P1395" s="8">
        <f t="shared" si="129"/>
        <v>-8.8380439659039887</v>
      </c>
      <c r="Q1395" s="8">
        <f t="shared" si="130"/>
        <v>-8.8380439659039887</v>
      </c>
      <c r="R1395" s="11">
        <f t="shared" si="131"/>
        <v>-8.8380439659039887</v>
      </c>
    </row>
    <row r="1396" spans="1:18" x14ac:dyDescent="0.25">
      <c r="A1396" s="7">
        <f t="shared" si="126"/>
        <v>279</v>
      </c>
      <c r="B1396" s="2">
        <v>44963</v>
      </c>
      <c r="C1396" s="3">
        <v>20.28</v>
      </c>
      <c r="D1396" s="3">
        <v>20.350000000000001</v>
      </c>
      <c r="E1396" s="3">
        <v>19.760000000000002</v>
      </c>
      <c r="F1396" s="3">
        <v>20.32</v>
      </c>
      <c r="G1396" s="3">
        <v>4034302</v>
      </c>
      <c r="H1396" s="8">
        <f t="shared" si="127"/>
        <v>-8.8380439659039887</v>
      </c>
      <c r="I1396">
        <f t="shared" si="128"/>
        <v>20.830000000000002</v>
      </c>
      <c r="J1396" s="6" cm="1">
        <f t="array" ref="J1396">_xlfn.STDEV.S(IF($A:$A=A1396, $F:$F))</f>
        <v>0.83785440262613586</v>
      </c>
      <c r="P1396" s="8">
        <f t="shared" si="129"/>
        <v>-8.8380439659039887</v>
      </c>
      <c r="Q1396" s="8">
        <f t="shared" si="130"/>
        <v>-8.8380439659039887</v>
      </c>
      <c r="R1396" s="11">
        <f t="shared" si="131"/>
        <v>-8.8380439659039887</v>
      </c>
    </row>
    <row r="1397" spans="1:18" x14ac:dyDescent="0.25">
      <c r="A1397" s="7">
        <f t="shared" si="126"/>
        <v>280</v>
      </c>
      <c r="B1397" s="2">
        <v>44964</v>
      </c>
      <c r="C1397" s="3">
        <v>20.54</v>
      </c>
      <c r="D1397" s="3">
        <v>21.21</v>
      </c>
      <c r="E1397" s="3">
        <v>20.13</v>
      </c>
      <c r="F1397" s="3">
        <v>20.28</v>
      </c>
      <c r="G1397" s="3">
        <v>5812423</v>
      </c>
      <c r="H1397" s="8">
        <f t="shared" si="127"/>
        <v>-8.086785009861936</v>
      </c>
      <c r="I1397">
        <f t="shared" si="128"/>
        <v>19.98</v>
      </c>
      <c r="J1397" s="6" cm="1">
        <f t="array" ref="J1397">_xlfn.STDEV.S(IF($A:$A=A1397, $F:$F))</f>
        <v>0.83519458810507186</v>
      </c>
      <c r="P1397" s="8">
        <f t="shared" si="129"/>
        <v>-8.086785009861936</v>
      </c>
      <c r="Q1397" s="8">
        <f t="shared" si="130"/>
        <v>-8.086785009861936</v>
      </c>
      <c r="R1397" s="11">
        <f t="shared" si="131"/>
        <v>-8.086785009861936</v>
      </c>
    </row>
    <row r="1398" spans="1:18" x14ac:dyDescent="0.25">
      <c r="A1398" s="7">
        <f t="shared" si="126"/>
        <v>280</v>
      </c>
      <c r="B1398" s="2">
        <v>44965</v>
      </c>
      <c r="C1398" s="3">
        <v>20.54</v>
      </c>
      <c r="D1398" s="3">
        <v>21.17</v>
      </c>
      <c r="E1398" s="3">
        <v>19.940000000000001</v>
      </c>
      <c r="F1398" s="3">
        <v>20.87</v>
      </c>
      <c r="G1398" s="3">
        <v>4738075</v>
      </c>
      <c r="H1398" s="8">
        <f t="shared" si="127"/>
        <v>-8.086785009861936</v>
      </c>
      <c r="I1398">
        <f t="shared" si="128"/>
        <v>19.98</v>
      </c>
      <c r="J1398" s="6" cm="1">
        <f t="array" ref="J1398">_xlfn.STDEV.S(IF($A:$A=A1398, $F:$F))</f>
        <v>0.83519458810507186</v>
      </c>
      <c r="P1398" s="8">
        <f t="shared" si="129"/>
        <v>-8.086785009861936</v>
      </c>
      <c r="Q1398" s="8">
        <f t="shared" si="130"/>
        <v>-8.086785009861936</v>
      </c>
      <c r="R1398" s="11">
        <f t="shared" si="131"/>
        <v>-8.086785009861936</v>
      </c>
    </row>
    <row r="1399" spans="1:18" x14ac:dyDescent="0.25">
      <c r="A1399" s="7">
        <f t="shared" si="126"/>
        <v>280</v>
      </c>
      <c r="B1399" s="2">
        <v>44966</v>
      </c>
      <c r="C1399" s="3">
        <v>20.87</v>
      </c>
      <c r="D1399" s="3">
        <v>21.1</v>
      </c>
      <c r="E1399" s="3">
        <v>20.28</v>
      </c>
      <c r="F1399" s="3">
        <v>20.28</v>
      </c>
      <c r="G1399" s="3">
        <v>3611798</v>
      </c>
      <c r="H1399" s="8">
        <f t="shared" si="127"/>
        <v>-8.086785009861936</v>
      </c>
      <c r="I1399">
        <f t="shared" si="128"/>
        <v>19.98</v>
      </c>
      <c r="J1399" s="6" cm="1">
        <f t="array" ref="J1399">_xlfn.STDEV.S(IF($A:$A=A1399, $F:$F))</f>
        <v>0.83519458810507186</v>
      </c>
      <c r="P1399" s="8">
        <f t="shared" si="129"/>
        <v>-8.086785009861936</v>
      </c>
      <c r="Q1399" s="8">
        <f t="shared" si="130"/>
        <v>-8.086785009861936</v>
      </c>
      <c r="R1399" s="11">
        <f t="shared" si="131"/>
        <v>-8.086785009861936</v>
      </c>
    </row>
    <row r="1400" spans="1:18" x14ac:dyDescent="0.25">
      <c r="A1400" s="7">
        <f t="shared" si="126"/>
        <v>280</v>
      </c>
      <c r="B1400" s="2">
        <v>44967</v>
      </c>
      <c r="C1400" s="3">
        <v>20.28</v>
      </c>
      <c r="D1400" s="3">
        <v>20.69</v>
      </c>
      <c r="E1400" s="3">
        <v>19.829999999999998</v>
      </c>
      <c r="F1400" s="3">
        <v>19.829999999999998</v>
      </c>
      <c r="G1400" s="3">
        <v>5448529</v>
      </c>
      <c r="H1400" s="8">
        <f t="shared" si="127"/>
        <v>-8.086785009861936</v>
      </c>
      <c r="I1400">
        <f t="shared" si="128"/>
        <v>19.98</v>
      </c>
      <c r="J1400" s="6" cm="1">
        <f t="array" ref="J1400">_xlfn.STDEV.S(IF($A:$A=A1400, $F:$F))</f>
        <v>0.83519458810507186</v>
      </c>
      <c r="P1400" s="8">
        <f t="shared" si="129"/>
        <v>-8.086785009861936</v>
      </c>
      <c r="Q1400" s="8">
        <f t="shared" si="130"/>
        <v>-8.086785009861936</v>
      </c>
      <c r="R1400" s="11">
        <f t="shared" si="131"/>
        <v>-8.086785009861936</v>
      </c>
    </row>
    <row r="1401" spans="1:18" x14ac:dyDescent="0.25">
      <c r="A1401" s="7">
        <f t="shared" si="126"/>
        <v>280</v>
      </c>
      <c r="B1401" s="2">
        <v>44970</v>
      </c>
      <c r="C1401" s="3">
        <v>19.46</v>
      </c>
      <c r="D1401" s="3">
        <v>19.760000000000002</v>
      </c>
      <c r="E1401" s="3">
        <v>18.45</v>
      </c>
      <c r="F1401" s="3">
        <v>18.64</v>
      </c>
      <c r="G1401" s="3">
        <v>7918676</v>
      </c>
      <c r="H1401" s="8">
        <f t="shared" si="127"/>
        <v>-8.086785009861936</v>
      </c>
      <c r="I1401">
        <f t="shared" si="128"/>
        <v>19.98</v>
      </c>
      <c r="J1401" s="6" cm="1">
        <f t="array" ref="J1401">_xlfn.STDEV.S(IF($A:$A=A1401, $F:$F))</f>
        <v>0.83519458810507186</v>
      </c>
      <c r="P1401" s="8">
        <f t="shared" si="129"/>
        <v>-8.086785009861936</v>
      </c>
      <c r="Q1401" s="8">
        <f t="shared" si="130"/>
        <v>-8.086785009861936</v>
      </c>
      <c r="R1401" s="11">
        <f t="shared" si="131"/>
        <v>-8.086785009861936</v>
      </c>
    </row>
    <row r="1402" spans="1:18" x14ac:dyDescent="0.25">
      <c r="A1402" s="7">
        <f t="shared" si="126"/>
        <v>281</v>
      </c>
      <c r="B1402" s="2">
        <v>44971</v>
      </c>
      <c r="C1402" s="3">
        <v>18.86</v>
      </c>
      <c r="D1402" s="3">
        <v>19.350000000000001</v>
      </c>
      <c r="E1402" s="3">
        <v>18.71</v>
      </c>
      <c r="F1402" s="3">
        <v>18.899999999999999</v>
      </c>
      <c r="G1402" s="3">
        <v>2434179</v>
      </c>
      <c r="H1402" s="8">
        <f t="shared" si="127"/>
        <v>13.5978835978836</v>
      </c>
      <c r="I1402">
        <f t="shared" si="128"/>
        <v>20.009999999999998</v>
      </c>
      <c r="J1402" s="6" cm="1">
        <f t="array" ref="J1402">_xlfn.STDEV.S(IF($A:$A=A1402, $F:$F))</f>
        <v>0.96007812182134411</v>
      </c>
      <c r="P1402" s="8">
        <f t="shared" si="129"/>
        <v>13.5978835978836</v>
      </c>
      <c r="Q1402" s="8">
        <f t="shared" si="130"/>
        <v>13.5978835978836</v>
      </c>
      <c r="R1402" s="10">
        <f t="shared" si="131"/>
        <v>13.5978835978836</v>
      </c>
    </row>
    <row r="1403" spans="1:18" x14ac:dyDescent="0.25">
      <c r="A1403" s="7">
        <f t="shared" si="126"/>
        <v>281</v>
      </c>
      <c r="B1403" s="2">
        <v>44972</v>
      </c>
      <c r="C1403" s="3">
        <v>18.97</v>
      </c>
      <c r="D1403" s="3">
        <v>19.61</v>
      </c>
      <c r="E1403" s="3">
        <v>18.86</v>
      </c>
      <c r="F1403" s="3">
        <v>19.46</v>
      </c>
      <c r="G1403" s="3">
        <v>3665264</v>
      </c>
      <c r="H1403" s="8">
        <f t="shared" si="127"/>
        <v>13.5978835978836</v>
      </c>
      <c r="I1403">
        <f t="shared" si="128"/>
        <v>20.009999999999998</v>
      </c>
      <c r="J1403" s="6" cm="1">
        <f t="array" ref="J1403">_xlfn.STDEV.S(IF($A:$A=A1403, $F:$F))</f>
        <v>0.96007812182134411</v>
      </c>
      <c r="P1403" s="8">
        <f t="shared" si="129"/>
        <v>13.5978835978836</v>
      </c>
      <c r="Q1403" s="8">
        <f t="shared" si="130"/>
        <v>13.5978835978836</v>
      </c>
      <c r="R1403" s="10">
        <f t="shared" si="131"/>
        <v>13.5978835978836</v>
      </c>
    </row>
    <row r="1404" spans="1:18" x14ac:dyDescent="0.25">
      <c r="A1404" s="7">
        <f t="shared" si="126"/>
        <v>281</v>
      </c>
      <c r="B1404" s="2">
        <v>44973</v>
      </c>
      <c r="C1404" s="3">
        <v>19.760000000000002</v>
      </c>
      <c r="D1404" s="3">
        <v>20.13</v>
      </c>
      <c r="E1404" s="3">
        <v>19.5</v>
      </c>
      <c r="F1404" s="3">
        <v>20.13</v>
      </c>
      <c r="G1404" s="3">
        <v>4417702</v>
      </c>
      <c r="H1404" s="8">
        <f t="shared" si="127"/>
        <v>13.5978835978836</v>
      </c>
      <c r="I1404">
        <f t="shared" si="128"/>
        <v>20.009999999999998</v>
      </c>
      <c r="J1404" s="6" cm="1">
        <f t="array" ref="J1404">_xlfn.STDEV.S(IF($A:$A=A1404, $F:$F))</f>
        <v>0.96007812182134411</v>
      </c>
      <c r="P1404" s="8">
        <f t="shared" si="129"/>
        <v>13.5978835978836</v>
      </c>
      <c r="Q1404" s="8">
        <f t="shared" si="130"/>
        <v>13.5978835978836</v>
      </c>
      <c r="R1404" s="10">
        <f t="shared" si="131"/>
        <v>13.5978835978836</v>
      </c>
    </row>
    <row r="1405" spans="1:18" x14ac:dyDescent="0.25">
      <c r="A1405" s="7">
        <f t="shared" si="126"/>
        <v>281</v>
      </c>
      <c r="B1405" s="2">
        <v>44974</v>
      </c>
      <c r="C1405" s="3">
        <v>20.13</v>
      </c>
      <c r="D1405" s="3">
        <v>20.2</v>
      </c>
      <c r="E1405" s="3">
        <v>19.760000000000002</v>
      </c>
      <c r="F1405" s="3">
        <v>20.09</v>
      </c>
      <c r="G1405" s="3">
        <v>3790042</v>
      </c>
      <c r="H1405" s="8">
        <f t="shared" si="127"/>
        <v>13.5978835978836</v>
      </c>
      <c r="I1405">
        <f t="shared" si="128"/>
        <v>20.009999999999998</v>
      </c>
      <c r="J1405" s="6" cm="1">
        <f t="array" ref="J1405">_xlfn.STDEV.S(IF($A:$A=A1405, $F:$F))</f>
        <v>0.96007812182134411</v>
      </c>
      <c r="P1405" s="8">
        <f t="shared" si="129"/>
        <v>13.5978835978836</v>
      </c>
      <c r="Q1405" s="8">
        <f t="shared" si="130"/>
        <v>13.5978835978836</v>
      </c>
      <c r="R1405" s="10">
        <f t="shared" si="131"/>
        <v>13.5978835978836</v>
      </c>
    </row>
    <row r="1406" spans="1:18" x14ac:dyDescent="0.25">
      <c r="A1406" s="7">
        <f t="shared" si="126"/>
        <v>281</v>
      </c>
      <c r="B1406" s="2">
        <v>44977</v>
      </c>
      <c r="C1406" s="3">
        <v>20.13</v>
      </c>
      <c r="D1406" s="3">
        <v>21.47</v>
      </c>
      <c r="E1406" s="3">
        <v>20.13</v>
      </c>
      <c r="F1406" s="3">
        <v>21.47</v>
      </c>
      <c r="G1406" s="3">
        <v>6507957</v>
      </c>
      <c r="H1406" s="8">
        <f t="shared" si="127"/>
        <v>13.5978835978836</v>
      </c>
      <c r="I1406">
        <f t="shared" si="128"/>
        <v>20.009999999999998</v>
      </c>
      <c r="J1406" s="6" cm="1">
        <f t="array" ref="J1406">_xlfn.STDEV.S(IF($A:$A=A1406, $F:$F))</f>
        <v>0.96007812182134411</v>
      </c>
      <c r="P1406" s="8">
        <f t="shared" si="129"/>
        <v>13.5978835978836</v>
      </c>
      <c r="Q1406" s="8">
        <f t="shared" si="130"/>
        <v>13.5978835978836</v>
      </c>
      <c r="R1406" s="10">
        <f t="shared" si="131"/>
        <v>13.5978835978836</v>
      </c>
    </row>
    <row r="1407" spans="1:18" x14ac:dyDescent="0.25">
      <c r="A1407" s="7">
        <f t="shared" si="126"/>
        <v>282</v>
      </c>
      <c r="B1407" s="2">
        <v>44978</v>
      </c>
      <c r="C1407" s="3">
        <v>21.62</v>
      </c>
      <c r="D1407" s="3">
        <v>21.69</v>
      </c>
      <c r="E1407" s="3">
        <v>21.17</v>
      </c>
      <c r="F1407" s="3">
        <v>21.17</v>
      </c>
      <c r="G1407" s="3">
        <v>5390818</v>
      </c>
      <c r="H1407" s="8">
        <f t="shared" si="127"/>
        <v>-11.242324043457733</v>
      </c>
      <c r="I1407">
        <f t="shared" si="128"/>
        <v>20.100000000000001</v>
      </c>
      <c r="J1407" s="6" cm="1">
        <f t="array" ref="J1407">_xlfn.STDEV.S(IF($A:$A=A1407, $F:$F))</f>
        <v>0.92671462705624841</v>
      </c>
      <c r="P1407" s="8">
        <f t="shared" si="129"/>
        <v>-11.242324043457733</v>
      </c>
      <c r="Q1407" s="8">
        <f t="shared" si="130"/>
        <v>-11.242324043457733</v>
      </c>
      <c r="R1407" s="11">
        <f t="shared" si="131"/>
        <v>-11.242324043457733</v>
      </c>
    </row>
    <row r="1408" spans="1:18" x14ac:dyDescent="0.25">
      <c r="A1408" s="7">
        <f t="shared" si="126"/>
        <v>282</v>
      </c>
      <c r="B1408" s="2">
        <v>44979</v>
      </c>
      <c r="C1408" s="3">
        <v>20.76</v>
      </c>
      <c r="D1408" s="3">
        <v>21.36</v>
      </c>
      <c r="E1408" s="3">
        <v>20.13</v>
      </c>
      <c r="F1408" s="3">
        <v>20.13</v>
      </c>
      <c r="G1408" s="3">
        <v>7461919</v>
      </c>
      <c r="H1408" s="8">
        <f t="shared" si="127"/>
        <v>-11.242324043457733</v>
      </c>
      <c r="I1408">
        <f t="shared" si="128"/>
        <v>20.100000000000001</v>
      </c>
      <c r="J1408" s="6" cm="1">
        <f t="array" ref="J1408">_xlfn.STDEV.S(IF($A:$A=A1408, $F:$F))</f>
        <v>0.92671462705624841</v>
      </c>
      <c r="P1408" s="8">
        <f t="shared" si="129"/>
        <v>-11.242324043457733</v>
      </c>
      <c r="Q1408" s="8">
        <f t="shared" si="130"/>
        <v>-11.242324043457733</v>
      </c>
      <c r="R1408" s="11">
        <f t="shared" si="131"/>
        <v>-11.242324043457733</v>
      </c>
    </row>
    <row r="1409" spans="1:18" x14ac:dyDescent="0.25">
      <c r="A1409" s="7">
        <f t="shared" si="126"/>
        <v>282</v>
      </c>
      <c r="B1409" s="2">
        <v>44980</v>
      </c>
      <c r="C1409" s="3">
        <v>20.13</v>
      </c>
      <c r="D1409" s="3">
        <v>20.73</v>
      </c>
      <c r="E1409" s="3">
        <v>19.5</v>
      </c>
      <c r="F1409" s="3">
        <v>20.73</v>
      </c>
      <c r="G1409" s="3">
        <v>5034173</v>
      </c>
      <c r="H1409" s="8">
        <f t="shared" si="127"/>
        <v>-11.242324043457733</v>
      </c>
      <c r="I1409">
        <f t="shared" si="128"/>
        <v>20.100000000000001</v>
      </c>
      <c r="J1409" s="6" cm="1">
        <f t="array" ref="J1409">_xlfn.STDEV.S(IF($A:$A=A1409, $F:$F))</f>
        <v>0.92671462705624841</v>
      </c>
      <c r="P1409" s="8">
        <f t="shared" si="129"/>
        <v>-11.242324043457733</v>
      </c>
      <c r="Q1409" s="8">
        <f t="shared" si="130"/>
        <v>-11.242324043457733</v>
      </c>
      <c r="R1409" s="11">
        <f t="shared" si="131"/>
        <v>-11.242324043457733</v>
      </c>
    </row>
    <row r="1410" spans="1:18" x14ac:dyDescent="0.25">
      <c r="A1410" s="7">
        <f t="shared" si="126"/>
        <v>282</v>
      </c>
      <c r="B1410" s="2">
        <v>44981</v>
      </c>
      <c r="C1410" s="3">
        <v>20.73</v>
      </c>
      <c r="D1410" s="3">
        <v>20.76</v>
      </c>
      <c r="E1410" s="3">
        <v>19.61</v>
      </c>
      <c r="F1410" s="3">
        <v>19.68</v>
      </c>
      <c r="G1410" s="3">
        <v>3294049</v>
      </c>
      <c r="H1410" s="8">
        <f t="shared" si="127"/>
        <v>-11.242324043457733</v>
      </c>
      <c r="I1410">
        <f t="shared" si="128"/>
        <v>20.100000000000001</v>
      </c>
      <c r="J1410" s="6" cm="1">
        <f t="array" ref="J1410">_xlfn.STDEV.S(IF($A:$A=A1410, $F:$F))</f>
        <v>0.92671462705624841</v>
      </c>
      <c r="P1410" s="8">
        <f t="shared" si="129"/>
        <v>-11.242324043457733</v>
      </c>
      <c r="Q1410" s="8">
        <f t="shared" si="130"/>
        <v>-11.242324043457733</v>
      </c>
      <c r="R1410" s="11">
        <f t="shared" si="131"/>
        <v>-11.242324043457733</v>
      </c>
    </row>
    <row r="1411" spans="1:18" x14ac:dyDescent="0.25">
      <c r="A1411" s="7">
        <f t="shared" ref="A1411:A1474" si="132">INT((ROW(A1411)-ROW($A$2))/5) + 1</f>
        <v>282</v>
      </c>
      <c r="B1411" s="2">
        <v>44984</v>
      </c>
      <c r="C1411" s="3">
        <v>19.23</v>
      </c>
      <c r="D1411" s="3">
        <v>19.46</v>
      </c>
      <c r="E1411" s="3">
        <v>18.79</v>
      </c>
      <c r="F1411" s="3">
        <v>18.79</v>
      </c>
      <c r="G1411" s="3">
        <v>3598433</v>
      </c>
      <c r="H1411" s="8">
        <f t="shared" ref="H1411:H1474" si="133">IF(A1411=A1410, H1410, (F1415-F1411)/F1411*100)</f>
        <v>-11.242324043457733</v>
      </c>
      <c r="I1411">
        <f t="shared" ref="I1411:I1474" si="134">AVERAGEIF($A:$A, A1411, $F:$F)</f>
        <v>20.100000000000001</v>
      </c>
      <c r="J1411" s="6" cm="1">
        <f t="array" ref="J1411">_xlfn.STDEV.S(IF($A:$A=A1411, $F:$F))</f>
        <v>0.92671462705624841</v>
      </c>
      <c r="P1411" s="8">
        <f t="shared" ref="P1411:P1474" si="135">IF(A1411=A1410,P1410,(F1415-F1411)/F1411*100)</f>
        <v>-11.242324043457733</v>
      </c>
      <c r="Q1411" s="8">
        <f t="shared" ref="Q1411:Q1474" si="136">IF(A1411=A1410,Q1410,(F1415-F1411)/F1411*100)</f>
        <v>-11.242324043457733</v>
      </c>
      <c r="R1411" s="11">
        <f t="shared" ref="R1411:R1474" si="137">IF(A1411=A1410,R1410,(F1415-F1411)/F1411*100)</f>
        <v>-11.242324043457733</v>
      </c>
    </row>
    <row r="1412" spans="1:18" x14ac:dyDescent="0.25">
      <c r="A1412" s="7">
        <f t="shared" si="132"/>
        <v>283</v>
      </c>
      <c r="B1412" s="2">
        <v>44985</v>
      </c>
      <c r="C1412" s="3">
        <v>19.23</v>
      </c>
      <c r="D1412" s="3">
        <v>19.38</v>
      </c>
      <c r="E1412" s="3">
        <v>18.940000000000001</v>
      </c>
      <c r="F1412" s="3">
        <v>19.16</v>
      </c>
      <c r="G1412" s="3">
        <v>2530224</v>
      </c>
      <c r="H1412" s="8">
        <f t="shared" si="133"/>
        <v>1.3569937369519915</v>
      </c>
      <c r="I1412">
        <f t="shared" si="134"/>
        <v>19.649999999999999</v>
      </c>
      <c r="J1412" s="6" cm="1">
        <f t="array" ref="J1412">_xlfn.STDEV.S(IF($A:$A=A1412, $F:$F))</f>
        <v>0.54244815420462078</v>
      </c>
      <c r="P1412" s="8">
        <f t="shared" si="135"/>
        <v>1.3569937369519915</v>
      </c>
      <c r="Q1412" s="8">
        <f t="shared" si="136"/>
        <v>1.3569937369519915</v>
      </c>
      <c r="R1412" s="8">
        <f t="shared" si="137"/>
        <v>1.3569937369519915</v>
      </c>
    </row>
    <row r="1413" spans="1:18" x14ac:dyDescent="0.25">
      <c r="A1413" s="7">
        <f t="shared" si="132"/>
        <v>283</v>
      </c>
      <c r="B1413" s="2">
        <v>44986</v>
      </c>
      <c r="C1413" s="3">
        <v>19.010000000000002</v>
      </c>
      <c r="D1413" s="3">
        <v>20.39</v>
      </c>
      <c r="E1413" s="3">
        <v>18.940000000000001</v>
      </c>
      <c r="F1413" s="3">
        <v>20.39</v>
      </c>
      <c r="G1413" s="3">
        <v>4991438</v>
      </c>
      <c r="H1413" s="8">
        <f t="shared" si="133"/>
        <v>1.3569937369519915</v>
      </c>
      <c r="I1413">
        <f t="shared" si="134"/>
        <v>19.649999999999999</v>
      </c>
      <c r="J1413" s="6" cm="1">
        <f t="array" ref="J1413">_xlfn.STDEV.S(IF($A:$A=A1413, $F:$F))</f>
        <v>0.54244815420462078</v>
      </c>
      <c r="P1413" s="8">
        <f t="shared" si="135"/>
        <v>1.3569937369519915</v>
      </c>
      <c r="Q1413" s="8">
        <f t="shared" si="136"/>
        <v>1.3569937369519915</v>
      </c>
      <c r="R1413" s="8">
        <f t="shared" si="137"/>
        <v>1.3569937369519915</v>
      </c>
    </row>
    <row r="1414" spans="1:18" x14ac:dyDescent="0.25">
      <c r="A1414" s="7">
        <f t="shared" si="132"/>
        <v>283</v>
      </c>
      <c r="B1414" s="2">
        <v>44987</v>
      </c>
      <c r="C1414" s="3">
        <v>20.350000000000001</v>
      </c>
      <c r="D1414" s="3">
        <v>20.46</v>
      </c>
      <c r="E1414" s="3">
        <v>19.829999999999998</v>
      </c>
      <c r="F1414" s="3">
        <v>20.05</v>
      </c>
      <c r="G1414" s="3">
        <v>1986642</v>
      </c>
      <c r="H1414" s="8">
        <f t="shared" si="133"/>
        <v>1.3569937369519915</v>
      </c>
      <c r="I1414">
        <f t="shared" si="134"/>
        <v>19.649999999999999</v>
      </c>
      <c r="J1414" s="6" cm="1">
        <f t="array" ref="J1414">_xlfn.STDEV.S(IF($A:$A=A1414, $F:$F))</f>
        <v>0.54244815420462078</v>
      </c>
      <c r="P1414" s="8">
        <f t="shared" si="135"/>
        <v>1.3569937369519915</v>
      </c>
      <c r="Q1414" s="8">
        <f t="shared" si="136"/>
        <v>1.3569937369519915</v>
      </c>
      <c r="R1414" s="8">
        <f t="shared" si="137"/>
        <v>1.3569937369519915</v>
      </c>
    </row>
    <row r="1415" spans="1:18" x14ac:dyDescent="0.25">
      <c r="A1415" s="7">
        <f t="shared" si="132"/>
        <v>283</v>
      </c>
      <c r="B1415" s="2">
        <v>44988</v>
      </c>
      <c r="C1415" s="3">
        <v>20.09</v>
      </c>
      <c r="D1415" s="3">
        <v>20.170000000000002</v>
      </c>
      <c r="E1415" s="3">
        <v>19.23</v>
      </c>
      <c r="F1415" s="3">
        <v>19.23</v>
      </c>
      <c r="G1415" s="3">
        <v>3889340</v>
      </c>
      <c r="H1415" s="8">
        <f t="shared" si="133"/>
        <v>1.3569937369519915</v>
      </c>
      <c r="I1415">
        <f t="shared" si="134"/>
        <v>19.649999999999999</v>
      </c>
      <c r="J1415" s="6" cm="1">
        <f t="array" ref="J1415">_xlfn.STDEV.S(IF($A:$A=A1415, $F:$F))</f>
        <v>0.54244815420462078</v>
      </c>
      <c r="P1415" s="8">
        <f t="shared" si="135"/>
        <v>1.3569937369519915</v>
      </c>
      <c r="Q1415" s="8">
        <f t="shared" si="136"/>
        <v>1.3569937369519915</v>
      </c>
      <c r="R1415" s="8">
        <f t="shared" si="137"/>
        <v>1.3569937369519915</v>
      </c>
    </row>
    <row r="1416" spans="1:18" x14ac:dyDescent="0.25">
      <c r="A1416" s="7">
        <f t="shared" si="132"/>
        <v>283</v>
      </c>
      <c r="B1416" s="2">
        <v>44991</v>
      </c>
      <c r="C1416" s="3">
        <v>19.72</v>
      </c>
      <c r="D1416" s="3">
        <v>20.09</v>
      </c>
      <c r="E1416" s="3">
        <v>19.38</v>
      </c>
      <c r="F1416" s="3">
        <v>19.420000000000002</v>
      </c>
      <c r="G1416" s="3">
        <v>2398896</v>
      </c>
      <c r="H1416" s="8">
        <f t="shared" si="133"/>
        <v>1.3569937369519915</v>
      </c>
      <c r="I1416">
        <f t="shared" si="134"/>
        <v>19.649999999999999</v>
      </c>
      <c r="J1416" s="6" cm="1">
        <f t="array" ref="J1416">_xlfn.STDEV.S(IF($A:$A=A1416, $F:$F))</f>
        <v>0.54244815420462078</v>
      </c>
      <c r="P1416" s="8">
        <f t="shared" si="135"/>
        <v>1.3569937369519915</v>
      </c>
      <c r="Q1416" s="8">
        <f t="shared" si="136"/>
        <v>1.3569937369519915</v>
      </c>
      <c r="R1416" s="8">
        <f t="shared" si="137"/>
        <v>1.3569937369519915</v>
      </c>
    </row>
    <row r="1417" spans="1:18" x14ac:dyDescent="0.25">
      <c r="A1417" s="7">
        <f t="shared" si="132"/>
        <v>284</v>
      </c>
      <c r="B1417" s="2">
        <v>44992</v>
      </c>
      <c r="C1417" s="3">
        <v>19.61</v>
      </c>
      <c r="D1417" s="3">
        <v>20.2</v>
      </c>
      <c r="E1417" s="3">
        <v>19.61</v>
      </c>
      <c r="F1417" s="3">
        <v>20.05</v>
      </c>
      <c r="G1417" s="3">
        <v>3598859</v>
      </c>
      <c r="H1417" s="8">
        <f t="shared" si="133"/>
        <v>5.5860349127182092</v>
      </c>
      <c r="I1417">
        <f t="shared" si="134"/>
        <v>20.76</v>
      </c>
      <c r="J1417" s="6" cm="1">
        <f t="array" ref="J1417">_xlfn.STDEV.S(IF($A:$A=A1417, $F:$F))</f>
        <v>0.424381903478459</v>
      </c>
      <c r="P1417" s="8">
        <f t="shared" si="135"/>
        <v>5.5860349127182092</v>
      </c>
      <c r="Q1417" s="8">
        <f t="shared" si="136"/>
        <v>5.5860349127182092</v>
      </c>
      <c r="R1417" s="8">
        <f t="shared" si="137"/>
        <v>5.5860349127182092</v>
      </c>
    </row>
    <row r="1418" spans="1:18" x14ac:dyDescent="0.25">
      <c r="A1418" s="7">
        <f t="shared" si="132"/>
        <v>284</v>
      </c>
      <c r="B1418" s="2">
        <v>44993</v>
      </c>
      <c r="C1418" s="3">
        <v>19.760000000000002</v>
      </c>
      <c r="D1418" s="3">
        <v>20.95</v>
      </c>
      <c r="E1418" s="3">
        <v>19.72</v>
      </c>
      <c r="F1418" s="3">
        <v>20.95</v>
      </c>
      <c r="G1418" s="3">
        <v>5817172</v>
      </c>
      <c r="H1418" s="8">
        <f t="shared" si="133"/>
        <v>5.5860349127182092</v>
      </c>
      <c r="I1418">
        <f t="shared" si="134"/>
        <v>20.76</v>
      </c>
      <c r="J1418" s="6" cm="1">
        <f t="array" ref="J1418">_xlfn.STDEV.S(IF($A:$A=A1418, $F:$F))</f>
        <v>0.424381903478459</v>
      </c>
      <c r="P1418" s="8">
        <f t="shared" si="135"/>
        <v>5.5860349127182092</v>
      </c>
      <c r="Q1418" s="8">
        <f t="shared" si="136"/>
        <v>5.5860349127182092</v>
      </c>
      <c r="R1418" s="8">
        <f t="shared" si="137"/>
        <v>5.5860349127182092</v>
      </c>
    </row>
    <row r="1419" spans="1:18" x14ac:dyDescent="0.25">
      <c r="A1419" s="7">
        <f t="shared" si="132"/>
        <v>284</v>
      </c>
      <c r="B1419" s="2">
        <v>44994</v>
      </c>
      <c r="C1419" s="3">
        <v>21.1</v>
      </c>
      <c r="D1419" s="3">
        <v>21.21</v>
      </c>
      <c r="E1419" s="3">
        <v>20.73</v>
      </c>
      <c r="F1419" s="3">
        <v>20.87</v>
      </c>
      <c r="G1419" s="3">
        <v>4768703</v>
      </c>
      <c r="H1419" s="8">
        <f t="shared" si="133"/>
        <v>5.5860349127182092</v>
      </c>
      <c r="I1419">
        <f t="shared" si="134"/>
        <v>20.76</v>
      </c>
      <c r="J1419" s="6" cm="1">
        <f t="array" ref="J1419">_xlfn.STDEV.S(IF($A:$A=A1419, $F:$F))</f>
        <v>0.424381903478459</v>
      </c>
      <c r="P1419" s="8">
        <f t="shared" si="135"/>
        <v>5.5860349127182092</v>
      </c>
      <c r="Q1419" s="8">
        <f t="shared" si="136"/>
        <v>5.5860349127182092</v>
      </c>
      <c r="R1419" s="8">
        <f t="shared" si="137"/>
        <v>5.5860349127182092</v>
      </c>
    </row>
    <row r="1420" spans="1:18" x14ac:dyDescent="0.25">
      <c r="A1420" s="7">
        <f t="shared" si="132"/>
        <v>284</v>
      </c>
      <c r="B1420" s="2">
        <v>44995</v>
      </c>
      <c r="C1420" s="3">
        <v>20.65</v>
      </c>
      <c r="D1420" s="3">
        <v>20.95</v>
      </c>
      <c r="E1420" s="3">
        <v>20.39</v>
      </c>
      <c r="F1420" s="3">
        <v>20.76</v>
      </c>
      <c r="G1420" s="3">
        <v>4747761</v>
      </c>
      <c r="H1420" s="8">
        <f t="shared" si="133"/>
        <v>5.5860349127182092</v>
      </c>
      <c r="I1420">
        <f t="shared" si="134"/>
        <v>20.76</v>
      </c>
      <c r="J1420" s="6" cm="1">
        <f t="array" ref="J1420">_xlfn.STDEV.S(IF($A:$A=A1420, $F:$F))</f>
        <v>0.424381903478459</v>
      </c>
      <c r="P1420" s="8">
        <f t="shared" si="135"/>
        <v>5.5860349127182092</v>
      </c>
      <c r="Q1420" s="8">
        <f t="shared" si="136"/>
        <v>5.5860349127182092</v>
      </c>
      <c r="R1420" s="8">
        <f t="shared" si="137"/>
        <v>5.5860349127182092</v>
      </c>
    </row>
    <row r="1421" spans="1:18" x14ac:dyDescent="0.25">
      <c r="A1421" s="7">
        <f t="shared" si="132"/>
        <v>284</v>
      </c>
      <c r="B1421" s="2">
        <v>44998</v>
      </c>
      <c r="C1421" s="3">
        <v>20.54</v>
      </c>
      <c r="D1421" s="3">
        <v>21.28</v>
      </c>
      <c r="E1421" s="3">
        <v>20.350000000000001</v>
      </c>
      <c r="F1421" s="3">
        <v>21.17</v>
      </c>
      <c r="G1421" s="3">
        <v>6734054</v>
      </c>
      <c r="H1421" s="8">
        <f t="shared" si="133"/>
        <v>5.5860349127182092</v>
      </c>
      <c r="I1421">
        <f t="shared" si="134"/>
        <v>20.76</v>
      </c>
      <c r="J1421" s="6" cm="1">
        <f t="array" ref="J1421">_xlfn.STDEV.S(IF($A:$A=A1421, $F:$F))</f>
        <v>0.424381903478459</v>
      </c>
      <c r="P1421" s="8">
        <f t="shared" si="135"/>
        <v>5.5860349127182092</v>
      </c>
      <c r="Q1421" s="8">
        <f t="shared" si="136"/>
        <v>5.5860349127182092</v>
      </c>
      <c r="R1421" s="8">
        <f t="shared" si="137"/>
        <v>5.5860349127182092</v>
      </c>
    </row>
    <row r="1422" spans="1:18" x14ac:dyDescent="0.25">
      <c r="A1422" s="7">
        <f t="shared" si="132"/>
        <v>285</v>
      </c>
      <c r="B1422" s="2">
        <v>44999</v>
      </c>
      <c r="C1422" s="3">
        <v>21.17</v>
      </c>
      <c r="D1422" s="3">
        <v>21.17</v>
      </c>
      <c r="E1422" s="3">
        <v>20.28</v>
      </c>
      <c r="F1422" s="3">
        <v>20.350000000000001</v>
      </c>
      <c r="G1422" s="3">
        <v>6447306</v>
      </c>
      <c r="H1422" s="8">
        <f t="shared" si="133"/>
        <v>2.5552825552825529</v>
      </c>
      <c r="I1422">
        <f t="shared" si="134"/>
        <v>21.328000000000003</v>
      </c>
      <c r="J1422" s="6" cm="1">
        <f t="array" ref="J1422">_xlfn.STDEV.S(IF($A:$A=A1422, $F:$F))</f>
        <v>0.68776449457644984</v>
      </c>
      <c r="P1422" s="8">
        <f t="shared" si="135"/>
        <v>2.5552825552825529</v>
      </c>
      <c r="Q1422" s="8">
        <f t="shared" si="136"/>
        <v>2.5552825552825529</v>
      </c>
      <c r="R1422" s="8">
        <f t="shared" si="137"/>
        <v>2.5552825552825529</v>
      </c>
    </row>
    <row r="1423" spans="1:18" x14ac:dyDescent="0.25">
      <c r="A1423" s="7">
        <f t="shared" si="132"/>
        <v>285</v>
      </c>
      <c r="B1423" s="2">
        <v>45000</v>
      </c>
      <c r="C1423" s="3">
        <v>21.17</v>
      </c>
      <c r="D1423" s="3">
        <v>21.77</v>
      </c>
      <c r="E1423" s="3">
        <v>20.99</v>
      </c>
      <c r="F1423" s="3">
        <v>21.77</v>
      </c>
      <c r="G1423" s="3">
        <v>8409392</v>
      </c>
      <c r="H1423" s="8">
        <f t="shared" si="133"/>
        <v>2.5552825552825529</v>
      </c>
      <c r="I1423">
        <f t="shared" si="134"/>
        <v>21.328000000000003</v>
      </c>
      <c r="J1423" s="6" cm="1">
        <f t="array" ref="J1423">_xlfn.STDEV.S(IF($A:$A=A1423, $F:$F))</f>
        <v>0.68776449457644984</v>
      </c>
      <c r="P1423" s="8">
        <f t="shared" si="135"/>
        <v>2.5552825552825529</v>
      </c>
      <c r="Q1423" s="8">
        <f t="shared" si="136"/>
        <v>2.5552825552825529</v>
      </c>
      <c r="R1423" s="8">
        <f t="shared" si="137"/>
        <v>2.5552825552825529</v>
      </c>
    </row>
    <row r="1424" spans="1:18" x14ac:dyDescent="0.25">
      <c r="A1424" s="7">
        <f t="shared" si="132"/>
        <v>285</v>
      </c>
      <c r="B1424" s="2">
        <v>45001</v>
      </c>
      <c r="C1424" s="3">
        <v>21.84</v>
      </c>
      <c r="D1424" s="3">
        <v>22.22</v>
      </c>
      <c r="E1424" s="3">
        <v>21.66</v>
      </c>
      <c r="F1424" s="3">
        <v>21.69</v>
      </c>
      <c r="G1424" s="3">
        <v>10451460</v>
      </c>
      <c r="H1424" s="8">
        <f t="shared" si="133"/>
        <v>2.5552825552825529</v>
      </c>
      <c r="I1424">
        <f t="shared" si="134"/>
        <v>21.328000000000003</v>
      </c>
      <c r="J1424" s="6" cm="1">
        <f t="array" ref="J1424">_xlfn.STDEV.S(IF($A:$A=A1424, $F:$F))</f>
        <v>0.68776449457644984</v>
      </c>
      <c r="P1424" s="8">
        <f t="shared" si="135"/>
        <v>2.5552825552825529</v>
      </c>
      <c r="Q1424" s="8">
        <f t="shared" si="136"/>
        <v>2.5552825552825529</v>
      </c>
      <c r="R1424" s="8">
        <f t="shared" si="137"/>
        <v>2.5552825552825529</v>
      </c>
    </row>
    <row r="1425" spans="1:18" x14ac:dyDescent="0.25">
      <c r="A1425" s="7">
        <f t="shared" si="132"/>
        <v>285</v>
      </c>
      <c r="B1425" s="2">
        <v>45002</v>
      </c>
      <c r="C1425" s="3">
        <v>22.18</v>
      </c>
      <c r="D1425" s="3">
        <v>22.18</v>
      </c>
      <c r="E1425" s="3">
        <v>21.43</v>
      </c>
      <c r="F1425" s="3">
        <v>21.96</v>
      </c>
      <c r="G1425" s="3">
        <v>9955549</v>
      </c>
      <c r="H1425" s="8">
        <f t="shared" si="133"/>
        <v>2.5552825552825529</v>
      </c>
      <c r="I1425">
        <f t="shared" si="134"/>
        <v>21.328000000000003</v>
      </c>
      <c r="J1425" s="6" cm="1">
        <f t="array" ref="J1425">_xlfn.STDEV.S(IF($A:$A=A1425, $F:$F))</f>
        <v>0.68776449457644984</v>
      </c>
      <c r="P1425" s="8">
        <f t="shared" si="135"/>
        <v>2.5552825552825529</v>
      </c>
      <c r="Q1425" s="8">
        <f t="shared" si="136"/>
        <v>2.5552825552825529</v>
      </c>
      <c r="R1425" s="8">
        <f t="shared" si="137"/>
        <v>2.5552825552825529</v>
      </c>
    </row>
    <row r="1426" spans="1:18" x14ac:dyDescent="0.25">
      <c r="A1426" s="7">
        <f t="shared" si="132"/>
        <v>285</v>
      </c>
      <c r="B1426" s="2">
        <v>45005</v>
      </c>
      <c r="C1426" s="3">
        <v>21.77</v>
      </c>
      <c r="D1426" s="3">
        <v>21.99</v>
      </c>
      <c r="E1426" s="3">
        <v>20.8</v>
      </c>
      <c r="F1426" s="3">
        <v>20.87</v>
      </c>
      <c r="G1426" s="3">
        <v>7392061</v>
      </c>
      <c r="H1426" s="8">
        <f t="shared" si="133"/>
        <v>2.5552825552825529</v>
      </c>
      <c r="I1426">
        <f t="shared" si="134"/>
        <v>21.328000000000003</v>
      </c>
      <c r="J1426" s="6" cm="1">
        <f t="array" ref="J1426">_xlfn.STDEV.S(IF($A:$A=A1426, $F:$F))</f>
        <v>0.68776449457644984</v>
      </c>
      <c r="P1426" s="8">
        <f t="shared" si="135"/>
        <v>2.5552825552825529</v>
      </c>
      <c r="Q1426" s="8">
        <f t="shared" si="136"/>
        <v>2.5552825552825529</v>
      </c>
      <c r="R1426" s="8">
        <f t="shared" si="137"/>
        <v>2.5552825552825529</v>
      </c>
    </row>
    <row r="1427" spans="1:18" x14ac:dyDescent="0.25">
      <c r="A1427" s="7">
        <f t="shared" si="132"/>
        <v>286</v>
      </c>
      <c r="B1427" s="2">
        <v>45006</v>
      </c>
      <c r="C1427" s="3">
        <v>21.25</v>
      </c>
      <c r="D1427" s="3">
        <v>21.84</v>
      </c>
      <c r="E1427" s="3">
        <v>20.95</v>
      </c>
      <c r="F1427" s="3">
        <v>21.84</v>
      </c>
      <c r="G1427" s="3">
        <v>6194239</v>
      </c>
      <c r="H1427" s="8">
        <f t="shared" si="133"/>
        <v>9.2490842490842464</v>
      </c>
      <c r="I1427">
        <f t="shared" si="134"/>
        <v>22.843999999999998</v>
      </c>
      <c r="J1427" s="6" cm="1">
        <f t="array" ref="J1427">_xlfn.STDEV.S(IF($A:$A=A1427, $F:$F))</f>
        <v>0.8994053591123411</v>
      </c>
      <c r="P1427" s="8">
        <f t="shared" si="135"/>
        <v>9.2490842490842464</v>
      </c>
      <c r="Q1427" s="8">
        <f t="shared" si="136"/>
        <v>9.2490842490842464</v>
      </c>
      <c r="R1427" s="8">
        <f t="shared" si="137"/>
        <v>9.2490842490842464</v>
      </c>
    </row>
    <row r="1428" spans="1:18" x14ac:dyDescent="0.25">
      <c r="A1428" s="7">
        <f t="shared" si="132"/>
        <v>286</v>
      </c>
      <c r="B1428" s="2">
        <v>45007</v>
      </c>
      <c r="C1428" s="3">
        <v>21.96</v>
      </c>
      <c r="D1428" s="3">
        <v>22.63</v>
      </c>
      <c r="E1428" s="3">
        <v>21.88</v>
      </c>
      <c r="F1428" s="3">
        <v>21.96</v>
      </c>
      <c r="G1428" s="3">
        <v>7490360</v>
      </c>
      <c r="H1428" s="8">
        <f t="shared" si="133"/>
        <v>9.2490842490842464</v>
      </c>
      <c r="I1428">
        <f t="shared" si="134"/>
        <v>22.843999999999998</v>
      </c>
      <c r="J1428" s="6" cm="1">
        <f t="array" ref="J1428">_xlfn.STDEV.S(IF($A:$A=A1428, $F:$F))</f>
        <v>0.8994053591123411</v>
      </c>
      <c r="P1428" s="8">
        <f t="shared" si="135"/>
        <v>9.2490842490842464</v>
      </c>
      <c r="Q1428" s="8">
        <f t="shared" si="136"/>
        <v>9.2490842490842464</v>
      </c>
      <c r="R1428" s="8">
        <f t="shared" si="137"/>
        <v>9.2490842490842464</v>
      </c>
    </row>
    <row r="1429" spans="1:18" x14ac:dyDescent="0.25">
      <c r="A1429" s="7">
        <f t="shared" si="132"/>
        <v>286</v>
      </c>
      <c r="B1429" s="2">
        <v>45008</v>
      </c>
      <c r="C1429" s="3">
        <v>21.81</v>
      </c>
      <c r="D1429" s="3">
        <v>23.41</v>
      </c>
      <c r="E1429" s="3">
        <v>21.69</v>
      </c>
      <c r="F1429" s="3">
        <v>23.41</v>
      </c>
      <c r="G1429" s="3">
        <v>11239194</v>
      </c>
      <c r="H1429" s="8">
        <f t="shared" si="133"/>
        <v>9.2490842490842464</v>
      </c>
      <c r="I1429">
        <f t="shared" si="134"/>
        <v>22.843999999999998</v>
      </c>
      <c r="J1429" s="6" cm="1">
        <f t="array" ref="J1429">_xlfn.STDEV.S(IF($A:$A=A1429, $F:$F))</f>
        <v>0.8994053591123411</v>
      </c>
      <c r="P1429" s="8">
        <f t="shared" si="135"/>
        <v>9.2490842490842464</v>
      </c>
      <c r="Q1429" s="8">
        <f t="shared" si="136"/>
        <v>9.2490842490842464</v>
      </c>
      <c r="R1429" s="8">
        <f t="shared" si="137"/>
        <v>9.2490842490842464</v>
      </c>
    </row>
    <row r="1430" spans="1:18" x14ac:dyDescent="0.25">
      <c r="A1430" s="7">
        <f t="shared" si="132"/>
        <v>286</v>
      </c>
      <c r="B1430" s="2">
        <v>45009</v>
      </c>
      <c r="C1430" s="3">
        <v>23.48</v>
      </c>
      <c r="D1430" s="3">
        <v>23.71</v>
      </c>
      <c r="E1430" s="3">
        <v>23.11</v>
      </c>
      <c r="F1430" s="3">
        <v>23.15</v>
      </c>
      <c r="G1430" s="3">
        <v>6359843</v>
      </c>
      <c r="H1430" s="8">
        <f t="shared" si="133"/>
        <v>9.2490842490842464</v>
      </c>
      <c r="I1430">
        <f t="shared" si="134"/>
        <v>22.843999999999998</v>
      </c>
      <c r="J1430" s="6" cm="1">
        <f t="array" ref="J1430">_xlfn.STDEV.S(IF($A:$A=A1430, $F:$F))</f>
        <v>0.8994053591123411</v>
      </c>
      <c r="P1430" s="8">
        <f t="shared" si="135"/>
        <v>9.2490842490842464</v>
      </c>
      <c r="Q1430" s="8">
        <f t="shared" si="136"/>
        <v>9.2490842490842464</v>
      </c>
      <c r="R1430" s="8">
        <f t="shared" si="137"/>
        <v>9.2490842490842464</v>
      </c>
    </row>
    <row r="1431" spans="1:18" x14ac:dyDescent="0.25">
      <c r="A1431" s="7">
        <f t="shared" si="132"/>
        <v>286</v>
      </c>
      <c r="B1431" s="2">
        <v>45012</v>
      </c>
      <c r="C1431" s="3">
        <v>23.37</v>
      </c>
      <c r="D1431" s="3">
        <v>24.23</v>
      </c>
      <c r="E1431" s="3">
        <v>23.37</v>
      </c>
      <c r="F1431" s="3">
        <v>23.86</v>
      </c>
      <c r="G1431" s="3">
        <v>7185554</v>
      </c>
      <c r="H1431" s="8">
        <f t="shared" si="133"/>
        <v>9.2490842490842464</v>
      </c>
      <c r="I1431">
        <f t="shared" si="134"/>
        <v>22.843999999999998</v>
      </c>
      <c r="J1431" s="6" cm="1">
        <f t="array" ref="J1431">_xlfn.STDEV.S(IF($A:$A=A1431, $F:$F))</f>
        <v>0.8994053591123411</v>
      </c>
      <c r="P1431" s="8">
        <f t="shared" si="135"/>
        <v>9.2490842490842464</v>
      </c>
      <c r="Q1431" s="8">
        <f t="shared" si="136"/>
        <v>9.2490842490842464</v>
      </c>
      <c r="R1431" s="8">
        <f t="shared" si="137"/>
        <v>9.2490842490842464</v>
      </c>
    </row>
    <row r="1432" spans="1:18" x14ac:dyDescent="0.25">
      <c r="A1432" s="7">
        <f t="shared" si="132"/>
        <v>287</v>
      </c>
      <c r="B1432" s="2">
        <v>45013</v>
      </c>
      <c r="C1432" s="3">
        <v>23.93</v>
      </c>
      <c r="D1432" s="3">
        <v>24.08</v>
      </c>
      <c r="E1432" s="3">
        <v>23.56</v>
      </c>
      <c r="F1432" s="3">
        <v>23.63</v>
      </c>
      <c r="G1432" s="3">
        <v>7686319</v>
      </c>
      <c r="H1432" s="8">
        <f t="shared" si="133"/>
        <v>3.0046550994498555</v>
      </c>
      <c r="I1432">
        <f t="shared" si="134"/>
        <v>24.056000000000001</v>
      </c>
      <c r="J1432" s="6" cm="1">
        <f t="array" ref="J1432">_xlfn.STDEV.S(IF($A:$A=A1432, $F:$F))</f>
        <v>0.33508207949694968</v>
      </c>
      <c r="P1432" s="8">
        <f t="shared" si="135"/>
        <v>3.0046550994498555</v>
      </c>
      <c r="Q1432" s="8">
        <f t="shared" si="136"/>
        <v>3.0046550994498555</v>
      </c>
      <c r="R1432" s="8">
        <f t="shared" si="137"/>
        <v>3.0046550994498555</v>
      </c>
    </row>
    <row r="1433" spans="1:18" x14ac:dyDescent="0.25">
      <c r="A1433" s="7">
        <f t="shared" si="132"/>
        <v>287</v>
      </c>
      <c r="B1433" s="2">
        <v>45014</v>
      </c>
      <c r="C1433" s="3">
        <v>23.67</v>
      </c>
      <c r="D1433" s="3">
        <v>24.45</v>
      </c>
      <c r="E1433" s="3">
        <v>23.67</v>
      </c>
      <c r="F1433" s="3">
        <v>24.45</v>
      </c>
      <c r="G1433" s="3">
        <v>6232322</v>
      </c>
      <c r="H1433" s="8">
        <f t="shared" si="133"/>
        <v>3.0046550994498555</v>
      </c>
      <c r="I1433">
        <f t="shared" si="134"/>
        <v>24.056000000000001</v>
      </c>
      <c r="J1433" s="6" cm="1">
        <f t="array" ref="J1433">_xlfn.STDEV.S(IF($A:$A=A1433, $F:$F))</f>
        <v>0.33508207949694968</v>
      </c>
      <c r="P1433" s="8">
        <f t="shared" si="135"/>
        <v>3.0046550994498555</v>
      </c>
      <c r="Q1433" s="8">
        <f t="shared" si="136"/>
        <v>3.0046550994498555</v>
      </c>
      <c r="R1433" s="8">
        <f t="shared" si="137"/>
        <v>3.0046550994498555</v>
      </c>
    </row>
    <row r="1434" spans="1:18" x14ac:dyDescent="0.25">
      <c r="A1434" s="7">
        <f t="shared" si="132"/>
        <v>287</v>
      </c>
      <c r="B1434" s="2">
        <v>45015</v>
      </c>
      <c r="C1434" s="3">
        <v>24.71</v>
      </c>
      <c r="D1434" s="3">
        <v>24.97</v>
      </c>
      <c r="E1434" s="3">
        <v>23.93</v>
      </c>
      <c r="F1434" s="3">
        <v>23.93</v>
      </c>
      <c r="G1434" s="3">
        <v>6209874</v>
      </c>
      <c r="H1434" s="8">
        <f t="shared" si="133"/>
        <v>3.0046550994498555</v>
      </c>
      <c r="I1434">
        <f t="shared" si="134"/>
        <v>24.056000000000001</v>
      </c>
      <c r="J1434" s="6" cm="1">
        <f t="array" ref="J1434">_xlfn.STDEV.S(IF($A:$A=A1434, $F:$F))</f>
        <v>0.33508207949694968</v>
      </c>
      <c r="P1434" s="8">
        <f t="shared" si="135"/>
        <v>3.0046550994498555</v>
      </c>
      <c r="Q1434" s="8">
        <f t="shared" si="136"/>
        <v>3.0046550994498555</v>
      </c>
      <c r="R1434" s="8">
        <f t="shared" si="137"/>
        <v>3.0046550994498555</v>
      </c>
    </row>
    <row r="1435" spans="1:18" x14ac:dyDescent="0.25">
      <c r="A1435" s="7">
        <f t="shared" si="132"/>
        <v>287</v>
      </c>
      <c r="B1435" s="2">
        <v>45016</v>
      </c>
      <c r="C1435" s="3">
        <v>23.48</v>
      </c>
      <c r="D1435" s="3">
        <v>24.23</v>
      </c>
      <c r="E1435" s="3">
        <v>23.19</v>
      </c>
      <c r="F1435" s="3">
        <v>23.93</v>
      </c>
      <c r="G1435" s="3">
        <v>12492675</v>
      </c>
      <c r="H1435" s="8">
        <f t="shared" si="133"/>
        <v>3.0046550994498555</v>
      </c>
      <c r="I1435">
        <f t="shared" si="134"/>
        <v>24.056000000000001</v>
      </c>
      <c r="J1435" s="6" cm="1">
        <f t="array" ref="J1435">_xlfn.STDEV.S(IF($A:$A=A1435, $F:$F))</f>
        <v>0.33508207949694968</v>
      </c>
      <c r="P1435" s="8">
        <f t="shared" si="135"/>
        <v>3.0046550994498555</v>
      </c>
      <c r="Q1435" s="8">
        <f t="shared" si="136"/>
        <v>3.0046550994498555</v>
      </c>
      <c r="R1435" s="8">
        <f t="shared" si="137"/>
        <v>3.0046550994498555</v>
      </c>
    </row>
    <row r="1436" spans="1:18" x14ac:dyDescent="0.25">
      <c r="A1436" s="7">
        <f t="shared" si="132"/>
        <v>287</v>
      </c>
      <c r="B1436" s="2">
        <v>45019</v>
      </c>
      <c r="C1436" s="3">
        <v>24.45</v>
      </c>
      <c r="D1436" s="3">
        <v>24.45</v>
      </c>
      <c r="E1436" s="3">
        <v>24.12</v>
      </c>
      <c r="F1436" s="3">
        <v>24.34</v>
      </c>
      <c r="G1436" s="3">
        <v>5513912</v>
      </c>
      <c r="H1436" s="8">
        <f t="shared" si="133"/>
        <v>3.0046550994498555</v>
      </c>
      <c r="I1436">
        <f t="shared" si="134"/>
        <v>24.056000000000001</v>
      </c>
      <c r="J1436" s="6" cm="1">
        <f t="array" ref="J1436">_xlfn.STDEV.S(IF($A:$A=A1436, $F:$F))</f>
        <v>0.33508207949694968</v>
      </c>
      <c r="P1436" s="8">
        <f t="shared" si="135"/>
        <v>3.0046550994498555</v>
      </c>
      <c r="Q1436" s="8">
        <f t="shared" si="136"/>
        <v>3.0046550994498555</v>
      </c>
      <c r="R1436" s="8">
        <f t="shared" si="137"/>
        <v>3.0046550994498555</v>
      </c>
    </row>
    <row r="1437" spans="1:18" x14ac:dyDescent="0.25">
      <c r="A1437" s="7">
        <f t="shared" si="132"/>
        <v>288</v>
      </c>
      <c r="B1437" s="2">
        <v>45020</v>
      </c>
      <c r="C1437" s="3">
        <v>24.34</v>
      </c>
      <c r="D1437" s="3">
        <v>25.05</v>
      </c>
      <c r="E1437" s="3">
        <v>24.08</v>
      </c>
      <c r="F1437" s="3">
        <v>24.83</v>
      </c>
      <c r="G1437" s="3">
        <v>8345133</v>
      </c>
      <c r="H1437" s="8">
        <f t="shared" si="133"/>
        <v>-3.7857430527587508</v>
      </c>
      <c r="I1437">
        <f t="shared" si="134"/>
        <v>24.364000000000001</v>
      </c>
      <c r="J1437" s="6" cm="1">
        <f t="array" ref="J1437">_xlfn.STDEV.S(IF($A:$A=A1437, $F:$F))</f>
        <v>0.45665085130764776</v>
      </c>
      <c r="P1437" s="8">
        <f t="shared" si="135"/>
        <v>-3.7857430527587508</v>
      </c>
      <c r="Q1437" s="8">
        <f t="shared" si="136"/>
        <v>-3.7857430527587508</v>
      </c>
      <c r="R1437" s="8">
        <f t="shared" si="137"/>
        <v>-3.7857430527587508</v>
      </c>
    </row>
    <row r="1438" spans="1:18" x14ac:dyDescent="0.25">
      <c r="A1438" s="7">
        <f t="shared" si="132"/>
        <v>288</v>
      </c>
      <c r="B1438" s="2">
        <v>45021</v>
      </c>
      <c r="C1438" s="3">
        <v>24.6</v>
      </c>
      <c r="D1438" s="3">
        <v>24.79</v>
      </c>
      <c r="E1438" s="3">
        <v>24.23</v>
      </c>
      <c r="F1438" s="3">
        <v>24.68</v>
      </c>
      <c r="G1438" s="3">
        <v>4621621</v>
      </c>
      <c r="H1438" s="8">
        <f t="shared" si="133"/>
        <v>-3.7857430527587508</v>
      </c>
      <c r="I1438">
        <f t="shared" si="134"/>
        <v>24.364000000000001</v>
      </c>
      <c r="J1438" s="6" cm="1">
        <f t="array" ref="J1438">_xlfn.STDEV.S(IF($A:$A=A1438, $F:$F))</f>
        <v>0.45665085130764776</v>
      </c>
      <c r="P1438" s="8">
        <f t="shared" si="135"/>
        <v>-3.7857430527587508</v>
      </c>
      <c r="Q1438" s="8">
        <f t="shared" si="136"/>
        <v>-3.7857430527587508</v>
      </c>
      <c r="R1438" s="8">
        <f t="shared" si="137"/>
        <v>-3.7857430527587508</v>
      </c>
    </row>
    <row r="1439" spans="1:18" x14ac:dyDescent="0.25">
      <c r="A1439" s="7">
        <f t="shared" si="132"/>
        <v>288</v>
      </c>
      <c r="B1439" s="2">
        <v>45022</v>
      </c>
      <c r="C1439" s="3">
        <v>24.68</v>
      </c>
      <c r="D1439" s="3">
        <v>24.97</v>
      </c>
      <c r="E1439" s="3">
        <v>23.86</v>
      </c>
      <c r="F1439" s="3">
        <v>23.86</v>
      </c>
      <c r="G1439" s="3">
        <v>8040466</v>
      </c>
      <c r="H1439" s="8">
        <f t="shared" si="133"/>
        <v>-3.7857430527587508</v>
      </c>
      <c r="I1439">
        <f t="shared" si="134"/>
        <v>24.364000000000001</v>
      </c>
      <c r="J1439" s="6" cm="1">
        <f t="array" ref="J1439">_xlfn.STDEV.S(IF($A:$A=A1439, $F:$F))</f>
        <v>0.45665085130764776</v>
      </c>
      <c r="P1439" s="8">
        <f t="shared" si="135"/>
        <v>-3.7857430527587508</v>
      </c>
      <c r="Q1439" s="8">
        <f t="shared" si="136"/>
        <v>-3.7857430527587508</v>
      </c>
      <c r="R1439" s="8">
        <f t="shared" si="137"/>
        <v>-3.7857430527587508</v>
      </c>
    </row>
    <row r="1440" spans="1:18" x14ac:dyDescent="0.25">
      <c r="A1440" s="7">
        <f t="shared" si="132"/>
        <v>288</v>
      </c>
      <c r="B1440" s="2">
        <v>45023</v>
      </c>
      <c r="C1440" s="3">
        <v>23.86</v>
      </c>
      <c r="D1440" s="3">
        <v>24.75</v>
      </c>
      <c r="E1440" s="3">
        <v>23.71</v>
      </c>
      <c r="F1440" s="3">
        <v>24.56</v>
      </c>
      <c r="G1440" s="3">
        <v>6091788</v>
      </c>
      <c r="H1440" s="8">
        <f t="shared" si="133"/>
        <v>-3.7857430527587508</v>
      </c>
      <c r="I1440">
        <f t="shared" si="134"/>
        <v>24.364000000000001</v>
      </c>
      <c r="J1440" s="6" cm="1">
        <f t="array" ref="J1440">_xlfn.STDEV.S(IF($A:$A=A1440, $F:$F))</f>
        <v>0.45665085130764776</v>
      </c>
      <c r="P1440" s="8">
        <f t="shared" si="135"/>
        <v>-3.7857430527587508</v>
      </c>
      <c r="Q1440" s="8">
        <f t="shared" si="136"/>
        <v>-3.7857430527587508</v>
      </c>
      <c r="R1440" s="8">
        <f t="shared" si="137"/>
        <v>-3.7857430527587508</v>
      </c>
    </row>
    <row r="1441" spans="1:18" x14ac:dyDescent="0.25">
      <c r="A1441" s="7">
        <f t="shared" si="132"/>
        <v>288</v>
      </c>
      <c r="B1441" s="2">
        <v>45026</v>
      </c>
      <c r="C1441" s="3">
        <v>24.9</v>
      </c>
      <c r="D1441" s="3">
        <v>24.94</v>
      </c>
      <c r="E1441" s="3">
        <v>23.86</v>
      </c>
      <c r="F1441" s="3">
        <v>23.89</v>
      </c>
      <c r="G1441" s="3">
        <v>6184762</v>
      </c>
      <c r="H1441" s="8">
        <f t="shared" si="133"/>
        <v>-3.7857430527587508</v>
      </c>
      <c r="I1441">
        <f t="shared" si="134"/>
        <v>24.364000000000001</v>
      </c>
      <c r="J1441" s="6" cm="1">
        <f t="array" ref="J1441">_xlfn.STDEV.S(IF($A:$A=A1441, $F:$F))</f>
        <v>0.45665085130764776</v>
      </c>
      <c r="P1441" s="8">
        <f t="shared" si="135"/>
        <v>-3.7857430527587508</v>
      </c>
      <c r="Q1441" s="8">
        <f t="shared" si="136"/>
        <v>-3.7857430527587508</v>
      </c>
      <c r="R1441" s="8">
        <f t="shared" si="137"/>
        <v>-3.7857430527587508</v>
      </c>
    </row>
    <row r="1442" spans="1:18" x14ac:dyDescent="0.25">
      <c r="A1442" s="7">
        <f t="shared" si="132"/>
        <v>289</v>
      </c>
      <c r="B1442" s="2">
        <v>45027</v>
      </c>
      <c r="C1442" s="3">
        <v>23.93</v>
      </c>
      <c r="D1442" s="3">
        <v>24.68</v>
      </c>
      <c r="E1442" s="3">
        <v>23.78</v>
      </c>
      <c r="F1442" s="3">
        <v>24.68</v>
      </c>
      <c r="G1442" s="3">
        <v>6912646</v>
      </c>
      <c r="H1442" s="8">
        <f t="shared" si="133"/>
        <v>-5.9157212317666161</v>
      </c>
      <c r="I1442">
        <f t="shared" si="134"/>
        <v>23.751999999999999</v>
      </c>
      <c r="J1442" s="6" cm="1">
        <f t="array" ref="J1442">_xlfn.STDEV.S(IF($A:$A=A1442, $F:$F))</f>
        <v>0.71670775076037774</v>
      </c>
      <c r="P1442" s="8">
        <f t="shared" si="135"/>
        <v>-5.9157212317666161</v>
      </c>
      <c r="Q1442" s="8">
        <f t="shared" si="136"/>
        <v>-5.9157212317666161</v>
      </c>
      <c r="R1442" s="8">
        <f t="shared" si="137"/>
        <v>-5.9157212317666161</v>
      </c>
    </row>
    <row r="1443" spans="1:18" x14ac:dyDescent="0.25">
      <c r="A1443" s="7">
        <f t="shared" si="132"/>
        <v>289</v>
      </c>
      <c r="B1443" s="2">
        <v>45028</v>
      </c>
      <c r="C1443" s="3">
        <v>24.75</v>
      </c>
      <c r="D1443" s="3">
        <v>24.75</v>
      </c>
      <c r="E1443" s="3">
        <v>24.19</v>
      </c>
      <c r="F1443" s="3">
        <v>24.27</v>
      </c>
      <c r="G1443" s="3">
        <v>3789443</v>
      </c>
      <c r="H1443" s="8">
        <f t="shared" si="133"/>
        <v>-5.9157212317666161</v>
      </c>
      <c r="I1443">
        <f t="shared" si="134"/>
        <v>23.751999999999999</v>
      </c>
      <c r="J1443" s="6" cm="1">
        <f t="array" ref="J1443">_xlfn.STDEV.S(IF($A:$A=A1443, $F:$F))</f>
        <v>0.71670775076037774</v>
      </c>
      <c r="P1443" s="8">
        <f t="shared" si="135"/>
        <v>-5.9157212317666161</v>
      </c>
      <c r="Q1443" s="8">
        <f t="shared" si="136"/>
        <v>-5.9157212317666161</v>
      </c>
      <c r="R1443" s="8">
        <f t="shared" si="137"/>
        <v>-5.9157212317666161</v>
      </c>
    </row>
    <row r="1444" spans="1:18" x14ac:dyDescent="0.25">
      <c r="A1444" s="7">
        <f t="shared" si="132"/>
        <v>289</v>
      </c>
      <c r="B1444" s="2">
        <v>45029</v>
      </c>
      <c r="C1444" s="3">
        <v>24.27</v>
      </c>
      <c r="D1444" s="3">
        <v>24.3</v>
      </c>
      <c r="E1444" s="3">
        <v>23.63</v>
      </c>
      <c r="F1444" s="3">
        <v>23.63</v>
      </c>
      <c r="G1444" s="3">
        <v>7137848</v>
      </c>
      <c r="H1444" s="8">
        <f t="shared" si="133"/>
        <v>-5.9157212317666161</v>
      </c>
      <c r="I1444">
        <f t="shared" si="134"/>
        <v>23.751999999999999</v>
      </c>
      <c r="J1444" s="6" cm="1">
        <f t="array" ref="J1444">_xlfn.STDEV.S(IF($A:$A=A1444, $F:$F))</f>
        <v>0.71670775076037774</v>
      </c>
      <c r="P1444" s="8">
        <f t="shared" si="135"/>
        <v>-5.9157212317666161</v>
      </c>
      <c r="Q1444" s="8">
        <f t="shared" si="136"/>
        <v>-5.9157212317666161</v>
      </c>
      <c r="R1444" s="8">
        <f t="shared" si="137"/>
        <v>-5.9157212317666161</v>
      </c>
    </row>
    <row r="1445" spans="1:18" x14ac:dyDescent="0.25">
      <c r="A1445" s="7">
        <f t="shared" si="132"/>
        <v>289</v>
      </c>
      <c r="B1445" s="2">
        <v>45030</v>
      </c>
      <c r="C1445" s="3">
        <v>23.82</v>
      </c>
      <c r="D1445" s="3">
        <v>24.04</v>
      </c>
      <c r="E1445" s="3">
        <v>22.96</v>
      </c>
      <c r="F1445" s="3">
        <v>22.96</v>
      </c>
      <c r="G1445" s="3">
        <v>5917735</v>
      </c>
      <c r="H1445" s="8">
        <f t="shared" si="133"/>
        <v>-5.9157212317666161</v>
      </c>
      <c r="I1445">
        <f t="shared" si="134"/>
        <v>23.751999999999999</v>
      </c>
      <c r="J1445" s="6" cm="1">
        <f t="array" ref="J1445">_xlfn.STDEV.S(IF($A:$A=A1445, $F:$F))</f>
        <v>0.71670775076037774</v>
      </c>
      <c r="P1445" s="8">
        <f t="shared" si="135"/>
        <v>-5.9157212317666161</v>
      </c>
      <c r="Q1445" s="8">
        <f t="shared" si="136"/>
        <v>-5.9157212317666161</v>
      </c>
      <c r="R1445" s="8">
        <f t="shared" si="137"/>
        <v>-5.9157212317666161</v>
      </c>
    </row>
    <row r="1446" spans="1:18" x14ac:dyDescent="0.25">
      <c r="A1446" s="7">
        <f t="shared" si="132"/>
        <v>289</v>
      </c>
      <c r="B1446" s="2">
        <v>45033</v>
      </c>
      <c r="C1446" s="3">
        <v>22.96</v>
      </c>
      <c r="D1446" s="3">
        <v>23.48</v>
      </c>
      <c r="E1446" s="3">
        <v>22.7</v>
      </c>
      <c r="F1446" s="3">
        <v>23.22</v>
      </c>
      <c r="G1446" s="3">
        <v>3218722</v>
      </c>
      <c r="H1446" s="8">
        <f t="shared" si="133"/>
        <v>-5.9157212317666161</v>
      </c>
      <c r="I1446">
        <f t="shared" si="134"/>
        <v>23.751999999999999</v>
      </c>
      <c r="J1446" s="6" cm="1">
        <f t="array" ref="J1446">_xlfn.STDEV.S(IF($A:$A=A1446, $F:$F))</f>
        <v>0.71670775076037774</v>
      </c>
      <c r="P1446" s="8">
        <f t="shared" si="135"/>
        <v>-5.9157212317666161</v>
      </c>
      <c r="Q1446" s="8">
        <f t="shared" si="136"/>
        <v>-5.9157212317666161</v>
      </c>
      <c r="R1446" s="8">
        <f t="shared" si="137"/>
        <v>-5.9157212317666161</v>
      </c>
    </row>
    <row r="1447" spans="1:18" x14ac:dyDescent="0.25">
      <c r="A1447" s="7">
        <f t="shared" si="132"/>
        <v>290</v>
      </c>
      <c r="B1447" s="2">
        <v>45034</v>
      </c>
      <c r="C1447" s="3">
        <v>23.26</v>
      </c>
      <c r="D1447" s="3">
        <v>24.01</v>
      </c>
      <c r="E1447" s="3">
        <v>23</v>
      </c>
      <c r="F1447" s="3">
        <v>24.01</v>
      </c>
      <c r="G1447" s="3">
        <v>5322681</v>
      </c>
      <c r="H1447" s="8">
        <f t="shared" si="133"/>
        <v>-3.2902957101207941</v>
      </c>
      <c r="I1447">
        <f t="shared" si="134"/>
        <v>23.513999999999999</v>
      </c>
      <c r="J1447" s="6" cm="1">
        <f t="array" ref="J1447">_xlfn.STDEV.S(IF($A:$A=A1447, $F:$F))</f>
        <v>0.30517208260258788</v>
      </c>
      <c r="P1447" s="8">
        <f t="shared" si="135"/>
        <v>-3.2902957101207941</v>
      </c>
      <c r="Q1447" s="8">
        <f t="shared" si="136"/>
        <v>-3.2902957101207941</v>
      </c>
      <c r="R1447" s="8">
        <f t="shared" si="137"/>
        <v>-3.2902957101207941</v>
      </c>
    </row>
    <row r="1448" spans="1:18" x14ac:dyDescent="0.25">
      <c r="A1448" s="7">
        <f t="shared" si="132"/>
        <v>290</v>
      </c>
      <c r="B1448" s="2">
        <v>45035</v>
      </c>
      <c r="C1448" s="3">
        <v>24.01</v>
      </c>
      <c r="D1448" s="3">
        <v>24.23</v>
      </c>
      <c r="E1448" s="3">
        <v>23.22</v>
      </c>
      <c r="F1448" s="3">
        <v>23.45</v>
      </c>
      <c r="G1448" s="3">
        <v>3703628</v>
      </c>
      <c r="H1448" s="8">
        <f t="shared" si="133"/>
        <v>-3.2902957101207941</v>
      </c>
      <c r="I1448">
        <f t="shared" si="134"/>
        <v>23.513999999999999</v>
      </c>
      <c r="J1448" s="6" cm="1">
        <f t="array" ref="J1448">_xlfn.STDEV.S(IF($A:$A=A1448, $F:$F))</f>
        <v>0.30517208260258788</v>
      </c>
      <c r="P1448" s="8">
        <f t="shared" si="135"/>
        <v>-3.2902957101207941</v>
      </c>
      <c r="Q1448" s="8">
        <f t="shared" si="136"/>
        <v>-3.2902957101207941</v>
      </c>
      <c r="R1448" s="8">
        <f t="shared" si="137"/>
        <v>-3.2902957101207941</v>
      </c>
    </row>
    <row r="1449" spans="1:18" x14ac:dyDescent="0.25">
      <c r="A1449" s="7">
        <f t="shared" si="132"/>
        <v>290</v>
      </c>
      <c r="B1449" s="2">
        <v>45036</v>
      </c>
      <c r="C1449" s="3">
        <v>23.45</v>
      </c>
      <c r="D1449" s="3">
        <v>23.67</v>
      </c>
      <c r="E1449" s="3">
        <v>23</v>
      </c>
      <c r="F1449" s="3">
        <v>23.33</v>
      </c>
      <c r="G1449" s="3">
        <v>2604772</v>
      </c>
      <c r="H1449" s="8">
        <f t="shared" si="133"/>
        <v>-3.2902957101207941</v>
      </c>
      <c r="I1449">
        <f t="shared" si="134"/>
        <v>23.513999999999999</v>
      </c>
      <c r="J1449" s="6" cm="1">
        <f t="array" ref="J1449">_xlfn.STDEV.S(IF($A:$A=A1449, $F:$F))</f>
        <v>0.30517208260258788</v>
      </c>
      <c r="P1449" s="8">
        <f t="shared" si="135"/>
        <v>-3.2902957101207941</v>
      </c>
      <c r="Q1449" s="8">
        <f t="shared" si="136"/>
        <v>-3.2902957101207941</v>
      </c>
      <c r="R1449" s="8">
        <f t="shared" si="137"/>
        <v>-3.2902957101207941</v>
      </c>
    </row>
    <row r="1450" spans="1:18" x14ac:dyDescent="0.25">
      <c r="A1450" s="7">
        <f t="shared" si="132"/>
        <v>290</v>
      </c>
      <c r="B1450" s="2">
        <v>45037</v>
      </c>
      <c r="C1450" s="3">
        <v>23.41</v>
      </c>
      <c r="D1450" s="3">
        <v>24.15</v>
      </c>
      <c r="E1450" s="3">
        <v>23.26</v>
      </c>
      <c r="F1450" s="3">
        <v>23.56</v>
      </c>
      <c r="G1450" s="3">
        <v>5287682</v>
      </c>
      <c r="H1450" s="8">
        <f t="shared" si="133"/>
        <v>-3.2902957101207941</v>
      </c>
      <c r="I1450">
        <f t="shared" si="134"/>
        <v>23.513999999999999</v>
      </c>
      <c r="J1450" s="6" cm="1">
        <f t="array" ref="J1450">_xlfn.STDEV.S(IF($A:$A=A1450, $F:$F))</f>
        <v>0.30517208260258788</v>
      </c>
      <c r="P1450" s="8">
        <f t="shared" si="135"/>
        <v>-3.2902957101207941</v>
      </c>
      <c r="Q1450" s="8">
        <f t="shared" si="136"/>
        <v>-3.2902957101207941</v>
      </c>
      <c r="R1450" s="8">
        <f t="shared" si="137"/>
        <v>-3.2902957101207941</v>
      </c>
    </row>
    <row r="1451" spans="1:18" x14ac:dyDescent="0.25">
      <c r="A1451" s="7">
        <f t="shared" si="132"/>
        <v>290</v>
      </c>
      <c r="B1451" s="2">
        <v>45040</v>
      </c>
      <c r="C1451" s="3">
        <v>23.52</v>
      </c>
      <c r="D1451" s="3">
        <v>23.78</v>
      </c>
      <c r="E1451" s="3">
        <v>22.96</v>
      </c>
      <c r="F1451" s="3">
        <v>23.22</v>
      </c>
      <c r="G1451" s="3">
        <v>1711783</v>
      </c>
      <c r="H1451" s="8">
        <f t="shared" si="133"/>
        <v>-3.2902957101207941</v>
      </c>
      <c r="I1451">
        <f t="shared" si="134"/>
        <v>23.513999999999999</v>
      </c>
      <c r="J1451" s="6" cm="1">
        <f t="array" ref="J1451">_xlfn.STDEV.S(IF($A:$A=A1451, $F:$F))</f>
        <v>0.30517208260258788</v>
      </c>
      <c r="P1451" s="8">
        <f t="shared" si="135"/>
        <v>-3.2902957101207941</v>
      </c>
      <c r="Q1451" s="8">
        <f t="shared" si="136"/>
        <v>-3.2902957101207941</v>
      </c>
      <c r="R1451" s="8">
        <f t="shared" si="137"/>
        <v>-3.2902957101207941</v>
      </c>
    </row>
    <row r="1452" spans="1:18" x14ac:dyDescent="0.25">
      <c r="A1452" s="7">
        <f t="shared" si="132"/>
        <v>291</v>
      </c>
      <c r="B1452" s="2">
        <v>45041</v>
      </c>
      <c r="C1452" s="3">
        <v>23.56</v>
      </c>
      <c r="D1452" s="3">
        <v>23.56</v>
      </c>
      <c r="E1452" s="3">
        <v>22.03</v>
      </c>
      <c r="F1452" s="3">
        <v>22.37</v>
      </c>
      <c r="G1452" s="3">
        <v>6212971</v>
      </c>
      <c r="H1452" s="8">
        <f t="shared" si="133"/>
        <v>8.3147071971390218</v>
      </c>
      <c r="I1452">
        <f t="shared" si="134"/>
        <v>23.300000000000004</v>
      </c>
      <c r="J1452" s="6" cm="1">
        <f t="array" ref="J1452">_xlfn.STDEV.S(IF($A:$A=A1452, $F:$F))</f>
        <v>0.70710678118654746</v>
      </c>
      <c r="P1452" s="8">
        <f t="shared" si="135"/>
        <v>8.3147071971390218</v>
      </c>
      <c r="Q1452" s="8">
        <f t="shared" si="136"/>
        <v>8.3147071971390218</v>
      </c>
      <c r="R1452" s="8">
        <f t="shared" si="137"/>
        <v>8.3147071971390218</v>
      </c>
    </row>
    <row r="1453" spans="1:18" x14ac:dyDescent="0.25">
      <c r="A1453" s="7">
        <f t="shared" si="132"/>
        <v>291</v>
      </c>
      <c r="B1453" s="2">
        <v>45042</v>
      </c>
      <c r="C1453" s="3">
        <v>22.66</v>
      </c>
      <c r="D1453" s="3">
        <v>23.22</v>
      </c>
      <c r="E1453" s="3">
        <v>22.37</v>
      </c>
      <c r="F1453" s="3">
        <v>23.19</v>
      </c>
      <c r="G1453" s="3">
        <v>3234160</v>
      </c>
      <c r="H1453" s="8">
        <f t="shared" si="133"/>
        <v>8.3147071971390218</v>
      </c>
      <c r="I1453">
        <f t="shared" si="134"/>
        <v>23.300000000000004</v>
      </c>
      <c r="J1453" s="6" cm="1">
        <f t="array" ref="J1453">_xlfn.STDEV.S(IF($A:$A=A1453, $F:$F))</f>
        <v>0.70710678118654746</v>
      </c>
      <c r="P1453" s="8">
        <f t="shared" si="135"/>
        <v>8.3147071971390218</v>
      </c>
      <c r="Q1453" s="8">
        <f t="shared" si="136"/>
        <v>8.3147071971390218</v>
      </c>
      <c r="R1453" s="8">
        <f t="shared" si="137"/>
        <v>8.3147071971390218</v>
      </c>
    </row>
    <row r="1454" spans="1:18" x14ac:dyDescent="0.25">
      <c r="A1454" s="7">
        <f t="shared" si="132"/>
        <v>291</v>
      </c>
      <c r="B1454" s="2">
        <v>45043</v>
      </c>
      <c r="C1454" s="3">
        <v>23.26</v>
      </c>
      <c r="D1454" s="3">
        <v>23.41</v>
      </c>
      <c r="E1454" s="3">
        <v>22.81</v>
      </c>
      <c r="F1454" s="3">
        <v>23</v>
      </c>
      <c r="G1454" s="3">
        <v>2784183</v>
      </c>
      <c r="H1454" s="8">
        <f t="shared" si="133"/>
        <v>8.3147071971390218</v>
      </c>
      <c r="I1454">
        <f t="shared" si="134"/>
        <v>23.300000000000004</v>
      </c>
      <c r="J1454" s="6" cm="1">
        <f t="array" ref="J1454">_xlfn.STDEV.S(IF($A:$A=A1454, $F:$F))</f>
        <v>0.70710678118654746</v>
      </c>
      <c r="P1454" s="8">
        <f t="shared" si="135"/>
        <v>8.3147071971390218</v>
      </c>
      <c r="Q1454" s="8">
        <f t="shared" si="136"/>
        <v>8.3147071971390218</v>
      </c>
      <c r="R1454" s="8">
        <f t="shared" si="137"/>
        <v>8.3147071971390218</v>
      </c>
    </row>
    <row r="1455" spans="1:18" x14ac:dyDescent="0.25">
      <c r="A1455" s="7">
        <f t="shared" si="132"/>
        <v>291</v>
      </c>
      <c r="B1455" s="2">
        <v>45044</v>
      </c>
      <c r="C1455" s="3">
        <v>23.26</v>
      </c>
      <c r="D1455" s="3">
        <v>23.82</v>
      </c>
      <c r="E1455" s="3">
        <v>23.11</v>
      </c>
      <c r="F1455" s="3">
        <v>23.71</v>
      </c>
      <c r="G1455" s="3">
        <v>5279459</v>
      </c>
      <c r="H1455" s="8">
        <f t="shared" si="133"/>
        <v>8.3147071971390218</v>
      </c>
      <c r="I1455">
        <f t="shared" si="134"/>
        <v>23.300000000000004</v>
      </c>
      <c r="J1455" s="6" cm="1">
        <f t="array" ref="J1455">_xlfn.STDEV.S(IF($A:$A=A1455, $F:$F))</f>
        <v>0.70710678118654746</v>
      </c>
      <c r="P1455" s="8">
        <f t="shared" si="135"/>
        <v>8.3147071971390218</v>
      </c>
      <c r="Q1455" s="8">
        <f t="shared" si="136"/>
        <v>8.3147071971390218</v>
      </c>
      <c r="R1455" s="8">
        <f t="shared" si="137"/>
        <v>8.3147071971390218</v>
      </c>
    </row>
    <row r="1456" spans="1:18" x14ac:dyDescent="0.25">
      <c r="A1456" s="7">
        <f t="shared" si="132"/>
        <v>291</v>
      </c>
      <c r="B1456" s="2">
        <v>45050</v>
      </c>
      <c r="C1456" s="3">
        <v>23.41</v>
      </c>
      <c r="D1456" s="3">
        <v>24.53</v>
      </c>
      <c r="E1456" s="3">
        <v>23.41</v>
      </c>
      <c r="F1456" s="3">
        <v>24.23</v>
      </c>
      <c r="G1456" s="3">
        <v>7097777</v>
      </c>
      <c r="H1456" s="8">
        <f t="shared" si="133"/>
        <v>8.3147071971390218</v>
      </c>
      <c r="I1456">
        <f t="shared" si="134"/>
        <v>23.300000000000004</v>
      </c>
      <c r="J1456" s="6" cm="1">
        <f t="array" ref="J1456">_xlfn.STDEV.S(IF($A:$A=A1456, $F:$F))</f>
        <v>0.70710678118654746</v>
      </c>
      <c r="P1456" s="8">
        <f t="shared" si="135"/>
        <v>8.3147071971390218</v>
      </c>
      <c r="Q1456" s="8">
        <f t="shared" si="136"/>
        <v>8.3147071971390218</v>
      </c>
      <c r="R1456" s="8">
        <f t="shared" si="137"/>
        <v>8.3147071971390218</v>
      </c>
    </row>
    <row r="1457" spans="1:18" x14ac:dyDescent="0.25">
      <c r="A1457" s="7">
        <f t="shared" si="132"/>
        <v>292</v>
      </c>
      <c r="B1457" s="2">
        <v>45051</v>
      </c>
      <c r="C1457" s="3">
        <v>24.23</v>
      </c>
      <c r="D1457" s="3">
        <v>24.34</v>
      </c>
      <c r="E1457" s="3">
        <v>23.71</v>
      </c>
      <c r="F1457" s="3">
        <v>23.78</v>
      </c>
      <c r="G1457" s="3">
        <v>3857291</v>
      </c>
      <c r="H1457" s="8">
        <f t="shared" si="133"/>
        <v>1.5559293523969615</v>
      </c>
      <c r="I1457">
        <f t="shared" si="134"/>
        <v>24.213999999999999</v>
      </c>
      <c r="J1457" s="6" cm="1">
        <f t="array" ref="J1457">_xlfn.STDEV.S(IF($A:$A=A1457, $F:$F))</f>
        <v>0.26378021153983461</v>
      </c>
      <c r="P1457" s="8">
        <f t="shared" si="135"/>
        <v>1.5559293523969615</v>
      </c>
      <c r="Q1457" s="8">
        <f t="shared" si="136"/>
        <v>1.5559293523969615</v>
      </c>
      <c r="R1457" s="8">
        <f t="shared" si="137"/>
        <v>1.5559293523969615</v>
      </c>
    </row>
    <row r="1458" spans="1:18" x14ac:dyDescent="0.25">
      <c r="A1458" s="7">
        <f t="shared" si="132"/>
        <v>292</v>
      </c>
      <c r="B1458" s="2">
        <v>45054</v>
      </c>
      <c r="C1458" s="3">
        <v>24.08</v>
      </c>
      <c r="D1458" s="3">
        <v>24.68</v>
      </c>
      <c r="E1458" s="3">
        <v>23.93</v>
      </c>
      <c r="F1458" s="3">
        <v>24.42</v>
      </c>
      <c r="G1458" s="3">
        <v>5541760</v>
      </c>
      <c r="H1458" s="8">
        <f t="shared" si="133"/>
        <v>1.5559293523969615</v>
      </c>
      <c r="I1458">
        <f t="shared" si="134"/>
        <v>24.213999999999999</v>
      </c>
      <c r="J1458" s="6" cm="1">
        <f t="array" ref="J1458">_xlfn.STDEV.S(IF($A:$A=A1458, $F:$F))</f>
        <v>0.26378021153983461</v>
      </c>
      <c r="P1458" s="8">
        <f t="shared" si="135"/>
        <v>1.5559293523969615</v>
      </c>
      <c r="Q1458" s="8">
        <f t="shared" si="136"/>
        <v>1.5559293523969615</v>
      </c>
      <c r="R1458" s="8">
        <f t="shared" si="137"/>
        <v>1.5559293523969615</v>
      </c>
    </row>
    <row r="1459" spans="1:18" x14ac:dyDescent="0.25">
      <c r="A1459" s="7">
        <f t="shared" si="132"/>
        <v>292</v>
      </c>
      <c r="B1459" s="2">
        <v>45055</v>
      </c>
      <c r="C1459" s="3">
        <v>24.56</v>
      </c>
      <c r="D1459" s="3">
        <v>24.56</v>
      </c>
      <c r="E1459" s="3">
        <v>24.23</v>
      </c>
      <c r="F1459" s="3">
        <v>24.38</v>
      </c>
      <c r="G1459" s="3">
        <v>3156049</v>
      </c>
      <c r="H1459" s="8">
        <f t="shared" si="133"/>
        <v>1.5559293523969615</v>
      </c>
      <c r="I1459">
        <f t="shared" si="134"/>
        <v>24.213999999999999</v>
      </c>
      <c r="J1459" s="6" cm="1">
        <f t="array" ref="J1459">_xlfn.STDEV.S(IF($A:$A=A1459, $F:$F))</f>
        <v>0.26378021153983461</v>
      </c>
      <c r="P1459" s="8">
        <f t="shared" si="135"/>
        <v>1.5559293523969615</v>
      </c>
      <c r="Q1459" s="8">
        <f t="shared" si="136"/>
        <v>1.5559293523969615</v>
      </c>
      <c r="R1459" s="8">
        <f t="shared" si="137"/>
        <v>1.5559293523969615</v>
      </c>
    </row>
    <row r="1460" spans="1:18" x14ac:dyDescent="0.25">
      <c r="A1460" s="7">
        <f t="shared" si="132"/>
        <v>292</v>
      </c>
      <c r="B1460" s="2">
        <v>45056</v>
      </c>
      <c r="C1460" s="3">
        <v>24.6</v>
      </c>
      <c r="D1460" s="3">
        <v>24.83</v>
      </c>
      <c r="E1460" s="3">
        <v>24.3</v>
      </c>
      <c r="F1460" s="3">
        <v>24.34</v>
      </c>
      <c r="G1460" s="3">
        <v>4675175</v>
      </c>
      <c r="H1460" s="8">
        <f t="shared" si="133"/>
        <v>1.5559293523969615</v>
      </c>
      <c r="I1460">
        <f t="shared" si="134"/>
        <v>24.213999999999999</v>
      </c>
      <c r="J1460" s="6" cm="1">
        <f t="array" ref="J1460">_xlfn.STDEV.S(IF($A:$A=A1460, $F:$F))</f>
        <v>0.26378021153983461</v>
      </c>
      <c r="P1460" s="8">
        <f t="shared" si="135"/>
        <v>1.5559293523969615</v>
      </c>
      <c r="Q1460" s="8">
        <f t="shared" si="136"/>
        <v>1.5559293523969615</v>
      </c>
      <c r="R1460" s="8">
        <f t="shared" si="137"/>
        <v>1.5559293523969615</v>
      </c>
    </row>
    <row r="1461" spans="1:18" x14ac:dyDescent="0.25">
      <c r="A1461" s="7">
        <f t="shared" si="132"/>
        <v>292</v>
      </c>
      <c r="B1461" s="2">
        <v>45057</v>
      </c>
      <c r="C1461" s="3">
        <v>24.45</v>
      </c>
      <c r="D1461" s="3">
        <v>24.6</v>
      </c>
      <c r="E1461" s="3">
        <v>24.08</v>
      </c>
      <c r="F1461" s="3">
        <v>24.15</v>
      </c>
      <c r="G1461" s="3">
        <v>5042431</v>
      </c>
      <c r="H1461" s="8">
        <f t="shared" si="133"/>
        <v>1.5559293523969615</v>
      </c>
      <c r="I1461">
        <f t="shared" si="134"/>
        <v>24.213999999999999</v>
      </c>
      <c r="J1461" s="6" cm="1">
        <f t="array" ref="J1461">_xlfn.STDEV.S(IF($A:$A=A1461, $F:$F))</f>
        <v>0.26378021153983461</v>
      </c>
      <c r="P1461" s="8">
        <f t="shared" si="135"/>
        <v>1.5559293523969615</v>
      </c>
      <c r="Q1461" s="8">
        <f t="shared" si="136"/>
        <v>1.5559293523969615</v>
      </c>
      <c r="R1461" s="8">
        <f t="shared" si="137"/>
        <v>1.5559293523969615</v>
      </c>
    </row>
    <row r="1462" spans="1:18" x14ac:dyDescent="0.25">
      <c r="A1462" s="7">
        <f t="shared" si="132"/>
        <v>293</v>
      </c>
      <c r="B1462" s="2">
        <v>45058</v>
      </c>
      <c r="C1462" s="3">
        <v>24.15</v>
      </c>
      <c r="D1462" s="3">
        <v>24.68</v>
      </c>
      <c r="E1462" s="3">
        <v>23.89</v>
      </c>
      <c r="F1462" s="3">
        <v>24.64</v>
      </c>
      <c r="G1462" s="3">
        <v>6185452</v>
      </c>
      <c r="H1462" s="8">
        <f t="shared" si="133"/>
        <v>4.1396103896103877</v>
      </c>
      <c r="I1462">
        <f t="shared" si="134"/>
        <v>24.735999999999997</v>
      </c>
      <c r="J1462" s="6" cm="1">
        <f t="array" ref="J1462">_xlfn.STDEV.S(IF($A:$A=A1462, $F:$F))</f>
        <v>0.5253855726987563</v>
      </c>
      <c r="P1462" s="8">
        <f t="shared" si="135"/>
        <v>4.1396103896103877</v>
      </c>
      <c r="Q1462" s="8">
        <f t="shared" si="136"/>
        <v>4.1396103896103877</v>
      </c>
      <c r="R1462" s="8">
        <f t="shared" si="137"/>
        <v>4.1396103896103877</v>
      </c>
    </row>
    <row r="1463" spans="1:18" x14ac:dyDescent="0.25">
      <c r="A1463" s="7">
        <f t="shared" si="132"/>
        <v>293</v>
      </c>
      <c r="B1463" s="2">
        <v>45061</v>
      </c>
      <c r="C1463" s="3">
        <v>25.05</v>
      </c>
      <c r="D1463" s="3">
        <v>25.09</v>
      </c>
      <c r="E1463" s="3">
        <v>24.45</v>
      </c>
      <c r="F1463" s="3">
        <v>24.49</v>
      </c>
      <c r="G1463" s="3">
        <v>3485228</v>
      </c>
      <c r="H1463" s="8">
        <f t="shared" si="133"/>
        <v>4.1396103896103877</v>
      </c>
      <c r="I1463">
        <f t="shared" si="134"/>
        <v>24.735999999999997</v>
      </c>
      <c r="J1463" s="6" cm="1">
        <f t="array" ref="J1463">_xlfn.STDEV.S(IF($A:$A=A1463, $F:$F))</f>
        <v>0.5253855726987563</v>
      </c>
      <c r="P1463" s="8">
        <f t="shared" si="135"/>
        <v>4.1396103896103877</v>
      </c>
      <c r="Q1463" s="8">
        <f t="shared" si="136"/>
        <v>4.1396103896103877</v>
      </c>
      <c r="R1463" s="8">
        <f t="shared" si="137"/>
        <v>4.1396103896103877</v>
      </c>
    </row>
    <row r="1464" spans="1:18" x14ac:dyDescent="0.25">
      <c r="A1464" s="7">
        <f t="shared" si="132"/>
        <v>293</v>
      </c>
      <c r="B1464" s="2">
        <v>45062</v>
      </c>
      <c r="C1464" s="3">
        <v>24.49</v>
      </c>
      <c r="D1464" s="3">
        <v>24.9</v>
      </c>
      <c r="E1464" s="3">
        <v>24.41</v>
      </c>
      <c r="F1464" s="3">
        <v>24.52</v>
      </c>
      <c r="G1464" s="3">
        <v>3714955</v>
      </c>
      <c r="H1464" s="8">
        <f t="shared" si="133"/>
        <v>4.1396103896103877</v>
      </c>
      <c r="I1464">
        <f t="shared" si="134"/>
        <v>24.735999999999997</v>
      </c>
      <c r="J1464" s="6" cm="1">
        <f t="array" ref="J1464">_xlfn.STDEV.S(IF($A:$A=A1464, $F:$F))</f>
        <v>0.5253855726987563</v>
      </c>
      <c r="P1464" s="8">
        <f t="shared" si="135"/>
        <v>4.1396103896103877</v>
      </c>
      <c r="Q1464" s="8">
        <f t="shared" si="136"/>
        <v>4.1396103896103877</v>
      </c>
      <c r="R1464" s="8">
        <f t="shared" si="137"/>
        <v>4.1396103896103877</v>
      </c>
    </row>
    <row r="1465" spans="1:18" x14ac:dyDescent="0.25">
      <c r="A1465" s="7">
        <f t="shared" si="132"/>
        <v>293</v>
      </c>
      <c r="B1465" s="2">
        <v>45063</v>
      </c>
      <c r="C1465" s="3">
        <v>24.6</v>
      </c>
      <c r="D1465" s="3">
        <v>24.87</v>
      </c>
      <c r="E1465" s="3">
        <v>24.37</v>
      </c>
      <c r="F1465" s="3">
        <v>24.37</v>
      </c>
      <c r="G1465" s="3">
        <v>5917388</v>
      </c>
      <c r="H1465" s="8">
        <f t="shared" si="133"/>
        <v>4.1396103896103877</v>
      </c>
      <c r="I1465">
        <f t="shared" si="134"/>
        <v>24.735999999999997</v>
      </c>
      <c r="J1465" s="6" cm="1">
        <f t="array" ref="J1465">_xlfn.STDEV.S(IF($A:$A=A1465, $F:$F))</f>
        <v>0.5253855726987563</v>
      </c>
      <c r="P1465" s="8">
        <f t="shared" si="135"/>
        <v>4.1396103896103877</v>
      </c>
      <c r="Q1465" s="8">
        <f t="shared" si="136"/>
        <v>4.1396103896103877</v>
      </c>
      <c r="R1465" s="8">
        <f t="shared" si="137"/>
        <v>4.1396103896103877</v>
      </c>
    </row>
    <row r="1466" spans="1:18" x14ac:dyDescent="0.25">
      <c r="A1466" s="7">
        <f t="shared" si="132"/>
        <v>293</v>
      </c>
      <c r="B1466" s="2">
        <v>45064</v>
      </c>
      <c r="C1466" s="3">
        <v>24.52</v>
      </c>
      <c r="D1466" s="3">
        <v>26.08</v>
      </c>
      <c r="E1466" s="3">
        <v>24.34</v>
      </c>
      <c r="F1466" s="3">
        <v>25.66</v>
      </c>
      <c r="G1466" s="3">
        <v>12339393</v>
      </c>
      <c r="H1466" s="8">
        <f t="shared" si="133"/>
        <v>4.1396103896103877</v>
      </c>
      <c r="I1466">
        <f t="shared" si="134"/>
        <v>24.735999999999997</v>
      </c>
      <c r="J1466" s="6" cm="1">
        <f t="array" ref="J1466">_xlfn.STDEV.S(IF($A:$A=A1466, $F:$F))</f>
        <v>0.5253855726987563</v>
      </c>
      <c r="P1466" s="8">
        <f t="shared" si="135"/>
        <v>4.1396103896103877</v>
      </c>
      <c r="Q1466" s="8">
        <f t="shared" si="136"/>
        <v>4.1396103896103877</v>
      </c>
      <c r="R1466" s="8">
        <f t="shared" si="137"/>
        <v>4.1396103896103877</v>
      </c>
    </row>
    <row r="1467" spans="1:18" x14ac:dyDescent="0.25">
      <c r="A1467" s="7">
        <f t="shared" si="132"/>
        <v>294</v>
      </c>
      <c r="B1467" s="2">
        <v>45065</v>
      </c>
      <c r="C1467" s="3">
        <v>25.66</v>
      </c>
      <c r="D1467" s="3">
        <v>26.04</v>
      </c>
      <c r="E1467" s="3">
        <v>25.17</v>
      </c>
      <c r="F1467" s="3">
        <v>25.7</v>
      </c>
      <c r="G1467" s="3">
        <v>4570724</v>
      </c>
      <c r="H1467" s="8">
        <f t="shared" si="133"/>
        <v>0.1556420233463002</v>
      </c>
      <c r="I1467">
        <f t="shared" si="134"/>
        <v>25.738</v>
      </c>
      <c r="J1467" s="6" cm="1">
        <f t="array" ref="J1467">_xlfn.STDEV.S(IF($A:$A=A1467, $F:$F))</f>
        <v>9.8081598681913795E-2</v>
      </c>
      <c r="P1467" s="8">
        <f t="shared" si="135"/>
        <v>0.1556420233463002</v>
      </c>
      <c r="Q1467" s="8">
        <f t="shared" si="136"/>
        <v>0.1556420233463002</v>
      </c>
      <c r="R1467" s="8">
        <f t="shared" si="137"/>
        <v>0.1556420233463002</v>
      </c>
    </row>
    <row r="1468" spans="1:18" x14ac:dyDescent="0.25">
      <c r="A1468" s="7">
        <f t="shared" si="132"/>
        <v>294</v>
      </c>
      <c r="B1468" s="2">
        <v>45068</v>
      </c>
      <c r="C1468" s="3">
        <v>25.74</v>
      </c>
      <c r="D1468" s="3">
        <v>26.04</v>
      </c>
      <c r="E1468" s="3">
        <v>25.55</v>
      </c>
      <c r="F1468" s="3">
        <v>25.89</v>
      </c>
      <c r="G1468" s="3">
        <v>3612239</v>
      </c>
      <c r="H1468" s="8">
        <f t="shared" si="133"/>
        <v>0.1556420233463002</v>
      </c>
      <c r="I1468">
        <f t="shared" si="134"/>
        <v>25.738</v>
      </c>
      <c r="J1468" s="6" cm="1">
        <f t="array" ref="J1468">_xlfn.STDEV.S(IF($A:$A=A1468, $F:$F))</f>
        <v>9.8081598681913795E-2</v>
      </c>
      <c r="P1468" s="8">
        <f t="shared" si="135"/>
        <v>0.1556420233463002</v>
      </c>
      <c r="Q1468" s="8">
        <f t="shared" si="136"/>
        <v>0.1556420233463002</v>
      </c>
      <c r="R1468" s="8">
        <f t="shared" si="137"/>
        <v>0.1556420233463002</v>
      </c>
    </row>
    <row r="1469" spans="1:18" x14ac:dyDescent="0.25">
      <c r="A1469" s="7">
        <f t="shared" si="132"/>
        <v>294</v>
      </c>
      <c r="B1469" s="2">
        <v>45069</v>
      </c>
      <c r="C1469" s="3">
        <v>26</v>
      </c>
      <c r="D1469" s="3">
        <v>26.3</v>
      </c>
      <c r="E1469" s="3">
        <v>25.58</v>
      </c>
      <c r="F1469" s="3">
        <v>25.62</v>
      </c>
      <c r="G1469" s="3">
        <v>5624251</v>
      </c>
      <c r="H1469" s="8">
        <f t="shared" si="133"/>
        <v>0.1556420233463002</v>
      </c>
      <c r="I1469">
        <f t="shared" si="134"/>
        <v>25.738</v>
      </c>
      <c r="J1469" s="6" cm="1">
        <f t="array" ref="J1469">_xlfn.STDEV.S(IF($A:$A=A1469, $F:$F))</f>
        <v>9.8081598681913795E-2</v>
      </c>
      <c r="P1469" s="8">
        <f t="shared" si="135"/>
        <v>0.1556420233463002</v>
      </c>
      <c r="Q1469" s="8">
        <f t="shared" si="136"/>
        <v>0.1556420233463002</v>
      </c>
      <c r="R1469" s="8">
        <f t="shared" si="137"/>
        <v>0.1556420233463002</v>
      </c>
    </row>
    <row r="1470" spans="1:18" x14ac:dyDescent="0.25">
      <c r="A1470" s="7">
        <f t="shared" si="132"/>
        <v>294</v>
      </c>
      <c r="B1470" s="2">
        <v>45070</v>
      </c>
      <c r="C1470" s="3">
        <v>25.89</v>
      </c>
      <c r="D1470" s="3">
        <v>26.27</v>
      </c>
      <c r="E1470" s="3">
        <v>25.58</v>
      </c>
      <c r="F1470" s="3">
        <v>25.74</v>
      </c>
      <c r="G1470" s="3">
        <v>5065142</v>
      </c>
      <c r="H1470" s="8">
        <f t="shared" si="133"/>
        <v>0.1556420233463002</v>
      </c>
      <c r="I1470">
        <f t="shared" si="134"/>
        <v>25.738</v>
      </c>
      <c r="J1470" s="6" cm="1">
        <f t="array" ref="J1470">_xlfn.STDEV.S(IF($A:$A=A1470, $F:$F))</f>
        <v>9.8081598681913795E-2</v>
      </c>
      <c r="P1470" s="8">
        <f t="shared" si="135"/>
        <v>0.1556420233463002</v>
      </c>
      <c r="Q1470" s="8">
        <f t="shared" si="136"/>
        <v>0.1556420233463002</v>
      </c>
      <c r="R1470" s="8">
        <f t="shared" si="137"/>
        <v>0.1556420233463002</v>
      </c>
    </row>
    <row r="1471" spans="1:18" x14ac:dyDescent="0.25">
      <c r="A1471" s="7">
        <f t="shared" si="132"/>
        <v>294</v>
      </c>
      <c r="B1471" s="2">
        <v>45071</v>
      </c>
      <c r="C1471" s="3">
        <v>25.58</v>
      </c>
      <c r="D1471" s="3">
        <v>25.89</v>
      </c>
      <c r="E1471" s="3">
        <v>25.36</v>
      </c>
      <c r="F1471" s="3">
        <v>25.74</v>
      </c>
      <c r="G1471" s="3">
        <v>3609225</v>
      </c>
      <c r="H1471" s="8">
        <f t="shared" si="133"/>
        <v>0.1556420233463002</v>
      </c>
      <c r="I1471">
        <f t="shared" si="134"/>
        <v>25.738</v>
      </c>
      <c r="J1471" s="6" cm="1">
        <f t="array" ref="J1471">_xlfn.STDEV.S(IF($A:$A=A1471, $F:$F))</f>
        <v>9.8081598681913795E-2</v>
      </c>
      <c r="P1471" s="8">
        <f t="shared" si="135"/>
        <v>0.1556420233463002</v>
      </c>
      <c r="Q1471" s="8">
        <f t="shared" si="136"/>
        <v>0.1556420233463002</v>
      </c>
      <c r="R1471" s="8">
        <f t="shared" si="137"/>
        <v>0.1556420233463002</v>
      </c>
    </row>
    <row r="1472" spans="1:18" x14ac:dyDescent="0.25">
      <c r="A1472" s="7">
        <f t="shared" si="132"/>
        <v>295</v>
      </c>
      <c r="B1472" s="2">
        <v>45072</v>
      </c>
      <c r="C1472" s="3">
        <v>25.81</v>
      </c>
      <c r="D1472" s="3">
        <v>26.04</v>
      </c>
      <c r="E1472" s="3">
        <v>25.66</v>
      </c>
      <c r="F1472" s="3">
        <v>25.74</v>
      </c>
      <c r="G1472" s="3">
        <v>2610839</v>
      </c>
      <c r="H1472" s="8">
        <f t="shared" si="133"/>
        <v>2.486402486402489</v>
      </c>
      <c r="I1472">
        <f t="shared" si="134"/>
        <v>26.257999999999999</v>
      </c>
      <c r="J1472" s="6" cm="1">
        <f t="array" ref="J1472">_xlfn.STDEV.S(IF($A:$A=A1472, $F:$F))</f>
        <v>0.31443600302764302</v>
      </c>
      <c r="P1472" s="8">
        <f t="shared" si="135"/>
        <v>2.486402486402489</v>
      </c>
      <c r="Q1472" s="8">
        <f t="shared" si="136"/>
        <v>2.486402486402489</v>
      </c>
      <c r="R1472" s="8">
        <f t="shared" si="137"/>
        <v>2.486402486402489</v>
      </c>
    </row>
    <row r="1473" spans="1:18" x14ac:dyDescent="0.25">
      <c r="A1473" s="7">
        <f t="shared" si="132"/>
        <v>295</v>
      </c>
      <c r="B1473" s="2">
        <v>45075</v>
      </c>
      <c r="C1473" s="3">
        <v>26.04</v>
      </c>
      <c r="D1473" s="3">
        <v>26.8</v>
      </c>
      <c r="E1473" s="3">
        <v>25.74</v>
      </c>
      <c r="F1473" s="3">
        <v>26.49</v>
      </c>
      <c r="G1473" s="3">
        <v>4157799</v>
      </c>
      <c r="H1473" s="8">
        <f t="shared" si="133"/>
        <v>2.486402486402489</v>
      </c>
      <c r="I1473">
        <f t="shared" si="134"/>
        <v>26.257999999999999</v>
      </c>
      <c r="J1473" s="6" cm="1">
        <f t="array" ref="J1473">_xlfn.STDEV.S(IF($A:$A=A1473, $F:$F))</f>
        <v>0.31443600302764302</v>
      </c>
      <c r="P1473" s="8">
        <f t="shared" si="135"/>
        <v>2.486402486402489</v>
      </c>
      <c r="Q1473" s="8">
        <f t="shared" si="136"/>
        <v>2.486402486402489</v>
      </c>
      <c r="R1473" s="8">
        <f t="shared" si="137"/>
        <v>2.486402486402489</v>
      </c>
    </row>
    <row r="1474" spans="1:18" x14ac:dyDescent="0.25">
      <c r="A1474" s="7">
        <f t="shared" si="132"/>
        <v>295</v>
      </c>
      <c r="B1474" s="2">
        <v>45076</v>
      </c>
      <c r="C1474" s="3">
        <v>26.49</v>
      </c>
      <c r="D1474" s="3">
        <v>26.8</v>
      </c>
      <c r="E1474" s="3">
        <v>26.11</v>
      </c>
      <c r="F1474" s="3">
        <v>26.49</v>
      </c>
      <c r="G1474" s="3">
        <v>4357787</v>
      </c>
      <c r="H1474" s="8">
        <f t="shared" si="133"/>
        <v>2.486402486402489</v>
      </c>
      <c r="I1474">
        <f t="shared" si="134"/>
        <v>26.257999999999999</v>
      </c>
      <c r="J1474" s="6" cm="1">
        <f t="array" ref="J1474">_xlfn.STDEV.S(IF($A:$A=A1474, $F:$F))</f>
        <v>0.31443600302764302</v>
      </c>
      <c r="P1474" s="8">
        <f t="shared" si="135"/>
        <v>2.486402486402489</v>
      </c>
      <c r="Q1474" s="8">
        <f t="shared" si="136"/>
        <v>2.486402486402489</v>
      </c>
      <c r="R1474" s="8">
        <f t="shared" si="137"/>
        <v>2.486402486402489</v>
      </c>
    </row>
    <row r="1475" spans="1:18" x14ac:dyDescent="0.25">
      <c r="A1475" s="7">
        <f t="shared" ref="A1475:A1538" si="138">INT((ROW(A1475)-ROW($A$2))/5) + 1</f>
        <v>295</v>
      </c>
      <c r="B1475" s="2">
        <v>45077</v>
      </c>
      <c r="C1475" s="3">
        <v>26.27</v>
      </c>
      <c r="D1475" s="3">
        <v>26.64</v>
      </c>
      <c r="E1475" s="3">
        <v>25.89</v>
      </c>
      <c r="F1475" s="3">
        <v>26.19</v>
      </c>
      <c r="G1475" s="3">
        <v>3902903</v>
      </c>
      <c r="H1475" s="8">
        <f t="shared" ref="H1475:H1538" si="139">IF(A1475=A1474, H1474, (F1479-F1475)/F1475*100)</f>
        <v>2.486402486402489</v>
      </c>
      <c r="I1475">
        <f t="shared" ref="I1475:I1538" si="140">AVERAGEIF($A:$A, A1475, $F:$F)</f>
        <v>26.257999999999999</v>
      </c>
      <c r="J1475" s="6" cm="1">
        <f t="array" ref="J1475">_xlfn.STDEV.S(IF($A:$A=A1475, $F:$F))</f>
        <v>0.31443600302764302</v>
      </c>
      <c r="P1475" s="8">
        <f t="shared" ref="P1475:P1538" si="141">IF(A1475=A1474,P1474,(F1479-F1475)/F1475*100)</f>
        <v>2.486402486402489</v>
      </c>
      <c r="Q1475" s="8">
        <f t="shared" ref="Q1475:Q1538" si="142">IF(A1475=A1474,Q1474,(F1479-F1475)/F1475*100)</f>
        <v>2.486402486402489</v>
      </c>
      <c r="R1475" s="8">
        <f t="shared" ref="R1475:R1538" si="143">IF(A1475=A1474,R1474,(F1479-F1475)/F1475*100)</f>
        <v>2.486402486402489</v>
      </c>
    </row>
    <row r="1476" spans="1:18" x14ac:dyDescent="0.25">
      <c r="A1476" s="7">
        <f t="shared" si="138"/>
        <v>295</v>
      </c>
      <c r="B1476" s="2">
        <v>45078</v>
      </c>
      <c r="C1476" s="3">
        <v>26.19</v>
      </c>
      <c r="D1476" s="3">
        <v>26.42</v>
      </c>
      <c r="E1476" s="3">
        <v>25.81</v>
      </c>
      <c r="F1476" s="3">
        <v>26.38</v>
      </c>
      <c r="G1476" s="3">
        <v>3681564</v>
      </c>
      <c r="H1476" s="8">
        <f t="shared" si="139"/>
        <v>2.486402486402489</v>
      </c>
      <c r="I1476">
        <f t="shared" si="140"/>
        <v>26.257999999999999</v>
      </c>
      <c r="J1476" s="6" cm="1">
        <f t="array" ref="J1476">_xlfn.STDEV.S(IF($A:$A=A1476, $F:$F))</f>
        <v>0.31443600302764302</v>
      </c>
      <c r="P1476" s="8">
        <f t="shared" si="141"/>
        <v>2.486402486402489</v>
      </c>
      <c r="Q1476" s="8">
        <f t="shared" si="142"/>
        <v>2.486402486402489</v>
      </c>
      <c r="R1476" s="8">
        <f t="shared" si="143"/>
        <v>2.486402486402489</v>
      </c>
    </row>
    <row r="1477" spans="1:18" x14ac:dyDescent="0.25">
      <c r="A1477" s="7">
        <f t="shared" si="138"/>
        <v>296</v>
      </c>
      <c r="B1477" s="2">
        <v>45079</v>
      </c>
      <c r="C1477" s="3">
        <v>26.57</v>
      </c>
      <c r="D1477" s="3">
        <v>27.17</v>
      </c>
      <c r="E1477" s="3">
        <v>26.49</v>
      </c>
      <c r="F1477" s="3">
        <v>26.49</v>
      </c>
      <c r="G1477" s="3">
        <v>5178296</v>
      </c>
      <c r="H1477" s="8">
        <f t="shared" si="139"/>
        <v>-2.8312570781426958</v>
      </c>
      <c r="I1477">
        <f t="shared" si="140"/>
        <v>26.310000000000002</v>
      </c>
      <c r="J1477" s="6" cm="1">
        <f t="array" ref="J1477">_xlfn.STDEV.S(IF($A:$A=A1477, $F:$F))</f>
        <v>0.41809089920733788</v>
      </c>
      <c r="P1477" s="8">
        <f t="shared" si="141"/>
        <v>-2.8312570781426958</v>
      </c>
      <c r="Q1477" s="8">
        <f t="shared" si="142"/>
        <v>-2.8312570781426958</v>
      </c>
      <c r="R1477" s="8">
        <f t="shared" si="143"/>
        <v>-2.8312570781426958</v>
      </c>
    </row>
    <row r="1478" spans="1:18" x14ac:dyDescent="0.25">
      <c r="A1478" s="7">
        <f t="shared" si="138"/>
        <v>296</v>
      </c>
      <c r="B1478" s="2">
        <v>45082</v>
      </c>
      <c r="C1478" s="3">
        <v>26.68</v>
      </c>
      <c r="D1478" s="3">
        <v>26.76</v>
      </c>
      <c r="E1478" s="3">
        <v>25.93</v>
      </c>
      <c r="F1478" s="3">
        <v>26</v>
      </c>
      <c r="G1478" s="3">
        <v>4631307</v>
      </c>
      <c r="H1478" s="8">
        <f t="shared" si="139"/>
        <v>-2.8312570781426958</v>
      </c>
      <c r="I1478">
        <f t="shared" si="140"/>
        <v>26.310000000000002</v>
      </c>
      <c r="J1478" s="6" cm="1">
        <f t="array" ref="J1478">_xlfn.STDEV.S(IF($A:$A=A1478, $F:$F))</f>
        <v>0.41809089920733788</v>
      </c>
      <c r="P1478" s="8">
        <f t="shared" si="141"/>
        <v>-2.8312570781426958</v>
      </c>
      <c r="Q1478" s="8">
        <f t="shared" si="142"/>
        <v>-2.8312570781426958</v>
      </c>
      <c r="R1478" s="8">
        <f t="shared" si="143"/>
        <v>-2.8312570781426958</v>
      </c>
    </row>
    <row r="1479" spans="1:18" x14ac:dyDescent="0.25">
      <c r="A1479" s="7">
        <f t="shared" si="138"/>
        <v>296</v>
      </c>
      <c r="B1479" s="2">
        <v>45083</v>
      </c>
      <c r="C1479" s="3">
        <v>26.04</v>
      </c>
      <c r="D1479" s="3">
        <v>26.76</v>
      </c>
      <c r="E1479" s="3">
        <v>25.81</v>
      </c>
      <c r="F1479" s="3">
        <v>26.64</v>
      </c>
      <c r="G1479" s="3">
        <v>5405765</v>
      </c>
      <c r="H1479" s="8">
        <f t="shared" si="139"/>
        <v>-2.8312570781426958</v>
      </c>
      <c r="I1479">
        <f t="shared" si="140"/>
        <v>26.310000000000002</v>
      </c>
      <c r="J1479" s="6" cm="1">
        <f t="array" ref="J1479">_xlfn.STDEV.S(IF($A:$A=A1479, $F:$F))</f>
        <v>0.41809089920733788</v>
      </c>
      <c r="P1479" s="8">
        <f t="shared" si="141"/>
        <v>-2.8312570781426958</v>
      </c>
      <c r="Q1479" s="8">
        <f t="shared" si="142"/>
        <v>-2.8312570781426958</v>
      </c>
      <c r="R1479" s="8">
        <f t="shared" si="143"/>
        <v>-2.8312570781426958</v>
      </c>
    </row>
    <row r="1480" spans="1:18" x14ac:dyDescent="0.25">
      <c r="A1480" s="7">
        <f t="shared" si="138"/>
        <v>296</v>
      </c>
      <c r="B1480" s="2">
        <v>45084</v>
      </c>
      <c r="C1480" s="3">
        <v>26.87</v>
      </c>
      <c r="D1480" s="3">
        <v>26.95</v>
      </c>
      <c r="E1480" s="3">
        <v>26.49</v>
      </c>
      <c r="F1480" s="3">
        <v>26.68</v>
      </c>
      <c r="G1480" s="3">
        <v>3849982</v>
      </c>
      <c r="H1480" s="8">
        <f t="shared" si="139"/>
        <v>-2.8312570781426958</v>
      </c>
      <c r="I1480">
        <f t="shared" si="140"/>
        <v>26.310000000000002</v>
      </c>
      <c r="J1480" s="6" cm="1">
        <f t="array" ref="J1480">_xlfn.STDEV.S(IF($A:$A=A1480, $F:$F))</f>
        <v>0.41809089920733788</v>
      </c>
      <c r="P1480" s="8">
        <f t="shared" si="141"/>
        <v>-2.8312570781426958</v>
      </c>
      <c r="Q1480" s="8">
        <f t="shared" si="142"/>
        <v>-2.8312570781426958</v>
      </c>
      <c r="R1480" s="8">
        <f t="shared" si="143"/>
        <v>-2.8312570781426958</v>
      </c>
    </row>
    <row r="1481" spans="1:18" x14ac:dyDescent="0.25">
      <c r="A1481" s="7">
        <f t="shared" si="138"/>
        <v>296</v>
      </c>
      <c r="B1481" s="2">
        <v>45085</v>
      </c>
      <c r="C1481" s="3">
        <v>26.68</v>
      </c>
      <c r="D1481" s="3">
        <v>26.8</v>
      </c>
      <c r="E1481" s="3">
        <v>25.74</v>
      </c>
      <c r="F1481" s="3">
        <v>25.74</v>
      </c>
      <c r="G1481" s="3">
        <v>5575336</v>
      </c>
      <c r="H1481" s="8">
        <f t="shared" si="139"/>
        <v>-2.8312570781426958</v>
      </c>
      <c r="I1481">
        <f t="shared" si="140"/>
        <v>26.310000000000002</v>
      </c>
      <c r="J1481" s="6" cm="1">
        <f t="array" ref="J1481">_xlfn.STDEV.S(IF($A:$A=A1481, $F:$F))</f>
        <v>0.41809089920733788</v>
      </c>
      <c r="P1481" s="8">
        <f t="shared" si="141"/>
        <v>-2.8312570781426958</v>
      </c>
      <c r="Q1481" s="8">
        <f t="shared" si="142"/>
        <v>-2.8312570781426958</v>
      </c>
      <c r="R1481" s="8">
        <f t="shared" si="143"/>
        <v>-2.8312570781426958</v>
      </c>
    </row>
    <row r="1482" spans="1:18" x14ac:dyDescent="0.25">
      <c r="A1482" s="7">
        <f t="shared" si="138"/>
        <v>297</v>
      </c>
      <c r="B1482" s="2">
        <v>45086</v>
      </c>
      <c r="C1482" s="3">
        <v>25.85</v>
      </c>
      <c r="D1482" s="3">
        <v>26.34</v>
      </c>
      <c r="E1482" s="3">
        <v>25.17</v>
      </c>
      <c r="F1482" s="3">
        <v>26.34</v>
      </c>
      <c r="G1482" s="3">
        <v>6008659</v>
      </c>
      <c r="H1482" s="8">
        <f t="shared" si="139"/>
        <v>-1.2908124525436593</v>
      </c>
      <c r="I1482">
        <f t="shared" si="140"/>
        <v>26.1</v>
      </c>
      <c r="J1482" s="6" cm="1">
        <f t="array" ref="J1482">_xlfn.STDEV.S(IF($A:$A=A1482, $F:$F))</f>
        <v>0.19039432764659747</v>
      </c>
      <c r="P1482" s="8">
        <f t="shared" si="141"/>
        <v>-1.2908124525436593</v>
      </c>
      <c r="Q1482" s="8">
        <f t="shared" si="142"/>
        <v>-1.2908124525436593</v>
      </c>
      <c r="R1482" s="8">
        <f t="shared" si="143"/>
        <v>-1.2908124525436593</v>
      </c>
    </row>
    <row r="1483" spans="1:18" x14ac:dyDescent="0.25">
      <c r="A1483" s="7">
        <f t="shared" si="138"/>
        <v>297</v>
      </c>
      <c r="B1483" s="2">
        <v>45089</v>
      </c>
      <c r="C1483" s="3">
        <v>26.42</v>
      </c>
      <c r="D1483" s="3">
        <v>26.42</v>
      </c>
      <c r="E1483" s="3">
        <v>25.55</v>
      </c>
      <c r="F1483" s="3">
        <v>26.27</v>
      </c>
      <c r="G1483" s="3">
        <v>3321475</v>
      </c>
      <c r="H1483" s="8">
        <f t="shared" si="139"/>
        <v>-1.2908124525436593</v>
      </c>
      <c r="I1483">
        <f t="shared" si="140"/>
        <v>26.1</v>
      </c>
      <c r="J1483" s="6" cm="1">
        <f t="array" ref="J1483">_xlfn.STDEV.S(IF($A:$A=A1483, $F:$F))</f>
        <v>0.19039432764659747</v>
      </c>
      <c r="P1483" s="8">
        <f t="shared" si="141"/>
        <v>-1.2908124525436593</v>
      </c>
      <c r="Q1483" s="8">
        <f t="shared" si="142"/>
        <v>-1.2908124525436593</v>
      </c>
      <c r="R1483" s="8">
        <f t="shared" si="143"/>
        <v>-1.2908124525436593</v>
      </c>
    </row>
    <row r="1484" spans="1:18" x14ac:dyDescent="0.25">
      <c r="A1484" s="7">
        <f t="shared" si="138"/>
        <v>297</v>
      </c>
      <c r="B1484" s="2">
        <v>45090</v>
      </c>
      <c r="C1484" s="3">
        <v>26.46</v>
      </c>
      <c r="D1484" s="3">
        <v>26.46</v>
      </c>
      <c r="E1484" s="3">
        <v>25.89</v>
      </c>
      <c r="F1484" s="3">
        <v>25.96</v>
      </c>
      <c r="G1484" s="3">
        <v>4330631</v>
      </c>
      <c r="H1484" s="8">
        <f t="shared" si="139"/>
        <v>-1.2908124525436593</v>
      </c>
      <c r="I1484">
        <f t="shared" si="140"/>
        <v>26.1</v>
      </c>
      <c r="J1484" s="6" cm="1">
        <f t="array" ref="J1484">_xlfn.STDEV.S(IF($A:$A=A1484, $F:$F))</f>
        <v>0.19039432764659747</v>
      </c>
      <c r="P1484" s="8">
        <f t="shared" si="141"/>
        <v>-1.2908124525436593</v>
      </c>
      <c r="Q1484" s="8">
        <f t="shared" si="142"/>
        <v>-1.2908124525436593</v>
      </c>
      <c r="R1484" s="8">
        <f t="shared" si="143"/>
        <v>-1.2908124525436593</v>
      </c>
    </row>
    <row r="1485" spans="1:18" x14ac:dyDescent="0.25">
      <c r="A1485" s="7">
        <f t="shared" si="138"/>
        <v>297</v>
      </c>
      <c r="B1485" s="2">
        <v>45091</v>
      </c>
      <c r="C1485" s="3">
        <v>26.11</v>
      </c>
      <c r="D1485" s="3">
        <v>26.57</v>
      </c>
      <c r="E1485" s="3">
        <v>25.93</v>
      </c>
      <c r="F1485" s="3">
        <v>25.93</v>
      </c>
      <c r="G1485" s="3">
        <v>5104563</v>
      </c>
      <c r="H1485" s="8">
        <f t="shared" si="139"/>
        <v>-1.2908124525436593</v>
      </c>
      <c r="I1485">
        <f t="shared" si="140"/>
        <v>26.1</v>
      </c>
      <c r="J1485" s="6" cm="1">
        <f t="array" ref="J1485">_xlfn.STDEV.S(IF($A:$A=A1485, $F:$F))</f>
        <v>0.19039432764659747</v>
      </c>
      <c r="P1485" s="8">
        <f t="shared" si="141"/>
        <v>-1.2908124525436593</v>
      </c>
      <c r="Q1485" s="8">
        <f t="shared" si="142"/>
        <v>-1.2908124525436593</v>
      </c>
      <c r="R1485" s="8">
        <f t="shared" si="143"/>
        <v>-1.2908124525436593</v>
      </c>
    </row>
    <row r="1486" spans="1:18" x14ac:dyDescent="0.25">
      <c r="A1486" s="7">
        <f t="shared" si="138"/>
        <v>297</v>
      </c>
      <c r="B1486" s="2">
        <v>45092</v>
      </c>
      <c r="C1486" s="3">
        <v>25.96</v>
      </c>
      <c r="D1486" s="3">
        <v>26.23</v>
      </c>
      <c r="E1486" s="3">
        <v>25.77</v>
      </c>
      <c r="F1486" s="3">
        <v>26</v>
      </c>
      <c r="G1486" s="3">
        <v>2306937</v>
      </c>
      <c r="H1486" s="8">
        <f t="shared" si="139"/>
        <v>-1.2908124525436593</v>
      </c>
      <c r="I1486">
        <f t="shared" si="140"/>
        <v>26.1</v>
      </c>
      <c r="J1486" s="6" cm="1">
        <f t="array" ref="J1486">_xlfn.STDEV.S(IF($A:$A=A1486, $F:$F))</f>
        <v>0.19039432764659747</v>
      </c>
      <c r="P1486" s="8">
        <f t="shared" si="141"/>
        <v>-1.2908124525436593</v>
      </c>
      <c r="Q1486" s="8">
        <f t="shared" si="142"/>
        <v>-1.2908124525436593</v>
      </c>
      <c r="R1486" s="8">
        <f t="shared" si="143"/>
        <v>-1.2908124525436593</v>
      </c>
    </row>
    <row r="1487" spans="1:18" x14ac:dyDescent="0.25">
      <c r="A1487" s="7">
        <f t="shared" si="138"/>
        <v>298</v>
      </c>
      <c r="B1487" s="2">
        <v>45093</v>
      </c>
      <c r="C1487" s="3">
        <v>26.38</v>
      </c>
      <c r="D1487" s="3">
        <v>27.78</v>
      </c>
      <c r="E1487" s="3">
        <v>26.19</v>
      </c>
      <c r="F1487" s="3">
        <v>26.57</v>
      </c>
      <c r="G1487" s="3">
        <v>15114762</v>
      </c>
      <c r="H1487" s="8">
        <f t="shared" si="139"/>
        <v>6.548739179525775</v>
      </c>
      <c r="I1487">
        <f t="shared" si="140"/>
        <v>27.834000000000003</v>
      </c>
      <c r="J1487" s="6" cm="1">
        <f t="array" ref="J1487">_xlfn.STDEV.S(IF($A:$A=A1487, $F:$F))</f>
        <v>0.76852456044032802</v>
      </c>
      <c r="P1487" s="8">
        <f t="shared" si="141"/>
        <v>6.548739179525775</v>
      </c>
      <c r="Q1487" s="8">
        <f t="shared" si="142"/>
        <v>6.548739179525775</v>
      </c>
      <c r="R1487" s="8">
        <f t="shared" si="143"/>
        <v>6.548739179525775</v>
      </c>
    </row>
    <row r="1488" spans="1:18" x14ac:dyDescent="0.25">
      <c r="A1488" s="7">
        <f t="shared" si="138"/>
        <v>298</v>
      </c>
      <c r="B1488" s="2">
        <v>45096</v>
      </c>
      <c r="C1488" s="3">
        <v>26.8</v>
      </c>
      <c r="D1488" s="3">
        <v>27.86</v>
      </c>
      <c r="E1488" s="3">
        <v>26.64</v>
      </c>
      <c r="F1488" s="3">
        <v>27.74</v>
      </c>
      <c r="G1488" s="3">
        <v>8009669</v>
      </c>
      <c r="H1488" s="8">
        <f t="shared" si="139"/>
        <v>6.548739179525775</v>
      </c>
      <c r="I1488">
        <f t="shared" si="140"/>
        <v>27.834000000000003</v>
      </c>
      <c r="J1488" s="6" cm="1">
        <f t="array" ref="J1488">_xlfn.STDEV.S(IF($A:$A=A1488, $F:$F))</f>
        <v>0.76852456044032802</v>
      </c>
      <c r="P1488" s="8">
        <f t="shared" si="141"/>
        <v>6.548739179525775</v>
      </c>
      <c r="Q1488" s="8">
        <f t="shared" si="142"/>
        <v>6.548739179525775</v>
      </c>
      <c r="R1488" s="8">
        <f t="shared" si="143"/>
        <v>6.548739179525775</v>
      </c>
    </row>
    <row r="1489" spans="1:18" x14ac:dyDescent="0.25">
      <c r="A1489" s="7">
        <f t="shared" si="138"/>
        <v>298</v>
      </c>
      <c r="B1489" s="2">
        <v>45097</v>
      </c>
      <c r="C1489" s="3">
        <v>27.86</v>
      </c>
      <c r="D1489" s="3">
        <v>28.01</v>
      </c>
      <c r="E1489" s="3">
        <v>27.25</v>
      </c>
      <c r="F1489" s="3">
        <v>28.01</v>
      </c>
      <c r="G1489" s="3">
        <v>4686109</v>
      </c>
      <c r="H1489" s="8">
        <f t="shared" si="139"/>
        <v>6.548739179525775</v>
      </c>
      <c r="I1489">
        <f t="shared" si="140"/>
        <v>27.834000000000003</v>
      </c>
      <c r="J1489" s="6" cm="1">
        <f t="array" ref="J1489">_xlfn.STDEV.S(IF($A:$A=A1489, $F:$F))</f>
        <v>0.76852456044032802</v>
      </c>
      <c r="P1489" s="8">
        <f t="shared" si="141"/>
        <v>6.548739179525775</v>
      </c>
      <c r="Q1489" s="8">
        <f t="shared" si="142"/>
        <v>6.548739179525775</v>
      </c>
      <c r="R1489" s="8">
        <f t="shared" si="143"/>
        <v>6.548739179525775</v>
      </c>
    </row>
    <row r="1490" spans="1:18" x14ac:dyDescent="0.25">
      <c r="A1490" s="7">
        <f t="shared" si="138"/>
        <v>298</v>
      </c>
      <c r="B1490" s="2">
        <v>45098</v>
      </c>
      <c r="C1490" s="3">
        <v>28.08</v>
      </c>
      <c r="D1490" s="3">
        <v>29.03</v>
      </c>
      <c r="E1490" s="3">
        <v>28.04</v>
      </c>
      <c r="F1490" s="3">
        <v>28.54</v>
      </c>
      <c r="G1490" s="3">
        <v>6000640</v>
      </c>
      <c r="H1490" s="8">
        <f t="shared" si="139"/>
        <v>6.548739179525775</v>
      </c>
      <c r="I1490">
        <f t="shared" si="140"/>
        <v>27.834000000000003</v>
      </c>
      <c r="J1490" s="6" cm="1">
        <f t="array" ref="J1490">_xlfn.STDEV.S(IF($A:$A=A1490, $F:$F))</f>
        <v>0.76852456044032802</v>
      </c>
      <c r="P1490" s="8">
        <f t="shared" si="141"/>
        <v>6.548739179525775</v>
      </c>
      <c r="Q1490" s="8">
        <f t="shared" si="142"/>
        <v>6.548739179525775</v>
      </c>
      <c r="R1490" s="8">
        <f t="shared" si="143"/>
        <v>6.548739179525775</v>
      </c>
    </row>
    <row r="1491" spans="1:18" x14ac:dyDescent="0.25">
      <c r="A1491" s="7">
        <f t="shared" si="138"/>
        <v>298</v>
      </c>
      <c r="B1491" s="2">
        <v>45099</v>
      </c>
      <c r="C1491" s="3">
        <v>28.73</v>
      </c>
      <c r="D1491" s="3">
        <v>28.73</v>
      </c>
      <c r="E1491" s="3">
        <v>28.08</v>
      </c>
      <c r="F1491" s="3">
        <v>28.31</v>
      </c>
      <c r="G1491" s="3">
        <v>4623054</v>
      </c>
      <c r="H1491" s="8">
        <f t="shared" si="139"/>
        <v>6.548739179525775</v>
      </c>
      <c r="I1491">
        <f t="shared" si="140"/>
        <v>27.834000000000003</v>
      </c>
      <c r="J1491" s="6" cm="1">
        <f t="array" ref="J1491">_xlfn.STDEV.S(IF($A:$A=A1491, $F:$F))</f>
        <v>0.76852456044032802</v>
      </c>
      <c r="P1491" s="8">
        <f t="shared" si="141"/>
        <v>6.548739179525775</v>
      </c>
      <c r="Q1491" s="8">
        <f t="shared" si="142"/>
        <v>6.548739179525775</v>
      </c>
      <c r="R1491" s="8">
        <f t="shared" si="143"/>
        <v>6.548739179525775</v>
      </c>
    </row>
    <row r="1492" spans="1:18" x14ac:dyDescent="0.25">
      <c r="A1492" s="7">
        <f t="shared" si="138"/>
        <v>299</v>
      </c>
      <c r="B1492" s="2">
        <v>45100</v>
      </c>
      <c r="C1492" s="3">
        <v>28.35</v>
      </c>
      <c r="D1492" s="3">
        <v>28.54</v>
      </c>
      <c r="E1492" s="3">
        <v>27.89</v>
      </c>
      <c r="F1492" s="3">
        <v>28.39</v>
      </c>
      <c r="G1492" s="3">
        <v>5065633</v>
      </c>
      <c r="H1492" s="8">
        <f t="shared" si="139"/>
        <v>-3.2053539978865802</v>
      </c>
      <c r="I1492">
        <f t="shared" si="140"/>
        <v>28.288</v>
      </c>
      <c r="J1492" s="6" cm="1">
        <f t="array" ref="J1492">_xlfn.STDEV.S(IF($A:$A=A1492, $F:$F))</f>
        <v>0.47798535542420167</v>
      </c>
      <c r="P1492" s="8">
        <f t="shared" si="141"/>
        <v>-3.2053539978865802</v>
      </c>
      <c r="Q1492" s="8">
        <f t="shared" si="142"/>
        <v>-3.2053539978865802</v>
      </c>
      <c r="R1492" s="8">
        <f t="shared" si="143"/>
        <v>-3.2053539978865802</v>
      </c>
    </row>
    <row r="1493" spans="1:18" x14ac:dyDescent="0.25">
      <c r="A1493" s="7">
        <f t="shared" si="138"/>
        <v>299</v>
      </c>
      <c r="B1493" s="2">
        <v>45103</v>
      </c>
      <c r="C1493" s="3">
        <v>28.39</v>
      </c>
      <c r="D1493" s="3">
        <v>28.61</v>
      </c>
      <c r="E1493" s="3">
        <v>27.25</v>
      </c>
      <c r="F1493" s="3">
        <v>28.39</v>
      </c>
      <c r="G1493" s="3">
        <v>5360192</v>
      </c>
      <c r="H1493" s="8">
        <f t="shared" si="139"/>
        <v>-3.2053539978865802</v>
      </c>
      <c r="I1493">
        <f t="shared" si="140"/>
        <v>28.288</v>
      </c>
      <c r="J1493" s="6" cm="1">
        <f t="array" ref="J1493">_xlfn.STDEV.S(IF($A:$A=A1493, $F:$F))</f>
        <v>0.47798535542420167</v>
      </c>
      <c r="P1493" s="8">
        <f t="shared" si="141"/>
        <v>-3.2053539978865802</v>
      </c>
      <c r="Q1493" s="8">
        <f t="shared" si="142"/>
        <v>-3.2053539978865802</v>
      </c>
      <c r="R1493" s="8">
        <f t="shared" si="143"/>
        <v>-3.2053539978865802</v>
      </c>
    </row>
    <row r="1494" spans="1:18" x14ac:dyDescent="0.25">
      <c r="A1494" s="7">
        <f t="shared" si="138"/>
        <v>299</v>
      </c>
      <c r="B1494" s="2">
        <v>45104</v>
      </c>
      <c r="C1494" s="3">
        <v>28.69</v>
      </c>
      <c r="D1494" s="3">
        <v>28.69</v>
      </c>
      <c r="E1494" s="3">
        <v>28.23</v>
      </c>
      <c r="F1494" s="3">
        <v>28.42</v>
      </c>
      <c r="G1494" s="3">
        <v>3578563</v>
      </c>
      <c r="H1494" s="8">
        <f t="shared" si="139"/>
        <v>-3.2053539978865802</v>
      </c>
      <c r="I1494">
        <f t="shared" si="140"/>
        <v>28.288</v>
      </c>
      <c r="J1494" s="6" cm="1">
        <f t="array" ref="J1494">_xlfn.STDEV.S(IF($A:$A=A1494, $F:$F))</f>
        <v>0.47798535542420167</v>
      </c>
      <c r="P1494" s="8">
        <f t="shared" si="141"/>
        <v>-3.2053539978865802</v>
      </c>
      <c r="Q1494" s="8">
        <f t="shared" si="142"/>
        <v>-3.2053539978865802</v>
      </c>
      <c r="R1494" s="8">
        <f t="shared" si="143"/>
        <v>-3.2053539978865802</v>
      </c>
    </row>
    <row r="1495" spans="1:18" x14ac:dyDescent="0.25">
      <c r="A1495" s="7">
        <f t="shared" si="138"/>
        <v>299</v>
      </c>
      <c r="B1495" s="2">
        <v>45105</v>
      </c>
      <c r="C1495" s="3">
        <v>28.61</v>
      </c>
      <c r="D1495" s="3">
        <v>28.99</v>
      </c>
      <c r="E1495" s="3">
        <v>28.39</v>
      </c>
      <c r="F1495" s="3">
        <v>28.76</v>
      </c>
      <c r="G1495" s="3">
        <v>3920526</v>
      </c>
      <c r="H1495" s="8">
        <f t="shared" si="139"/>
        <v>-3.2053539978865802</v>
      </c>
      <c r="I1495">
        <f t="shared" si="140"/>
        <v>28.288</v>
      </c>
      <c r="J1495" s="6" cm="1">
        <f t="array" ref="J1495">_xlfn.STDEV.S(IF($A:$A=A1495, $F:$F))</f>
        <v>0.47798535542420167</v>
      </c>
      <c r="P1495" s="8">
        <f t="shared" si="141"/>
        <v>-3.2053539978865802</v>
      </c>
      <c r="Q1495" s="8">
        <f t="shared" si="142"/>
        <v>-3.2053539978865802</v>
      </c>
      <c r="R1495" s="8">
        <f t="shared" si="143"/>
        <v>-3.2053539978865802</v>
      </c>
    </row>
    <row r="1496" spans="1:18" x14ac:dyDescent="0.25">
      <c r="A1496" s="7">
        <f t="shared" si="138"/>
        <v>299</v>
      </c>
      <c r="B1496" s="2">
        <v>45106</v>
      </c>
      <c r="C1496" s="3">
        <v>28.76</v>
      </c>
      <c r="D1496" s="3">
        <v>28.76</v>
      </c>
      <c r="E1496" s="3">
        <v>27.48</v>
      </c>
      <c r="F1496" s="3">
        <v>27.48</v>
      </c>
      <c r="G1496" s="3">
        <v>5030033</v>
      </c>
      <c r="H1496" s="8">
        <f t="shared" si="139"/>
        <v>-3.2053539978865802</v>
      </c>
      <c r="I1496">
        <f t="shared" si="140"/>
        <v>28.288</v>
      </c>
      <c r="J1496" s="6" cm="1">
        <f t="array" ref="J1496">_xlfn.STDEV.S(IF($A:$A=A1496, $F:$F))</f>
        <v>0.47798535542420167</v>
      </c>
      <c r="P1496" s="8">
        <f t="shared" si="141"/>
        <v>-3.2053539978865802</v>
      </c>
      <c r="Q1496" s="8">
        <f t="shared" si="142"/>
        <v>-3.2053539978865802</v>
      </c>
      <c r="R1496" s="8">
        <f t="shared" si="143"/>
        <v>-3.2053539978865802</v>
      </c>
    </row>
    <row r="1497" spans="1:18" x14ac:dyDescent="0.25">
      <c r="A1497" s="7">
        <f t="shared" si="138"/>
        <v>300</v>
      </c>
      <c r="B1497" s="2">
        <v>45107</v>
      </c>
      <c r="C1497" s="3">
        <v>27.55</v>
      </c>
      <c r="D1497" s="3">
        <v>28.2</v>
      </c>
      <c r="E1497" s="3">
        <v>27.48</v>
      </c>
      <c r="F1497" s="3">
        <v>27.7</v>
      </c>
      <c r="G1497" s="3">
        <v>4509978</v>
      </c>
      <c r="H1497" s="8">
        <f t="shared" si="139"/>
        <v>9.8555956678700376</v>
      </c>
      <c r="I1497">
        <f t="shared" si="140"/>
        <v>29.21</v>
      </c>
      <c r="J1497" s="6" cm="1">
        <f t="array" ref="J1497">_xlfn.STDEV.S(IF($A:$A=A1497, $F:$F))</f>
        <v>1.2228041543926811</v>
      </c>
      <c r="P1497" s="8">
        <f t="shared" si="141"/>
        <v>9.8555956678700376</v>
      </c>
      <c r="Q1497" s="8">
        <f t="shared" si="142"/>
        <v>9.8555956678700376</v>
      </c>
      <c r="R1497" s="10">
        <f t="shared" si="143"/>
        <v>9.8555956678700376</v>
      </c>
    </row>
    <row r="1498" spans="1:18" x14ac:dyDescent="0.25">
      <c r="A1498" s="7">
        <f t="shared" si="138"/>
        <v>300</v>
      </c>
      <c r="B1498" s="2">
        <v>45110</v>
      </c>
      <c r="C1498" s="3">
        <v>27.89</v>
      </c>
      <c r="D1498" s="3">
        <v>28.31</v>
      </c>
      <c r="E1498" s="3">
        <v>27.74</v>
      </c>
      <c r="F1498" s="3">
        <v>28.12</v>
      </c>
      <c r="G1498" s="3">
        <v>3264852</v>
      </c>
      <c r="H1498" s="8">
        <f t="shared" si="139"/>
        <v>9.8555956678700376</v>
      </c>
      <c r="I1498">
        <f t="shared" si="140"/>
        <v>29.21</v>
      </c>
      <c r="J1498" s="6" cm="1">
        <f t="array" ref="J1498">_xlfn.STDEV.S(IF($A:$A=A1498, $F:$F))</f>
        <v>1.2228041543926811</v>
      </c>
      <c r="P1498" s="8">
        <f t="shared" si="141"/>
        <v>9.8555956678700376</v>
      </c>
      <c r="Q1498" s="8">
        <f t="shared" si="142"/>
        <v>9.8555956678700376</v>
      </c>
      <c r="R1498" s="10">
        <f t="shared" si="143"/>
        <v>9.8555956678700376</v>
      </c>
    </row>
    <row r="1499" spans="1:18" x14ac:dyDescent="0.25">
      <c r="A1499" s="7">
        <f t="shared" si="138"/>
        <v>300</v>
      </c>
      <c r="B1499" s="2">
        <v>45111</v>
      </c>
      <c r="C1499" s="3">
        <v>28.16</v>
      </c>
      <c r="D1499" s="3">
        <v>30.09</v>
      </c>
      <c r="E1499" s="3">
        <v>28.01</v>
      </c>
      <c r="F1499" s="3">
        <v>30.09</v>
      </c>
      <c r="G1499" s="3">
        <v>10565913</v>
      </c>
      <c r="H1499" s="8">
        <f t="shared" si="139"/>
        <v>9.8555956678700376</v>
      </c>
      <c r="I1499">
        <f t="shared" si="140"/>
        <v>29.21</v>
      </c>
      <c r="J1499" s="6" cm="1">
        <f t="array" ref="J1499">_xlfn.STDEV.S(IF($A:$A=A1499, $F:$F))</f>
        <v>1.2228041543926811</v>
      </c>
      <c r="P1499" s="8">
        <f t="shared" si="141"/>
        <v>9.8555956678700376</v>
      </c>
      <c r="Q1499" s="8">
        <f t="shared" si="142"/>
        <v>9.8555956678700376</v>
      </c>
      <c r="R1499" s="10">
        <f t="shared" si="143"/>
        <v>9.8555956678700376</v>
      </c>
    </row>
    <row r="1500" spans="1:18" x14ac:dyDescent="0.25">
      <c r="A1500" s="7">
        <f t="shared" si="138"/>
        <v>300</v>
      </c>
      <c r="B1500" s="2">
        <v>45112</v>
      </c>
      <c r="C1500" s="3">
        <v>30.13</v>
      </c>
      <c r="D1500" s="3">
        <v>30.16</v>
      </c>
      <c r="E1500" s="3">
        <v>29.56</v>
      </c>
      <c r="F1500" s="3">
        <v>29.71</v>
      </c>
      <c r="G1500" s="3">
        <v>4267498</v>
      </c>
      <c r="H1500" s="8">
        <f t="shared" si="139"/>
        <v>9.8555956678700376</v>
      </c>
      <c r="I1500">
        <f t="shared" si="140"/>
        <v>29.21</v>
      </c>
      <c r="J1500" s="6" cm="1">
        <f t="array" ref="J1500">_xlfn.STDEV.S(IF($A:$A=A1500, $F:$F))</f>
        <v>1.2228041543926811</v>
      </c>
      <c r="P1500" s="8">
        <f t="shared" si="141"/>
        <v>9.8555956678700376</v>
      </c>
      <c r="Q1500" s="8">
        <f t="shared" si="142"/>
        <v>9.8555956678700376</v>
      </c>
      <c r="R1500" s="10">
        <f t="shared" si="143"/>
        <v>9.8555956678700376</v>
      </c>
    </row>
    <row r="1501" spans="1:18" x14ac:dyDescent="0.25">
      <c r="A1501" s="7">
        <f t="shared" si="138"/>
        <v>300</v>
      </c>
      <c r="B1501" s="2">
        <v>45113</v>
      </c>
      <c r="C1501" s="3">
        <v>29.82</v>
      </c>
      <c r="D1501" s="3">
        <v>30.88</v>
      </c>
      <c r="E1501" s="3">
        <v>29.71</v>
      </c>
      <c r="F1501" s="3">
        <v>30.43</v>
      </c>
      <c r="G1501" s="3">
        <v>9896182</v>
      </c>
      <c r="H1501" s="8">
        <f t="shared" si="139"/>
        <v>9.8555956678700376</v>
      </c>
      <c r="I1501">
        <f t="shared" si="140"/>
        <v>29.21</v>
      </c>
      <c r="J1501" s="6" cm="1">
        <f t="array" ref="J1501">_xlfn.STDEV.S(IF($A:$A=A1501, $F:$F))</f>
        <v>1.2228041543926811</v>
      </c>
      <c r="P1501" s="8">
        <f t="shared" si="141"/>
        <v>9.8555956678700376</v>
      </c>
      <c r="Q1501" s="8">
        <f t="shared" si="142"/>
        <v>9.8555956678700376</v>
      </c>
      <c r="R1501" s="10">
        <f t="shared" si="143"/>
        <v>9.8555956678700376</v>
      </c>
    </row>
    <row r="1502" spans="1:18" x14ac:dyDescent="0.25">
      <c r="A1502" s="7">
        <f t="shared" si="138"/>
        <v>301</v>
      </c>
      <c r="B1502" s="2">
        <v>45114</v>
      </c>
      <c r="C1502" s="3">
        <v>30.43</v>
      </c>
      <c r="D1502" s="3">
        <v>30.92</v>
      </c>
      <c r="E1502" s="3">
        <v>29.9</v>
      </c>
      <c r="F1502" s="3">
        <v>30.88</v>
      </c>
      <c r="G1502" s="3">
        <v>4066592</v>
      </c>
      <c r="H1502" s="8">
        <f t="shared" si="139"/>
        <v>2.3316062176165882</v>
      </c>
      <c r="I1502">
        <f t="shared" si="140"/>
        <v>31.344000000000001</v>
      </c>
      <c r="J1502" s="6" cm="1">
        <f t="array" ref="J1502">_xlfn.STDEV.S(IF($A:$A=A1502, $F:$F))</f>
        <v>0.28614681546367116</v>
      </c>
      <c r="P1502" s="8">
        <f t="shared" si="141"/>
        <v>2.3316062176165882</v>
      </c>
      <c r="Q1502" s="8">
        <f t="shared" si="142"/>
        <v>2.3316062176165882</v>
      </c>
      <c r="R1502" s="8">
        <f t="shared" si="143"/>
        <v>2.3316062176165882</v>
      </c>
    </row>
    <row r="1503" spans="1:18" x14ac:dyDescent="0.25">
      <c r="A1503" s="7">
        <f t="shared" si="138"/>
        <v>301</v>
      </c>
      <c r="B1503" s="2">
        <v>45117</v>
      </c>
      <c r="C1503" s="3">
        <v>30.88</v>
      </c>
      <c r="D1503" s="3">
        <v>31.68</v>
      </c>
      <c r="E1503" s="3">
        <v>30.88</v>
      </c>
      <c r="F1503" s="3">
        <v>31.56</v>
      </c>
      <c r="G1503" s="3">
        <v>5772865</v>
      </c>
      <c r="H1503" s="8">
        <f t="shared" si="139"/>
        <v>2.3316062176165882</v>
      </c>
      <c r="I1503">
        <f t="shared" si="140"/>
        <v>31.344000000000001</v>
      </c>
      <c r="J1503" s="6" cm="1">
        <f t="array" ref="J1503">_xlfn.STDEV.S(IF($A:$A=A1503, $F:$F))</f>
        <v>0.28614681546367116</v>
      </c>
      <c r="P1503" s="8">
        <f t="shared" si="141"/>
        <v>2.3316062176165882</v>
      </c>
      <c r="Q1503" s="8">
        <f t="shared" si="142"/>
        <v>2.3316062176165882</v>
      </c>
      <c r="R1503" s="8">
        <f t="shared" si="143"/>
        <v>2.3316062176165882</v>
      </c>
    </row>
    <row r="1504" spans="1:18" x14ac:dyDescent="0.25">
      <c r="A1504" s="7">
        <f t="shared" si="138"/>
        <v>301</v>
      </c>
      <c r="B1504" s="2">
        <v>45118</v>
      </c>
      <c r="C1504" s="3">
        <v>31.49</v>
      </c>
      <c r="D1504" s="3">
        <v>31.6</v>
      </c>
      <c r="E1504" s="3">
        <v>31</v>
      </c>
      <c r="F1504" s="3">
        <v>31.34</v>
      </c>
      <c r="G1504" s="3">
        <v>5998490</v>
      </c>
      <c r="H1504" s="8">
        <f t="shared" si="139"/>
        <v>2.3316062176165882</v>
      </c>
      <c r="I1504">
        <f t="shared" si="140"/>
        <v>31.344000000000001</v>
      </c>
      <c r="J1504" s="6" cm="1">
        <f t="array" ref="J1504">_xlfn.STDEV.S(IF($A:$A=A1504, $F:$F))</f>
        <v>0.28614681546367116</v>
      </c>
      <c r="P1504" s="8">
        <f t="shared" si="141"/>
        <v>2.3316062176165882</v>
      </c>
      <c r="Q1504" s="8">
        <f t="shared" si="142"/>
        <v>2.3316062176165882</v>
      </c>
      <c r="R1504" s="8">
        <f t="shared" si="143"/>
        <v>2.3316062176165882</v>
      </c>
    </row>
    <row r="1505" spans="1:18" x14ac:dyDescent="0.25">
      <c r="A1505" s="7">
        <f t="shared" si="138"/>
        <v>301</v>
      </c>
      <c r="B1505" s="2">
        <v>45119</v>
      </c>
      <c r="C1505" s="3">
        <v>31.49</v>
      </c>
      <c r="D1505" s="3">
        <v>32.32</v>
      </c>
      <c r="E1505" s="3">
        <v>31.34</v>
      </c>
      <c r="F1505" s="3">
        <v>31.34</v>
      </c>
      <c r="G1505" s="3">
        <v>4474712</v>
      </c>
      <c r="H1505" s="8">
        <f t="shared" si="139"/>
        <v>2.3316062176165882</v>
      </c>
      <c r="I1505">
        <f t="shared" si="140"/>
        <v>31.344000000000001</v>
      </c>
      <c r="J1505" s="6" cm="1">
        <f t="array" ref="J1505">_xlfn.STDEV.S(IF($A:$A=A1505, $F:$F))</f>
        <v>0.28614681546367116</v>
      </c>
      <c r="P1505" s="8">
        <f t="shared" si="141"/>
        <v>2.3316062176165882</v>
      </c>
      <c r="Q1505" s="8">
        <f t="shared" si="142"/>
        <v>2.3316062176165882</v>
      </c>
      <c r="R1505" s="8">
        <f t="shared" si="143"/>
        <v>2.3316062176165882</v>
      </c>
    </row>
    <row r="1506" spans="1:18" x14ac:dyDescent="0.25">
      <c r="A1506" s="7">
        <f t="shared" si="138"/>
        <v>301</v>
      </c>
      <c r="B1506" s="2">
        <v>45120</v>
      </c>
      <c r="C1506" s="3">
        <v>31.68</v>
      </c>
      <c r="D1506" s="3">
        <v>31.94</v>
      </c>
      <c r="E1506" s="3">
        <v>31.41</v>
      </c>
      <c r="F1506" s="3">
        <v>31.6</v>
      </c>
      <c r="G1506" s="3">
        <v>2104157</v>
      </c>
      <c r="H1506" s="8">
        <f t="shared" si="139"/>
        <v>2.3316062176165882</v>
      </c>
      <c r="I1506">
        <f t="shared" si="140"/>
        <v>31.344000000000001</v>
      </c>
      <c r="J1506" s="6" cm="1">
        <f t="array" ref="J1506">_xlfn.STDEV.S(IF($A:$A=A1506, $F:$F))</f>
        <v>0.28614681546367116</v>
      </c>
      <c r="P1506" s="8">
        <f t="shared" si="141"/>
        <v>2.3316062176165882</v>
      </c>
      <c r="Q1506" s="8">
        <f t="shared" si="142"/>
        <v>2.3316062176165882</v>
      </c>
      <c r="R1506" s="8">
        <f t="shared" si="143"/>
        <v>2.3316062176165882</v>
      </c>
    </row>
    <row r="1507" spans="1:18" x14ac:dyDescent="0.25">
      <c r="A1507" s="7">
        <f t="shared" si="138"/>
        <v>302</v>
      </c>
      <c r="B1507" s="2">
        <v>45121</v>
      </c>
      <c r="C1507" s="3">
        <v>31.79</v>
      </c>
      <c r="D1507" s="3">
        <v>32.36</v>
      </c>
      <c r="E1507" s="3">
        <v>31.07</v>
      </c>
      <c r="F1507" s="3">
        <v>32.36</v>
      </c>
      <c r="G1507" s="3">
        <v>5059260</v>
      </c>
      <c r="H1507" s="8">
        <f t="shared" si="139"/>
        <v>-1.7614338689740427</v>
      </c>
      <c r="I1507">
        <f t="shared" si="140"/>
        <v>31.981999999999999</v>
      </c>
      <c r="J1507" s="6" cm="1">
        <f t="array" ref="J1507">_xlfn.STDEV.S(IF($A:$A=A1507, $F:$F))</f>
        <v>0.25063918289046555</v>
      </c>
      <c r="P1507" s="8">
        <f t="shared" si="141"/>
        <v>-1.7614338689740427</v>
      </c>
      <c r="Q1507" s="8">
        <f t="shared" si="142"/>
        <v>-1.7614338689740427</v>
      </c>
      <c r="R1507" s="8">
        <f t="shared" si="143"/>
        <v>-1.7614338689740427</v>
      </c>
    </row>
    <row r="1508" spans="1:18" x14ac:dyDescent="0.25">
      <c r="A1508" s="7">
        <f t="shared" si="138"/>
        <v>302</v>
      </c>
      <c r="B1508" s="2">
        <v>45124</v>
      </c>
      <c r="C1508" s="3">
        <v>32.549999999999997</v>
      </c>
      <c r="D1508" s="3">
        <v>32.549999999999997</v>
      </c>
      <c r="E1508" s="3">
        <v>31.98</v>
      </c>
      <c r="F1508" s="3">
        <v>32.020000000000003</v>
      </c>
      <c r="G1508" s="3">
        <v>2650850</v>
      </c>
      <c r="H1508" s="8">
        <f t="shared" si="139"/>
        <v>-1.7614338689740427</v>
      </c>
      <c r="I1508">
        <f t="shared" si="140"/>
        <v>31.981999999999999</v>
      </c>
      <c r="J1508" s="6" cm="1">
        <f t="array" ref="J1508">_xlfn.STDEV.S(IF($A:$A=A1508, $F:$F))</f>
        <v>0.25063918289046555</v>
      </c>
      <c r="P1508" s="8">
        <f t="shared" si="141"/>
        <v>-1.7614338689740427</v>
      </c>
      <c r="Q1508" s="8">
        <f t="shared" si="142"/>
        <v>-1.7614338689740427</v>
      </c>
      <c r="R1508" s="8">
        <f t="shared" si="143"/>
        <v>-1.7614338689740427</v>
      </c>
    </row>
    <row r="1509" spans="1:18" x14ac:dyDescent="0.25">
      <c r="A1509" s="7">
        <f t="shared" si="138"/>
        <v>302</v>
      </c>
      <c r="B1509" s="2">
        <v>45125</v>
      </c>
      <c r="C1509" s="3">
        <v>31.87</v>
      </c>
      <c r="D1509" s="3">
        <v>32.17</v>
      </c>
      <c r="E1509" s="3">
        <v>31.49</v>
      </c>
      <c r="F1509" s="3">
        <v>31.72</v>
      </c>
      <c r="G1509" s="3">
        <v>2593502</v>
      </c>
      <c r="H1509" s="8">
        <f t="shared" si="139"/>
        <v>-1.7614338689740427</v>
      </c>
      <c r="I1509">
        <f t="shared" si="140"/>
        <v>31.981999999999999</v>
      </c>
      <c r="J1509" s="6" cm="1">
        <f t="array" ref="J1509">_xlfn.STDEV.S(IF($A:$A=A1509, $F:$F))</f>
        <v>0.25063918289046555</v>
      </c>
      <c r="P1509" s="8">
        <f t="shared" si="141"/>
        <v>-1.7614338689740427</v>
      </c>
      <c r="Q1509" s="8">
        <f t="shared" si="142"/>
        <v>-1.7614338689740427</v>
      </c>
      <c r="R1509" s="8">
        <f t="shared" si="143"/>
        <v>-1.7614338689740427</v>
      </c>
    </row>
    <row r="1510" spans="1:18" x14ac:dyDescent="0.25">
      <c r="A1510" s="7">
        <f t="shared" si="138"/>
        <v>302</v>
      </c>
      <c r="B1510" s="2">
        <v>45126</v>
      </c>
      <c r="C1510" s="3">
        <v>31.72</v>
      </c>
      <c r="D1510" s="3">
        <v>32.700000000000003</v>
      </c>
      <c r="E1510" s="3">
        <v>31.56</v>
      </c>
      <c r="F1510" s="3">
        <v>32.020000000000003</v>
      </c>
      <c r="G1510" s="3">
        <v>3843580</v>
      </c>
      <c r="H1510" s="8">
        <f t="shared" si="139"/>
        <v>-1.7614338689740427</v>
      </c>
      <c r="I1510">
        <f t="shared" si="140"/>
        <v>31.981999999999999</v>
      </c>
      <c r="J1510" s="6" cm="1">
        <f t="array" ref="J1510">_xlfn.STDEV.S(IF($A:$A=A1510, $F:$F))</f>
        <v>0.25063918289046555</v>
      </c>
      <c r="P1510" s="8">
        <f t="shared" si="141"/>
        <v>-1.7614338689740427</v>
      </c>
      <c r="Q1510" s="8">
        <f t="shared" si="142"/>
        <v>-1.7614338689740427</v>
      </c>
      <c r="R1510" s="8">
        <f t="shared" si="143"/>
        <v>-1.7614338689740427</v>
      </c>
    </row>
    <row r="1511" spans="1:18" x14ac:dyDescent="0.25">
      <c r="A1511" s="7">
        <f t="shared" si="138"/>
        <v>302</v>
      </c>
      <c r="B1511" s="2">
        <v>45127</v>
      </c>
      <c r="C1511" s="3">
        <v>32.020000000000003</v>
      </c>
      <c r="D1511" s="3">
        <v>32.090000000000003</v>
      </c>
      <c r="E1511" s="3">
        <v>31.07</v>
      </c>
      <c r="F1511" s="3">
        <v>31.79</v>
      </c>
      <c r="G1511" s="3">
        <v>4913934</v>
      </c>
      <c r="H1511" s="8">
        <f t="shared" si="139"/>
        <v>-1.7614338689740427</v>
      </c>
      <c r="I1511">
        <f t="shared" si="140"/>
        <v>31.981999999999999</v>
      </c>
      <c r="J1511" s="6" cm="1">
        <f t="array" ref="J1511">_xlfn.STDEV.S(IF($A:$A=A1511, $F:$F))</f>
        <v>0.25063918289046555</v>
      </c>
      <c r="P1511" s="8">
        <f t="shared" si="141"/>
        <v>-1.7614338689740427</v>
      </c>
      <c r="Q1511" s="8">
        <f t="shared" si="142"/>
        <v>-1.7614338689740427</v>
      </c>
      <c r="R1511" s="8">
        <f t="shared" si="143"/>
        <v>-1.7614338689740427</v>
      </c>
    </row>
    <row r="1512" spans="1:18" x14ac:dyDescent="0.25">
      <c r="A1512" s="7">
        <f t="shared" si="138"/>
        <v>303</v>
      </c>
      <c r="B1512" s="2">
        <v>45128</v>
      </c>
      <c r="C1512" s="3">
        <v>31.45</v>
      </c>
      <c r="D1512" s="3">
        <v>32.43</v>
      </c>
      <c r="E1512" s="3">
        <v>31.26</v>
      </c>
      <c r="F1512" s="3">
        <v>32.17</v>
      </c>
      <c r="G1512" s="3">
        <v>5478906</v>
      </c>
      <c r="H1512" s="8">
        <f t="shared" si="139"/>
        <v>0.46627292508547891</v>
      </c>
      <c r="I1512">
        <f t="shared" si="140"/>
        <v>32.322000000000003</v>
      </c>
      <c r="J1512" s="6" cm="1">
        <f t="array" ref="J1512">_xlfn.STDEV.S(IF($A:$A=A1512, $F:$F))</f>
        <v>0.25684625751604773</v>
      </c>
      <c r="P1512" s="8">
        <f t="shared" si="141"/>
        <v>0.46627292508547891</v>
      </c>
      <c r="Q1512" s="8">
        <f t="shared" si="142"/>
        <v>0.46627292508547891</v>
      </c>
      <c r="R1512" s="8">
        <f t="shared" si="143"/>
        <v>0.46627292508547891</v>
      </c>
    </row>
    <row r="1513" spans="1:18" x14ac:dyDescent="0.25">
      <c r="A1513" s="7">
        <f t="shared" si="138"/>
        <v>303</v>
      </c>
      <c r="B1513" s="2">
        <v>45131</v>
      </c>
      <c r="C1513" s="3">
        <v>32.549999999999997</v>
      </c>
      <c r="D1513" s="3">
        <v>32.659999999999997</v>
      </c>
      <c r="E1513" s="3">
        <v>31.91</v>
      </c>
      <c r="F1513" s="3">
        <v>31.98</v>
      </c>
      <c r="G1513" s="3">
        <v>3896345</v>
      </c>
      <c r="H1513" s="8">
        <f t="shared" si="139"/>
        <v>0.46627292508547891</v>
      </c>
      <c r="I1513">
        <f t="shared" si="140"/>
        <v>32.322000000000003</v>
      </c>
      <c r="J1513" s="6" cm="1">
        <f t="array" ref="J1513">_xlfn.STDEV.S(IF($A:$A=A1513, $F:$F))</f>
        <v>0.25684625751604773</v>
      </c>
      <c r="P1513" s="8">
        <f t="shared" si="141"/>
        <v>0.46627292508547891</v>
      </c>
      <c r="Q1513" s="8">
        <f t="shared" si="142"/>
        <v>0.46627292508547891</v>
      </c>
      <c r="R1513" s="8">
        <f t="shared" si="143"/>
        <v>0.46627292508547891</v>
      </c>
    </row>
    <row r="1514" spans="1:18" x14ac:dyDescent="0.25">
      <c r="A1514" s="7">
        <f t="shared" si="138"/>
        <v>303</v>
      </c>
      <c r="B1514" s="2">
        <v>45132</v>
      </c>
      <c r="C1514" s="3">
        <v>31.98</v>
      </c>
      <c r="D1514" s="3">
        <v>32.89</v>
      </c>
      <c r="E1514" s="3">
        <v>31.98</v>
      </c>
      <c r="F1514" s="3">
        <v>32.549999999999997</v>
      </c>
      <c r="G1514" s="3">
        <v>5427886</v>
      </c>
      <c r="H1514" s="8">
        <f t="shared" si="139"/>
        <v>0.46627292508547891</v>
      </c>
      <c r="I1514">
        <f t="shared" si="140"/>
        <v>32.322000000000003</v>
      </c>
      <c r="J1514" s="6" cm="1">
        <f t="array" ref="J1514">_xlfn.STDEV.S(IF($A:$A=A1514, $F:$F))</f>
        <v>0.25684625751604773</v>
      </c>
      <c r="P1514" s="8">
        <f t="shared" si="141"/>
        <v>0.46627292508547891</v>
      </c>
      <c r="Q1514" s="8">
        <f t="shared" si="142"/>
        <v>0.46627292508547891</v>
      </c>
      <c r="R1514" s="8">
        <f t="shared" si="143"/>
        <v>0.46627292508547891</v>
      </c>
    </row>
    <row r="1515" spans="1:18" x14ac:dyDescent="0.25">
      <c r="A1515" s="7">
        <f t="shared" si="138"/>
        <v>303</v>
      </c>
      <c r="B1515" s="2">
        <v>45133</v>
      </c>
      <c r="C1515" s="3">
        <v>32.4</v>
      </c>
      <c r="D1515" s="3">
        <v>33</v>
      </c>
      <c r="E1515" s="3">
        <v>32.32</v>
      </c>
      <c r="F1515" s="3">
        <v>32.590000000000003</v>
      </c>
      <c r="G1515" s="3">
        <v>3196342</v>
      </c>
      <c r="H1515" s="8">
        <f t="shared" si="139"/>
        <v>0.46627292508547891</v>
      </c>
      <c r="I1515">
        <f t="shared" si="140"/>
        <v>32.322000000000003</v>
      </c>
      <c r="J1515" s="6" cm="1">
        <f t="array" ref="J1515">_xlfn.STDEV.S(IF($A:$A=A1515, $F:$F))</f>
        <v>0.25684625751604773</v>
      </c>
      <c r="P1515" s="8">
        <f t="shared" si="141"/>
        <v>0.46627292508547891</v>
      </c>
      <c r="Q1515" s="8">
        <f t="shared" si="142"/>
        <v>0.46627292508547891</v>
      </c>
      <c r="R1515" s="8">
        <f t="shared" si="143"/>
        <v>0.46627292508547891</v>
      </c>
    </row>
    <row r="1516" spans="1:18" x14ac:dyDescent="0.25">
      <c r="A1516" s="7">
        <f t="shared" si="138"/>
        <v>303</v>
      </c>
      <c r="B1516" s="2">
        <v>45134</v>
      </c>
      <c r="C1516" s="3">
        <v>32.549999999999997</v>
      </c>
      <c r="D1516" s="3">
        <v>32.96</v>
      </c>
      <c r="E1516" s="3">
        <v>32.020000000000003</v>
      </c>
      <c r="F1516" s="3">
        <v>32.32</v>
      </c>
      <c r="G1516" s="3">
        <v>4348411</v>
      </c>
      <c r="H1516" s="8">
        <f t="shared" si="139"/>
        <v>0.46627292508547891</v>
      </c>
      <c r="I1516">
        <f t="shared" si="140"/>
        <v>32.322000000000003</v>
      </c>
      <c r="J1516" s="6" cm="1">
        <f t="array" ref="J1516">_xlfn.STDEV.S(IF($A:$A=A1516, $F:$F))</f>
        <v>0.25684625751604773</v>
      </c>
      <c r="P1516" s="8">
        <f t="shared" si="141"/>
        <v>0.46627292508547891</v>
      </c>
      <c r="Q1516" s="8">
        <f t="shared" si="142"/>
        <v>0.46627292508547891</v>
      </c>
      <c r="R1516" s="8">
        <f t="shared" si="143"/>
        <v>0.46627292508547891</v>
      </c>
    </row>
    <row r="1517" spans="1:18" x14ac:dyDescent="0.25">
      <c r="A1517" s="7">
        <f t="shared" si="138"/>
        <v>304</v>
      </c>
      <c r="B1517" s="2">
        <v>45135</v>
      </c>
      <c r="C1517" s="3">
        <v>32.28</v>
      </c>
      <c r="D1517" s="3">
        <v>33.270000000000003</v>
      </c>
      <c r="E1517" s="3">
        <v>32.25</v>
      </c>
      <c r="F1517" s="3">
        <v>32.78</v>
      </c>
      <c r="G1517" s="3">
        <v>4094080</v>
      </c>
      <c r="H1517" s="8">
        <f t="shared" si="139"/>
        <v>-1.4032946918852984</v>
      </c>
      <c r="I1517">
        <f t="shared" si="140"/>
        <v>32.444000000000003</v>
      </c>
      <c r="J1517" s="6" cm="1">
        <f t="array" ref="J1517">_xlfn.STDEV.S(IF($A:$A=A1517, $F:$F))</f>
        <v>0.4050061727924647</v>
      </c>
      <c r="P1517" s="8">
        <f t="shared" si="141"/>
        <v>-1.4032946918852984</v>
      </c>
      <c r="Q1517" s="8">
        <f t="shared" si="142"/>
        <v>-1.4032946918852984</v>
      </c>
      <c r="R1517" s="8">
        <f t="shared" si="143"/>
        <v>-1.4032946918852984</v>
      </c>
    </row>
    <row r="1518" spans="1:18" x14ac:dyDescent="0.25">
      <c r="A1518" s="7">
        <f t="shared" si="138"/>
        <v>304</v>
      </c>
      <c r="B1518" s="2">
        <v>45138</v>
      </c>
      <c r="C1518" s="3">
        <v>32.78</v>
      </c>
      <c r="D1518" s="3">
        <v>33.229999999999997</v>
      </c>
      <c r="E1518" s="3">
        <v>32.36</v>
      </c>
      <c r="F1518" s="3">
        <v>32.93</v>
      </c>
      <c r="G1518" s="3">
        <v>3805884</v>
      </c>
      <c r="H1518" s="8">
        <f t="shared" si="139"/>
        <v>-1.4032946918852984</v>
      </c>
      <c r="I1518">
        <f t="shared" si="140"/>
        <v>32.444000000000003</v>
      </c>
      <c r="J1518" s="6" cm="1">
        <f t="array" ref="J1518">_xlfn.STDEV.S(IF($A:$A=A1518, $F:$F))</f>
        <v>0.4050061727924647</v>
      </c>
      <c r="P1518" s="8">
        <f t="shared" si="141"/>
        <v>-1.4032946918852984</v>
      </c>
      <c r="Q1518" s="8">
        <f t="shared" si="142"/>
        <v>-1.4032946918852984</v>
      </c>
      <c r="R1518" s="8">
        <f t="shared" si="143"/>
        <v>-1.4032946918852984</v>
      </c>
    </row>
    <row r="1519" spans="1:18" x14ac:dyDescent="0.25">
      <c r="A1519" s="7">
        <f t="shared" si="138"/>
        <v>304</v>
      </c>
      <c r="B1519" s="2">
        <v>45139</v>
      </c>
      <c r="C1519" s="3">
        <v>33.08</v>
      </c>
      <c r="D1519" s="3">
        <v>33.08</v>
      </c>
      <c r="E1519" s="3">
        <v>31.94</v>
      </c>
      <c r="F1519" s="3">
        <v>31.94</v>
      </c>
      <c r="G1519" s="3">
        <v>4259596</v>
      </c>
      <c r="H1519" s="8">
        <f t="shared" si="139"/>
        <v>-1.4032946918852984</v>
      </c>
      <c r="I1519">
        <f t="shared" si="140"/>
        <v>32.444000000000003</v>
      </c>
      <c r="J1519" s="6" cm="1">
        <f t="array" ref="J1519">_xlfn.STDEV.S(IF($A:$A=A1519, $F:$F))</f>
        <v>0.4050061727924647</v>
      </c>
      <c r="P1519" s="8">
        <f t="shared" si="141"/>
        <v>-1.4032946918852984</v>
      </c>
      <c r="Q1519" s="8">
        <f t="shared" si="142"/>
        <v>-1.4032946918852984</v>
      </c>
      <c r="R1519" s="8">
        <f t="shared" si="143"/>
        <v>-1.4032946918852984</v>
      </c>
    </row>
    <row r="1520" spans="1:18" x14ac:dyDescent="0.25">
      <c r="A1520" s="7">
        <f t="shared" si="138"/>
        <v>304</v>
      </c>
      <c r="B1520" s="2">
        <v>45140</v>
      </c>
      <c r="C1520" s="3">
        <v>31.83</v>
      </c>
      <c r="D1520" s="3">
        <v>32.43</v>
      </c>
      <c r="E1520" s="3">
        <v>31.83</v>
      </c>
      <c r="F1520" s="3">
        <v>32.25</v>
      </c>
      <c r="G1520" s="3">
        <v>2403849</v>
      </c>
      <c r="H1520" s="8">
        <f t="shared" si="139"/>
        <v>-1.4032946918852984</v>
      </c>
      <c r="I1520">
        <f t="shared" si="140"/>
        <v>32.444000000000003</v>
      </c>
      <c r="J1520" s="6" cm="1">
        <f t="array" ref="J1520">_xlfn.STDEV.S(IF($A:$A=A1520, $F:$F))</f>
        <v>0.4050061727924647</v>
      </c>
      <c r="P1520" s="8">
        <f t="shared" si="141"/>
        <v>-1.4032946918852984</v>
      </c>
      <c r="Q1520" s="8">
        <f t="shared" si="142"/>
        <v>-1.4032946918852984</v>
      </c>
      <c r="R1520" s="8">
        <f t="shared" si="143"/>
        <v>-1.4032946918852984</v>
      </c>
    </row>
    <row r="1521" spans="1:18" x14ac:dyDescent="0.25">
      <c r="A1521" s="7">
        <f t="shared" si="138"/>
        <v>304</v>
      </c>
      <c r="B1521" s="2">
        <v>45141</v>
      </c>
      <c r="C1521" s="3">
        <v>32.32</v>
      </c>
      <c r="D1521" s="3">
        <v>32.93</v>
      </c>
      <c r="E1521" s="3">
        <v>32.28</v>
      </c>
      <c r="F1521" s="3">
        <v>32.32</v>
      </c>
      <c r="G1521" s="3">
        <v>2935349</v>
      </c>
      <c r="H1521" s="8">
        <f t="shared" si="139"/>
        <v>-1.4032946918852984</v>
      </c>
      <c r="I1521">
        <f t="shared" si="140"/>
        <v>32.444000000000003</v>
      </c>
      <c r="J1521" s="6" cm="1">
        <f t="array" ref="J1521">_xlfn.STDEV.S(IF($A:$A=A1521, $F:$F))</f>
        <v>0.4050061727924647</v>
      </c>
      <c r="P1521" s="8">
        <f t="shared" si="141"/>
        <v>-1.4032946918852984</v>
      </c>
      <c r="Q1521" s="8">
        <f t="shared" si="142"/>
        <v>-1.4032946918852984</v>
      </c>
      <c r="R1521" s="8">
        <f t="shared" si="143"/>
        <v>-1.4032946918852984</v>
      </c>
    </row>
    <row r="1522" spans="1:18" x14ac:dyDescent="0.25">
      <c r="A1522" s="7">
        <f t="shared" si="138"/>
        <v>305</v>
      </c>
      <c r="B1522" s="2">
        <v>45142</v>
      </c>
      <c r="C1522" s="3">
        <v>32.32</v>
      </c>
      <c r="D1522" s="3">
        <v>33.72</v>
      </c>
      <c r="E1522" s="3">
        <v>32.32</v>
      </c>
      <c r="F1522" s="3">
        <v>33.72</v>
      </c>
      <c r="G1522" s="3">
        <v>4453808</v>
      </c>
      <c r="H1522" s="8">
        <f t="shared" si="139"/>
        <v>-4.5966785290628618</v>
      </c>
      <c r="I1522">
        <f t="shared" si="140"/>
        <v>33.222000000000001</v>
      </c>
      <c r="J1522" s="6" cm="1">
        <f t="array" ref="J1522">_xlfn.STDEV.S(IF($A:$A=A1522, $F:$F))</f>
        <v>0.6961106233925739</v>
      </c>
      <c r="P1522" s="8">
        <f t="shared" si="141"/>
        <v>-4.5966785290628618</v>
      </c>
      <c r="Q1522" s="8">
        <f t="shared" si="142"/>
        <v>-4.5966785290628618</v>
      </c>
      <c r="R1522" s="8">
        <f t="shared" si="143"/>
        <v>-4.5966785290628618</v>
      </c>
    </row>
    <row r="1523" spans="1:18" x14ac:dyDescent="0.25">
      <c r="A1523" s="7">
        <f t="shared" si="138"/>
        <v>305</v>
      </c>
      <c r="B1523" s="2">
        <v>45145</v>
      </c>
      <c r="C1523" s="3">
        <v>33.950000000000003</v>
      </c>
      <c r="D1523" s="3">
        <v>33.99</v>
      </c>
      <c r="E1523" s="3">
        <v>33.61</v>
      </c>
      <c r="F1523" s="3">
        <v>33.909999999999997</v>
      </c>
      <c r="G1523" s="3">
        <v>3009972</v>
      </c>
      <c r="H1523" s="8">
        <f t="shared" si="139"/>
        <v>-4.5966785290628618</v>
      </c>
      <c r="I1523">
        <f t="shared" si="140"/>
        <v>33.222000000000001</v>
      </c>
      <c r="J1523" s="6" cm="1">
        <f t="array" ref="J1523">_xlfn.STDEV.S(IF($A:$A=A1523, $F:$F))</f>
        <v>0.6961106233925739</v>
      </c>
      <c r="P1523" s="8">
        <f t="shared" si="141"/>
        <v>-4.5966785290628618</v>
      </c>
      <c r="Q1523" s="8">
        <f t="shared" si="142"/>
        <v>-4.5966785290628618</v>
      </c>
      <c r="R1523" s="8">
        <f t="shared" si="143"/>
        <v>-4.5966785290628618</v>
      </c>
    </row>
    <row r="1524" spans="1:18" x14ac:dyDescent="0.25">
      <c r="A1524" s="7">
        <f t="shared" si="138"/>
        <v>305</v>
      </c>
      <c r="B1524" s="2">
        <v>45146</v>
      </c>
      <c r="C1524" s="3">
        <v>34.06</v>
      </c>
      <c r="D1524" s="3">
        <v>34.06</v>
      </c>
      <c r="E1524" s="3">
        <v>33.08</v>
      </c>
      <c r="F1524" s="3">
        <v>33.380000000000003</v>
      </c>
      <c r="G1524" s="3">
        <v>3088543</v>
      </c>
      <c r="H1524" s="8">
        <f t="shared" si="139"/>
        <v>-4.5966785290628618</v>
      </c>
      <c r="I1524">
        <f t="shared" si="140"/>
        <v>33.222000000000001</v>
      </c>
      <c r="J1524" s="6" cm="1">
        <f t="array" ref="J1524">_xlfn.STDEV.S(IF($A:$A=A1524, $F:$F))</f>
        <v>0.6961106233925739</v>
      </c>
      <c r="P1524" s="8">
        <f t="shared" si="141"/>
        <v>-4.5966785290628618</v>
      </c>
      <c r="Q1524" s="8">
        <f t="shared" si="142"/>
        <v>-4.5966785290628618</v>
      </c>
      <c r="R1524" s="8">
        <f t="shared" si="143"/>
        <v>-4.5966785290628618</v>
      </c>
    </row>
    <row r="1525" spans="1:18" x14ac:dyDescent="0.25">
      <c r="A1525" s="7">
        <f t="shared" si="138"/>
        <v>305</v>
      </c>
      <c r="B1525" s="2">
        <v>45147</v>
      </c>
      <c r="C1525" s="3">
        <v>33</v>
      </c>
      <c r="D1525" s="3">
        <v>33.46</v>
      </c>
      <c r="E1525" s="3">
        <v>32.78</v>
      </c>
      <c r="F1525" s="3">
        <v>32.93</v>
      </c>
      <c r="G1525" s="3">
        <v>3411063</v>
      </c>
      <c r="H1525" s="8">
        <f t="shared" si="139"/>
        <v>-4.5966785290628618</v>
      </c>
      <c r="I1525">
        <f t="shared" si="140"/>
        <v>33.222000000000001</v>
      </c>
      <c r="J1525" s="6" cm="1">
        <f t="array" ref="J1525">_xlfn.STDEV.S(IF($A:$A=A1525, $F:$F))</f>
        <v>0.6961106233925739</v>
      </c>
      <c r="P1525" s="8">
        <f t="shared" si="141"/>
        <v>-4.5966785290628618</v>
      </c>
      <c r="Q1525" s="8">
        <f t="shared" si="142"/>
        <v>-4.5966785290628618</v>
      </c>
      <c r="R1525" s="8">
        <f t="shared" si="143"/>
        <v>-4.5966785290628618</v>
      </c>
    </row>
    <row r="1526" spans="1:18" x14ac:dyDescent="0.25">
      <c r="A1526" s="7">
        <f t="shared" si="138"/>
        <v>305</v>
      </c>
      <c r="B1526" s="2">
        <v>45148</v>
      </c>
      <c r="C1526" s="3">
        <v>32.85</v>
      </c>
      <c r="D1526" s="3">
        <v>32.93</v>
      </c>
      <c r="E1526" s="3">
        <v>32.090000000000003</v>
      </c>
      <c r="F1526" s="3">
        <v>32.17</v>
      </c>
      <c r="G1526" s="3">
        <v>4751108</v>
      </c>
      <c r="H1526" s="8">
        <f t="shared" si="139"/>
        <v>-4.5966785290628618</v>
      </c>
      <c r="I1526">
        <f t="shared" si="140"/>
        <v>33.222000000000001</v>
      </c>
      <c r="J1526" s="6" cm="1">
        <f t="array" ref="J1526">_xlfn.STDEV.S(IF($A:$A=A1526, $F:$F))</f>
        <v>0.6961106233925739</v>
      </c>
      <c r="P1526" s="8">
        <f t="shared" si="141"/>
        <v>-4.5966785290628618</v>
      </c>
      <c r="Q1526" s="8">
        <f t="shared" si="142"/>
        <v>-4.5966785290628618</v>
      </c>
      <c r="R1526" s="8">
        <f t="shared" si="143"/>
        <v>-4.5966785290628618</v>
      </c>
    </row>
    <row r="1527" spans="1:18" x14ac:dyDescent="0.25">
      <c r="A1527" s="7">
        <f t="shared" si="138"/>
        <v>306</v>
      </c>
      <c r="B1527" s="2">
        <v>45149</v>
      </c>
      <c r="C1527" s="3">
        <v>32.17</v>
      </c>
      <c r="D1527" s="3">
        <v>32.43</v>
      </c>
      <c r="E1527" s="3">
        <v>31.6</v>
      </c>
      <c r="F1527" s="3">
        <v>31.87</v>
      </c>
      <c r="G1527" s="3">
        <v>6125115</v>
      </c>
      <c r="H1527" s="8">
        <f t="shared" si="139"/>
        <v>2.6043300909946718</v>
      </c>
      <c r="I1527">
        <f t="shared" si="140"/>
        <v>32.572000000000003</v>
      </c>
      <c r="J1527" s="6" cm="1">
        <f t="array" ref="J1527">_xlfn.STDEV.S(IF($A:$A=A1527, $F:$F))</f>
        <v>0.44030671128203269</v>
      </c>
      <c r="P1527" s="8">
        <f t="shared" si="141"/>
        <v>2.6043300909946718</v>
      </c>
      <c r="Q1527" s="8">
        <f t="shared" si="142"/>
        <v>2.6043300909946718</v>
      </c>
      <c r="R1527" s="8">
        <f t="shared" si="143"/>
        <v>2.6043300909946718</v>
      </c>
    </row>
    <row r="1528" spans="1:18" x14ac:dyDescent="0.25">
      <c r="A1528" s="7">
        <f t="shared" si="138"/>
        <v>306</v>
      </c>
      <c r="B1528" s="2">
        <v>45152</v>
      </c>
      <c r="C1528" s="3">
        <v>32.25</v>
      </c>
      <c r="D1528" s="3">
        <v>33.65</v>
      </c>
      <c r="E1528" s="3">
        <v>31.87</v>
      </c>
      <c r="F1528" s="3">
        <v>33.08</v>
      </c>
      <c r="G1528" s="3">
        <v>7716593</v>
      </c>
      <c r="H1528" s="8">
        <f t="shared" si="139"/>
        <v>2.6043300909946718</v>
      </c>
      <c r="I1528">
        <f t="shared" si="140"/>
        <v>32.572000000000003</v>
      </c>
      <c r="J1528" s="6" cm="1">
        <f t="array" ref="J1528">_xlfn.STDEV.S(IF($A:$A=A1528, $F:$F))</f>
        <v>0.44030671128203269</v>
      </c>
      <c r="P1528" s="8">
        <f t="shared" si="141"/>
        <v>2.6043300909946718</v>
      </c>
      <c r="Q1528" s="8">
        <f t="shared" si="142"/>
        <v>2.6043300909946718</v>
      </c>
      <c r="R1528" s="8">
        <f t="shared" si="143"/>
        <v>2.6043300909946718</v>
      </c>
    </row>
    <row r="1529" spans="1:18" x14ac:dyDescent="0.25">
      <c r="A1529" s="7">
        <f t="shared" si="138"/>
        <v>306</v>
      </c>
      <c r="B1529" s="2">
        <v>45153</v>
      </c>
      <c r="C1529" s="3">
        <v>33.08</v>
      </c>
      <c r="D1529" s="3">
        <v>33.119999999999997</v>
      </c>
      <c r="E1529" s="3">
        <v>32.590000000000003</v>
      </c>
      <c r="F1529" s="3">
        <v>32.659999999999997</v>
      </c>
      <c r="G1529" s="3">
        <v>2736248</v>
      </c>
      <c r="H1529" s="8">
        <f t="shared" si="139"/>
        <v>2.6043300909946718</v>
      </c>
      <c r="I1529">
        <f t="shared" si="140"/>
        <v>32.572000000000003</v>
      </c>
      <c r="J1529" s="6" cm="1">
        <f t="array" ref="J1529">_xlfn.STDEV.S(IF($A:$A=A1529, $F:$F))</f>
        <v>0.44030671128203269</v>
      </c>
      <c r="P1529" s="8">
        <f t="shared" si="141"/>
        <v>2.6043300909946718</v>
      </c>
      <c r="Q1529" s="8">
        <f t="shared" si="142"/>
        <v>2.6043300909946718</v>
      </c>
      <c r="R1529" s="8">
        <f t="shared" si="143"/>
        <v>2.6043300909946718</v>
      </c>
    </row>
    <row r="1530" spans="1:18" x14ac:dyDescent="0.25">
      <c r="A1530" s="7">
        <f t="shared" si="138"/>
        <v>306</v>
      </c>
      <c r="B1530" s="2">
        <v>45154</v>
      </c>
      <c r="C1530" s="3">
        <v>32.659999999999997</v>
      </c>
      <c r="D1530" s="3">
        <v>33.04</v>
      </c>
      <c r="E1530" s="3">
        <v>32.17</v>
      </c>
      <c r="F1530" s="3">
        <v>32.549999999999997</v>
      </c>
      <c r="G1530" s="3">
        <v>3811962</v>
      </c>
      <c r="H1530" s="8">
        <f t="shared" si="139"/>
        <v>2.6043300909946718</v>
      </c>
      <c r="I1530">
        <f t="shared" si="140"/>
        <v>32.572000000000003</v>
      </c>
      <c r="J1530" s="6" cm="1">
        <f t="array" ref="J1530">_xlfn.STDEV.S(IF($A:$A=A1530, $F:$F))</f>
        <v>0.44030671128203269</v>
      </c>
      <c r="P1530" s="8">
        <f t="shared" si="141"/>
        <v>2.6043300909946718</v>
      </c>
      <c r="Q1530" s="8">
        <f t="shared" si="142"/>
        <v>2.6043300909946718</v>
      </c>
      <c r="R1530" s="8">
        <f t="shared" si="143"/>
        <v>2.6043300909946718</v>
      </c>
    </row>
    <row r="1531" spans="1:18" x14ac:dyDescent="0.25">
      <c r="A1531" s="7">
        <f t="shared" si="138"/>
        <v>306</v>
      </c>
      <c r="B1531" s="2">
        <v>45155</v>
      </c>
      <c r="C1531" s="3">
        <v>32.78</v>
      </c>
      <c r="D1531" s="3">
        <v>33.65</v>
      </c>
      <c r="E1531" s="3">
        <v>32.700000000000003</v>
      </c>
      <c r="F1531" s="3">
        <v>32.700000000000003</v>
      </c>
      <c r="G1531" s="3">
        <v>6720024</v>
      </c>
      <c r="H1531" s="8">
        <f t="shared" si="139"/>
        <v>2.6043300909946718</v>
      </c>
      <c r="I1531">
        <f t="shared" si="140"/>
        <v>32.572000000000003</v>
      </c>
      <c r="J1531" s="6" cm="1">
        <f t="array" ref="J1531">_xlfn.STDEV.S(IF($A:$A=A1531, $F:$F))</f>
        <v>0.44030671128203269</v>
      </c>
      <c r="P1531" s="8">
        <f t="shared" si="141"/>
        <v>2.6043300909946718</v>
      </c>
      <c r="Q1531" s="8">
        <f t="shared" si="142"/>
        <v>2.6043300909946718</v>
      </c>
      <c r="R1531" s="8">
        <f t="shared" si="143"/>
        <v>2.6043300909946718</v>
      </c>
    </row>
    <row r="1532" spans="1:18" x14ac:dyDescent="0.25">
      <c r="A1532" s="7">
        <f t="shared" si="138"/>
        <v>307</v>
      </c>
      <c r="B1532" s="2">
        <v>45156</v>
      </c>
      <c r="C1532" s="3">
        <v>32.47</v>
      </c>
      <c r="D1532" s="3">
        <v>32.81</v>
      </c>
      <c r="E1532" s="3">
        <v>30.43</v>
      </c>
      <c r="F1532" s="3">
        <v>30.43</v>
      </c>
      <c r="G1532" s="3">
        <v>7423547</v>
      </c>
      <c r="H1532" s="8">
        <f t="shared" si="139"/>
        <v>7.8212290502793378</v>
      </c>
      <c r="I1532">
        <f t="shared" si="140"/>
        <v>31.556000000000001</v>
      </c>
      <c r="J1532" s="6" cm="1">
        <f t="array" ref="J1532">_xlfn.STDEV.S(IF($A:$A=A1532, $F:$F))</f>
        <v>1.0277061836925976</v>
      </c>
      <c r="P1532" s="8">
        <f t="shared" si="141"/>
        <v>7.8212290502793378</v>
      </c>
      <c r="Q1532" s="8">
        <f t="shared" si="142"/>
        <v>7.8212290502793378</v>
      </c>
      <c r="R1532" s="8">
        <f t="shared" si="143"/>
        <v>7.8212290502793378</v>
      </c>
    </row>
    <row r="1533" spans="1:18" x14ac:dyDescent="0.25">
      <c r="A1533" s="7">
        <f t="shared" si="138"/>
        <v>307</v>
      </c>
      <c r="B1533" s="2">
        <v>45159</v>
      </c>
      <c r="C1533" s="3">
        <v>31.03</v>
      </c>
      <c r="D1533" s="3">
        <v>31.03</v>
      </c>
      <c r="E1533" s="3">
        <v>30.28</v>
      </c>
      <c r="F1533" s="3">
        <v>30.58</v>
      </c>
      <c r="G1533" s="3">
        <v>6752304</v>
      </c>
      <c r="H1533" s="8">
        <f t="shared" si="139"/>
        <v>7.8212290502793378</v>
      </c>
      <c r="I1533">
        <f t="shared" si="140"/>
        <v>31.556000000000001</v>
      </c>
      <c r="J1533" s="6" cm="1">
        <f t="array" ref="J1533">_xlfn.STDEV.S(IF($A:$A=A1533, $F:$F))</f>
        <v>1.0277061836925976</v>
      </c>
      <c r="P1533" s="8">
        <f t="shared" si="141"/>
        <v>7.8212290502793378</v>
      </c>
      <c r="Q1533" s="8">
        <f t="shared" si="142"/>
        <v>7.8212290502793378</v>
      </c>
      <c r="R1533" s="8">
        <f t="shared" si="143"/>
        <v>7.8212290502793378</v>
      </c>
    </row>
    <row r="1534" spans="1:18" x14ac:dyDescent="0.25">
      <c r="A1534" s="7">
        <f t="shared" si="138"/>
        <v>307</v>
      </c>
      <c r="B1534" s="2">
        <v>45160</v>
      </c>
      <c r="C1534" s="3">
        <v>30.66</v>
      </c>
      <c r="D1534" s="3">
        <v>32.17</v>
      </c>
      <c r="E1534" s="3">
        <v>29.6</v>
      </c>
      <c r="F1534" s="3">
        <v>32.17</v>
      </c>
      <c r="G1534" s="3">
        <v>7481387</v>
      </c>
      <c r="H1534" s="8">
        <f t="shared" si="139"/>
        <v>7.8212290502793378</v>
      </c>
      <c r="I1534">
        <f t="shared" si="140"/>
        <v>31.556000000000001</v>
      </c>
      <c r="J1534" s="6" cm="1">
        <f t="array" ref="J1534">_xlfn.STDEV.S(IF($A:$A=A1534, $F:$F))</f>
        <v>1.0277061836925976</v>
      </c>
      <c r="P1534" s="8">
        <f t="shared" si="141"/>
        <v>7.8212290502793378</v>
      </c>
      <c r="Q1534" s="8">
        <f t="shared" si="142"/>
        <v>7.8212290502793378</v>
      </c>
      <c r="R1534" s="8">
        <f t="shared" si="143"/>
        <v>7.8212290502793378</v>
      </c>
    </row>
    <row r="1535" spans="1:18" x14ac:dyDescent="0.25">
      <c r="A1535" s="7">
        <f t="shared" si="138"/>
        <v>307</v>
      </c>
      <c r="B1535" s="2">
        <v>45161</v>
      </c>
      <c r="C1535" s="3">
        <v>32.43</v>
      </c>
      <c r="D1535" s="3">
        <v>32.43</v>
      </c>
      <c r="E1535" s="3">
        <v>31.56</v>
      </c>
      <c r="F1535" s="3">
        <v>31.79</v>
      </c>
      <c r="G1535" s="3">
        <v>2845719</v>
      </c>
      <c r="H1535" s="8">
        <f t="shared" si="139"/>
        <v>7.8212290502793378</v>
      </c>
      <c r="I1535">
        <f t="shared" si="140"/>
        <v>31.556000000000001</v>
      </c>
      <c r="J1535" s="6" cm="1">
        <f t="array" ref="J1535">_xlfn.STDEV.S(IF($A:$A=A1535, $F:$F))</f>
        <v>1.0277061836925976</v>
      </c>
      <c r="P1535" s="8">
        <f t="shared" si="141"/>
        <v>7.8212290502793378</v>
      </c>
      <c r="Q1535" s="8">
        <f t="shared" si="142"/>
        <v>7.8212290502793378</v>
      </c>
      <c r="R1535" s="8">
        <f t="shared" si="143"/>
        <v>7.8212290502793378</v>
      </c>
    </row>
    <row r="1536" spans="1:18" x14ac:dyDescent="0.25">
      <c r="A1536" s="7">
        <f t="shared" si="138"/>
        <v>307</v>
      </c>
      <c r="B1536" s="2">
        <v>45162</v>
      </c>
      <c r="C1536" s="3">
        <v>31.79</v>
      </c>
      <c r="D1536" s="3">
        <v>32.85</v>
      </c>
      <c r="E1536" s="3">
        <v>31.64</v>
      </c>
      <c r="F1536" s="3">
        <v>32.81</v>
      </c>
      <c r="G1536" s="3">
        <v>4993208</v>
      </c>
      <c r="H1536" s="8">
        <f t="shared" si="139"/>
        <v>7.8212290502793378</v>
      </c>
      <c r="I1536">
        <f t="shared" si="140"/>
        <v>31.556000000000001</v>
      </c>
      <c r="J1536" s="6" cm="1">
        <f t="array" ref="J1536">_xlfn.STDEV.S(IF($A:$A=A1536, $F:$F))</f>
        <v>1.0277061836925976</v>
      </c>
      <c r="P1536" s="8">
        <f t="shared" si="141"/>
        <v>7.8212290502793378</v>
      </c>
      <c r="Q1536" s="8">
        <f t="shared" si="142"/>
        <v>7.8212290502793378</v>
      </c>
      <c r="R1536" s="8">
        <f t="shared" si="143"/>
        <v>7.8212290502793378</v>
      </c>
    </row>
    <row r="1537" spans="1:18" x14ac:dyDescent="0.25">
      <c r="A1537" s="7">
        <f t="shared" si="138"/>
        <v>308</v>
      </c>
      <c r="B1537" s="2">
        <v>45163</v>
      </c>
      <c r="C1537" s="3">
        <v>32.81</v>
      </c>
      <c r="D1537" s="3">
        <v>33.49</v>
      </c>
      <c r="E1537" s="3">
        <v>32.619999999999997</v>
      </c>
      <c r="F1537" s="3">
        <v>33</v>
      </c>
      <c r="G1537" s="3">
        <v>5986045</v>
      </c>
      <c r="H1537" s="8">
        <f t="shared" si="139"/>
        <v>8.0303030303030258</v>
      </c>
      <c r="I1537">
        <f t="shared" si="140"/>
        <v>34.35</v>
      </c>
      <c r="J1537" s="6" cm="1">
        <f t="array" ref="J1537">_xlfn.STDEV.S(IF($A:$A=A1537, $F:$F))</f>
        <v>1.216573055759496</v>
      </c>
      <c r="P1537" s="8">
        <f t="shared" si="141"/>
        <v>8.0303030303030258</v>
      </c>
      <c r="Q1537" s="8">
        <f t="shared" si="142"/>
        <v>8.0303030303030258</v>
      </c>
      <c r="R1537" s="8">
        <f t="shared" si="143"/>
        <v>8.0303030303030258</v>
      </c>
    </row>
    <row r="1538" spans="1:18" x14ac:dyDescent="0.25">
      <c r="A1538" s="7">
        <f t="shared" si="138"/>
        <v>308</v>
      </c>
      <c r="B1538" s="2">
        <v>45166</v>
      </c>
      <c r="C1538" s="3">
        <v>33.31</v>
      </c>
      <c r="D1538" s="3">
        <v>33.65</v>
      </c>
      <c r="E1538" s="3">
        <v>33.08</v>
      </c>
      <c r="F1538" s="3">
        <v>33.31</v>
      </c>
      <c r="G1538" s="3">
        <v>4134550</v>
      </c>
      <c r="H1538" s="8">
        <f t="shared" si="139"/>
        <v>8.0303030303030258</v>
      </c>
      <c r="I1538">
        <f t="shared" si="140"/>
        <v>34.35</v>
      </c>
      <c r="J1538" s="6" cm="1">
        <f t="array" ref="J1538">_xlfn.STDEV.S(IF($A:$A=A1538, $F:$F))</f>
        <v>1.216573055759496</v>
      </c>
      <c r="P1538" s="8">
        <f t="shared" si="141"/>
        <v>8.0303030303030258</v>
      </c>
      <c r="Q1538" s="8">
        <f t="shared" si="142"/>
        <v>8.0303030303030258</v>
      </c>
      <c r="R1538" s="8">
        <f t="shared" si="143"/>
        <v>8.0303030303030258</v>
      </c>
    </row>
    <row r="1539" spans="1:18" x14ac:dyDescent="0.25">
      <c r="A1539" s="7">
        <f t="shared" ref="A1539:A1602" si="144">INT((ROW(A1539)-ROW($A$2))/5) + 1</f>
        <v>308</v>
      </c>
      <c r="B1539" s="2">
        <v>45167</v>
      </c>
      <c r="C1539" s="3">
        <v>33.61</v>
      </c>
      <c r="D1539" s="3">
        <v>34.369999999999997</v>
      </c>
      <c r="E1539" s="3">
        <v>33.08</v>
      </c>
      <c r="F1539" s="3">
        <v>34.29</v>
      </c>
      <c r="G1539" s="3">
        <v>6865376</v>
      </c>
      <c r="H1539" s="8">
        <f t="shared" ref="H1539:H1602" si="145">IF(A1539=A1538, H1538, (F1543-F1539)/F1539*100)</f>
        <v>8.0303030303030258</v>
      </c>
      <c r="I1539">
        <f t="shared" ref="I1539:I1602" si="146">AVERAGEIF($A:$A, A1539, $F:$F)</f>
        <v>34.35</v>
      </c>
      <c r="J1539" s="6" cm="1">
        <f t="array" ref="J1539">_xlfn.STDEV.S(IF($A:$A=A1539, $F:$F))</f>
        <v>1.216573055759496</v>
      </c>
      <c r="P1539" s="8">
        <f t="shared" ref="P1539:P1602" si="147">IF(A1539=A1538,P1538,(F1543-F1539)/F1539*100)</f>
        <v>8.0303030303030258</v>
      </c>
      <c r="Q1539" s="8">
        <f t="shared" ref="Q1539:Q1602" si="148">IF(A1539=A1538,Q1538,(F1543-F1539)/F1539*100)</f>
        <v>8.0303030303030258</v>
      </c>
      <c r="R1539" s="8">
        <f t="shared" ref="R1539:R1602" si="149">IF(A1539=A1538,R1538,(F1543-F1539)/F1539*100)</f>
        <v>8.0303030303030258</v>
      </c>
    </row>
    <row r="1540" spans="1:18" x14ac:dyDescent="0.25">
      <c r="A1540" s="7">
        <f t="shared" si="144"/>
        <v>308</v>
      </c>
      <c r="B1540" s="2">
        <v>45168</v>
      </c>
      <c r="C1540" s="3">
        <v>34.369999999999997</v>
      </c>
      <c r="D1540" s="3">
        <v>35.58</v>
      </c>
      <c r="E1540" s="3">
        <v>33.99</v>
      </c>
      <c r="F1540" s="3">
        <v>35.5</v>
      </c>
      <c r="G1540" s="3">
        <v>5008260</v>
      </c>
      <c r="H1540" s="8">
        <f t="shared" si="145"/>
        <v>8.0303030303030258</v>
      </c>
      <c r="I1540">
        <f t="shared" si="146"/>
        <v>34.35</v>
      </c>
      <c r="J1540" s="6" cm="1">
        <f t="array" ref="J1540">_xlfn.STDEV.S(IF($A:$A=A1540, $F:$F))</f>
        <v>1.216573055759496</v>
      </c>
      <c r="P1540" s="8">
        <f t="shared" si="147"/>
        <v>8.0303030303030258</v>
      </c>
      <c r="Q1540" s="8">
        <f t="shared" si="148"/>
        <v>8.0303030303030258</v>
      </c>
      <c r="R1540" s="8">
        <f t="shared" si="149"/>
        <v>8.0303030303030258</v>
      </c>
    </row>
    <row r="1541" spans="1:18" x14ac:dyDescent="0.25">
      <c r="A1541" s="7">
        <f t="shared" si="144"/>
        <v>308</v>
      </c>
      <c r="B1541" s="2">
        <v>45169</v>
      </c>
      <c r="C1541" s="3">
        <v>35.39</v>
      </c>
      <c r="D1541" s="3">
        <v>35.729999999999997</v>
      </c>
      <c r="E1541" s="3">
        <v>35.200000000000003</v>
      </c>
      <c r="F1541" s="3">
        <v>35.65</v>
      </c>
      <c r="G1541" s="3">
        <v>3798409</v>
      </c>
      <c r="H1541" s="8">
        <f t="shared" si="145"/>
        <v>8.0303030303030258</v>
      </c>
      <c r="I1541">
        <f t="shared" si="146"/>
        <v>34.35</v>
      </c>
      <c r="J1541" s="6" cm="1">
        <f t="array" ref="J1541">_xlfn.STDEV.S(IF($A:$A=A1541, $F:$F))</f>
        <v>1.216573055759496</v>
      </c>
      <c r="P1541" s="8">
        <f t="shared" si="147"/>
        <v>8.0303030303030258</v>
      </c>
      <c r="Q1541" s="8">
        <f t="shared" si="148"/>
        <v>8.0303030303030258</v>
      </c>
      <c r="R1541" s="8">
        <f t="shared" si="149"/>
        <v>8.0303030303030258</v>
      </c>
    </row>
    <row r="1542" spans="1:18" x14ac:dyDescent="0.25">
      <c r="A1542" s="7">
        <f t="shared" si="144"/>
        <v>309</v>
      </c>
      <c r="B1542" s="2">
        <v>45174</v>
      </c>
      <c r="C1542" s="3">
        <v>35.58</v>
      </c>
      <c r="D1542" s="3">
        <v>35.61</v>
      </c>
      <c r="E1542" s="3">
        <v>35.08</v>
      </c>
      <c r="F1542" s="3">
        <v>35.200000000000003</v>
      </c>
      <c r="G1542" s="3">
        <v>7430429</v>
      </c>
      <c r="H1542" s="8">
        <f t="shared" si="145"/>
        <v>2.1306818181818179</v>
      </c>
      <c r="I1542">
        <f t="shared" si="146"/>
        <v>35.589999999999996</v>
      </c>
      <c r="J1542" s="6" cm="1">
        <f t="array" ref="J1542">_xlfn.STDEV.S(IF($A:$A=A1542, $F:$F))</f>
        <v>0.34532593299664061</v>
      </c>
      <c r="P1542" s="8">
        <f t="shared" si="147"/>
        <v>2.1306818181818179</v>
      </c>
      <c r="Q1542" s="8">
        <f t="shared" si="148"/>
        <v>2.1306818181818179</v>
      </c>
      <c r="R1542" s="8">
        <f t="shared" si="149"/>
        <v>2.1306818181818179</v>
      </c>
    </row>
    <row r="1543" spans="1:18" x14ac:dyDescent="0.25">
      <c r="A1543" s="7">
        <f t="shared" si="144"/>
        <v>309</v>
      </c>
      <c r="B1543" s="2">
        <v>45175</v>
      </c>
      <c r="C1543" s="3">
        <v>35.119999999999997</v>
      </c>
      <c r="D1543" s="3">
        <v>36.409999999999997</v>
      </c>
      <c r="E1543" s="3">
        <v>34.82</v>
      </c>
      <c r="F1543" s="3">
        <v>35.950000000000003</v>
      </c>
      <c r="G1543" s="3">
        <v>4730548</v>
      </c>
      <c r="H1543" s="8">
        <f t="shared" si="145"/>
        <v>2.1306818181818179</v>
      </c>
      <c r="I1543">
        <f t="shared" si="146"/>
        <v>35.589999999999996</v>
      </c>
      <c r="J1543" s="6" cm="1">
        <f t="array" ref="J1543">_xlfn.STDEV.S(IF($A:$A=A1543, $F:$F))</f>
        <v>0.34532593299664061</v>
      </c>
      <c r="P1543" s="8">
        <f t="shared" si="147"/>
        <v>2.1306818181818179</v>
      </c>
      <c r="Q1543" s="8">
        <f t="shared" si="148"/>
        <v>2.1306818181818179</v>
      </c>
      <c r="R1543" s="8">
        <f t="shared" si="149"/>
        <v>2.1306818181818179</v>
      </c>
    </row>
    <row r="1544" spans="1:18" x14ac:dyDescent="0.25">
      <c r="A1544" s="7">
        <f t="shared" si="144"/>
        <v>309</v>
      </c>
      <c r="B1544" s="2">
        <v>45176</v>
      </c>
      <c r="C1544" s="3">
        <v>36.18</v>
      </c>
      <c r="D1544" s="3">
        <v>36.18</v>
      </c>
      <c r="E1544" s="3">
        <v>35.31</v>
      </c>
      <c r="F1544" s="3">
        <v>35.35</v>
      </c>
      <c r="G1544" s="3">
        <v>3981969</v>
      </c>
      <c r="H1544" s="8">
        <f t="shared" si="145"/>
        <v>2.1306818181818179</v>
      </c>
      <c r="I1544">
        <f t="shared" si="146"/>
        <v>35.589999999999996</v>
      </c>
      <c r="J1544" s="6" cm="1">
        <f t="array" ref="J1544">_xlfn.STDEV.S(IF($A:$A=A1544, $F:$F))</f>
        <v>0.34532593299664061</v>
      </c>
      <c r="P1544" s="8">
        <f t="shared" si="147"/>
        <v>2.1306818181818179</v>
      </c>
      <c r="Q1544" s="8">
        <f t="shared" si="148"/>
        <v>2.1306818181818179</v>
      </c>
      <c r="R1544" s="8">
        <f t="shared" si="149"/>
        <v>2.1306818181818179</v>
      </c>
    </row>
    <row r="1545" spans="1:18" x14ac:dyDescent="0.25">
      <c r="A1545" s="7">
        <f t="shared" si="144"/>
        <v>309</v>
      </c>
      <c r="B1545" s="2">
        <v>45177</v>
      </c>
      <c r="C1545" s="3">
        <v>35.119999999999997</v>
      </c>
      <c r="D1545" s="3">
        <v>35.729999999999997</v>
      </c>
      <c r="E1545" s="3">
        <v>35.049999999999997</v>
      </c>
      <c r="F1545" s="3">
        <v>35.5</v>
      </c>
      <c r="G1545" s="3">
        <v>2812277</v>
      </c>
      <c r="H1545" s="8">
        <f t="shared" si="145"/>
        <v>2.1306818181818179</v>
      </c>
      <c r="I1545">
        <f t="shared" si="146"/>
        <v>35.589999999999996</v>
      </c>
      <c r="J1545" s="6" cm="1">
        <f t="array" ref="J1545">_xlfn.STDEV.S(IF($A:$A=A1545, $F:$F))</f>
        <v>0.34532593299664061</v>
      </c>
      <c r="P1545" s="8">
        <f t="shared" si="147"/>
        <v>2.1306818181818179</v>
      </c>
      <c r="Q1545" s="8">
        <f t="shared" si="148"/>
        <v>2.1306818181818179</v>
      </c>
      <c r="R1545" s="8">
        <f t="shared" si="149"/>
        <v>2.1306818181818179</v>
      </c>
    </row>
    <row r="1546" spans="1:18" x14ac:dyDescent="0.25">
      <c r="A1546" s="7">
        <f t="shared" si="144"/>
        <v>309</v>
      </c>
      <c r="B1546" s="2">
        <v>45180</v>
      </c>
      <c r="C1546" s="3">
        <v>35.950000000000003</v>
      </c>
      <c r="D1546" s="3">
        <v>37.01</v>
      </c>
      <c r="E1546" s="3">
        <v>35.58</v>
      </c>
      <c r="F1546" s="3">
        <v>35.950000000000003</v>
      </c>
      <c r="G1546" s="3">
        <v>7658004</v>
      </c>
      <c r="H1546" s="8">
        <f t="shared" si="145"/>
        <v>2.1306818181818179</v>
      </c>
      <c r="I1546">
        <f t="shared" si="146"/>
        <v>35.589999999999996</v>
      </c>
      <c r="J1546" s="6" cm="1">
        <f t="array" ref="J1546">_xlfn.STDEV.S(IF($A:$A=A1546, $F:$F))</f>
        <v>0.34532593299664061</v>
      </c>
      <c r="P1546" s="8">
        <f t="shared" si="147"/>
        <v>2.1306818181818179</v>
      </c>
      <c r="Q1546" s="8">
        <f t="shared" si="148"/>
        <v>2.1306818181818179</v>
      </c>
      <c r="R1546" s="8">
        <f t="shared" si="149"/>
        <v>2.1306818181818179</v>
      </c>
    </row>
    <row r="1547" spans="1:18" x14ac:dyDescent="0.25">
      <c r="A1547" s="7">
        <f t="shared" si="144"/>
        <v>310</v>
      </c>
      <c r="B1547" s="2">
        <v>45181</v>
      </c>
      <c r="C1547" s="3">
        <v>36.11</v>
      </c>
      <c r="D1547" s="3">
        <v>38.229999999999997</v>
      </c>
      <c r="E1547" s="3">
        <v>35.950000000000003</v>
      </c>
      <c r="F1547" s="3">
        <v>38.229999999999997</v>
      </c>
      <c r="G1547" s="3">
        <v>6370521</v>
      </c>
      <c r="H1547" s="8">
        <f t="shared" si="145"/>
        <v>-5.5453832069055649</v>
      </c>
      <c r="I1547">
        <f t="shared" si="146"/>
        <v>36.882000000000005</v>
      </c>
      <c r="J1547" s="6" cm="1">
        <f t="array" ref="J1547">_xlfn.STDEV.S(IF($A:$A=A1547, $F:$F))</f>
        <v>0.90270150105114944</v>
      </c>
      <c r="P1547" s="8">
        <f t="shared" si="147"/>
        <v>-5.5453832069055649</v>
      </c>
      <c r="Q1547" s="8">
        <f t="shared" si="148"/>
        <v>-5.5453832069055649</v>
      </c>
      <c r="R1547" s="8">
        <f t="shared" si="149"/>
        <v>-5.5453832069055649</v>
      </c>
    </row>
    <row r="1548" spans="1:18" x14ac:dyDescent="0.25">
      <c r="A1548" s="7">
        <f t="shared" si="144"/>
        <v>310</v>
      </c>
      <c r="B1548" s="2">
        <v>45182</v>
      </c>
      <c r="C1548" s="3">
        <v>38.380000000000003</v>
      </c>
      <c r="D1548" s="3">
        <v>38.380000000000003</v>
      </c>
      <c r="E1548" s="3">
        <v>36.94</v>
      </c>
      <c r="F1548" s="3">
        <v>37.32</v>
      </c>
      <c r="G1548" s="3">
        <v>4793375</v>
      </c>
      <c r="H1548" s="8">
        <f t="shared" si="145"/>
        <v>-5.5453832069055649</v>
      </c>
      <c r="I1548">
        <f t="shared" si="146"/>
        <v>36.882000000000005</v>
      </c>
      <c r="J1548" s="6" cm="1">
        <f t="array" ref="J1548">_xlfn.STDEV.S(IF($A:$A=A1548, $F:$F))</f>
        <v>0.90270150105114944</v>
      </c>
      <c r="P1548" s="8">
        <f t="shared" si="147"/>
        <v>-5.5453832069055649</v>
      </c>
      <c r="Q1548" s="8">
        <f t="shared" si="148"/>
        <v>-5.5453832069055649</v>
      </c>
      <c r="R1548" s="8">
        <f t="shared" si="149"/>
        <v>-5.5453832069055649</v>
      </c>
    </row>
    <row r="1549" spans="1:18" x14ac:dyDescent="0.25">
      <c r="A1549" s="7">
        <f t="shared" si="144"/>
        <v>310</v>
      </c>
      <c r="B1549" s="2">
        <v>45183</v>
      </c>
      <c r="C1549" s="3">
        <v>37.39</v>
      </c>
      <c r="D1549" s="3">
        <v>37.39</v>
      </c>
      <c r="E1549" s="3">
        <v>36.18</v>
      </c>
      <c r="F1549" s="3">
        <v>36.64</v>
      </c>
      <c r="G1549" s="3">
        <v>6312273</v>
      </c>
      <c r="H1549" s="8">
        <f t="shared" si="145"/>
        <v>-5.5453832069055649</v>
      </c>
      <c r="I1549">
        <f t="shared" si="146"/>
        <v>36.882000000000005</v>
      </c>
      <c r="J1549" s="6" cm="1">
        <f t="array" ref="J1549">_xlfn.STDEV.S(IF($A:$A=A1549, $F:$F))</f>
        <v>0.90270150105114944</v>
      </c>
      <c r="P1549" s="8">
        <f t="shared" si="147"/>
        <v>-5.5453832069055649</v>
      </c>
      <c r="Q1549" s="8">
        <f t="shared" si="148"/>
        <v>-5.5453832069055649</v>
      </c>
      <c r="R1549" s="8">
        <f t="shared" si="149"/>
        <v>-5.5453832069055649</v>
      </c>
    </row>
    <row r="1550" spans="1:18" x14ac:dyDescent="0.25">
      <c r="A1550" s="7">
        <f t="shared" si="144"/>
        <v>310</v>
      </c>
      <c r="B1550" s="2">
        <v>45184</v>
      </c>
      <c r="C1550" s="3">
        <v>36.71</v>
      </c>
      <c r="D1550" s="3">
        <v>36.979999999999997</v>
      </c>
      <c r="E1550" s="3">
        <v>35.92</v>
      </c>
      <c r="F1550" s="3">
        <v>36.11</v>
      </c>
      <c r="G1550" s="3">
        <v>4210483</v>
      </c>
      <c r="H1550" s="8">
        <f t="shared" si="145"/>
        <v>-5.5453832069055649</v>
      </c>
      <c r="I1550">
        <f t="shared" si="146"/>
        <v>36.882000000000005</v>
      </c>
      <c r="J1550" s="6" cm="1">
        <f t="array" ref="J1550">_xlfn.STDEV.S(IF($A:$A=A1550, $F:$F))</f>
        <v>0.90270150105114944</v>
      </c>
      <c r="P1550" s="8">
        <f t="shared" si="147"/>
        <v>-5.5453832069055649</v>
      </c>
      <c r="Q1550" s="8">
        <f t="shared" si="148"/>
        <v>-5.5453832069055649</v>
      </c>
      <c r="R1550" s="8">
        <f t="shared" si="149"/>
        <v>-5.5453832069055649</v>
      </c>
    </row>
    <row r="1551" spans="1:18" x14ac:dyDescent="0.25">
      <c r="A1551" s="7">
        <f t="shared" si="144"/>
        <v>310</v>
      </c>
      <c r="B1551" s="2">
        <v>45187</v>
      </c>
      <c r="C1551" s="3">
        <v>35.69</v>
      </c>
      <c r="D1551" s="3">
        <v>36.56</v>
      </c>
      <c r="E1551" s="3">
        <v>35.31</v>
      </c>
      <c r="F1551" s="3">
        <v>36.11</v>
      </c>
      <c r="G1551" s="3">
        <v>3553732</v>
      </c>
      <c r="H1551" s="8">
        <f t="shared" si="145"/>
        <v>-5.5453832069055649</v>
      </c>
      <c r="I1551">
        <f t="shared" si="146"/>
        <v>36.882000000000005</v>
      </c>
      <c r="J1551" s="6" cm="1">
        <f t="array" ref="J1551">_xlfn.STDEV.S(IF($A:$A=A1551, $F:$F))</f>
        <v>0.90270150105114944</v>
      </c>
      <c r="P1551" s="8">
        <f t="shared" si="147"/>
        <v>-5.5453832069055649</v>
      </c>
      <c r="Q1551" s="8">
        <f t="shared" si="148"/>
        <v>-5.5453832069055649</v>
      </c>
      <c r="R1551" s="8">
        <f t="shared" si="149"/>
        <v>-5.5453832069055649</v>
      </c>
    </row>
    <row r="1552" spans="1:18" x14ac:dyDescent="0.25">
      <c r="A1552" s="7">
        <f t="shared" si="144"/>
        <v>311</v>
      </c>
      <c r="B1552" s="2">
        <v>45188</v>
      </c>
      <c r="C1552" s="3">
        <v>36.11</v>
      </c>
      <c r="D1552" s="3">
        <v>36.520000000000003</v>
      </c>
      <c r="E1552" s="3">
        <v>35.31</v>
      </c>
      <c r="F1552" s="3">
        <v>35.950000000000003</v>
      </c>
      <c r="G1552" s="3">
        <v>3810358</v>
      </c>
      <c r="H1552" s="8">
        <f t="shared" si="145"/>
        <v>-14.186369958275385</v>
      </c>
      <c r="I1552">
        <f t="shared" si="146"/>
        <v>34.646000000000001</v>
      </c>
      <c r="J1552" s="6" cm="1">
        <f t="array" ref="J1552">_xlfn.STDEV.S(IF($A:$A=A1552, $F:$F))</f>
        <v>2.6714846059822248</v>
      </c>
      <c r="P1552" s="8">
        <f t="shared" si="147"/>
        <v>-14.186369958275385</v>
      </c>
      <c r="Q1552" s="8">
        <f t="shared" si="148"/>
        <v>-14.186369958275385</v>
      </c>
      <c r="R1552" s="11">
        <f t="shared" si="149"/>
        <v>-14.186369958275385</v>
      </c>
    </row>
    <row r="1553" spans="1:18" x14ac:dyDescent="0.25">
      <c r="A1553" s="7">
        <f t="shared" si="144"/>
        <v>311</v>
      </c>
      <c r="B1553" s="2">
        <v>45189</v>
      </c>
      <c r="C1553" s="3">
        <v>36.26</v>
      </c>
      <c r="D1553" s="3">
        <v>37.700000000000003</v>
      </c>
      <c r="E1553" s="3">
        <v>35.950000000000003</v>
      </c>
      <c r="F1553" s="3">
        <v>37.700000000000003</v>
      </c>
      <c r="G1553" s="3">
        <v>6188481</v>
      </c>
      <c r="H1553" s="8">
        <f t="shared" si="145"/>
        <v>-14.186369958275385</v>
      </c>
      <c r="I1553">
        <f t="shared" si="146"/>
        <v>34.646000000000001</v>
      </c>
      <c r="J1553" s="6" cm="1">
        <f t="array" ref="J1553">_xlfn.STDEV.S(IF($A:$A=A1553, $F:$F))</f>
        <v>2.6714846059822248</v>
      </c>
      <c r="P1553" s="8">
        <f t="shared" si="147"/>
        <v>-14.186369958275385</v>
      </c>
      <c r="Q1553" s="8">
        <f t="shared" si="148"/>
        <v>-14.186369958275385</v>
      </c>
      <c r="R1553" s="11">
        <f t="shared" si="149"/>
        <v>-14.186369958275385</v>
      </c>
    </row>
    <row r="1554" spans="1:18" x14ac:dyDescent="0.25">
      <c r="A1554" s="7">
        <f t="shared" si="144"/>
        <v>311</v>
      </c>
      <c r="B1554" s="2">
        <v>45190</v>
      </c>
      <c r="C1554" s="3">
        <v>37.47</v>
      </c>
      <c r="D1554" s="3">
        <v>37.58</v>
      </c>
      <c r="E1554" s="3">
        <v>35.58</v>
      </c>
      <c r="F1554" s="3">
        <v>35.58</v>
      </c>
      <c r="G1554" s="3">
        <v>6373369</v>
      </c>
      <c r="H1554" s="8">
        <f t="shared" si="145"/>
        <v>-14.186369958275385</v>
      </c>
      <c r="I1554">
        <f t="shared" si="146"/>
        <v>34.646000000000001</v>
      </c>
      <c r="J1554" s="6" cm="1">
        <f t="array" ref="J1554">_xlfn.STDEV.S(IF($A:$A=A1554, $F:$F))</f>
        <v>2.6714846059822248</v>
      </c>
      <c r="P1554" s="8">
        <f t="shared" si="147"/>
        <v>-14.186369958275385</v>
      </c>
      <c r="Q1554" s="8">
        <f t="shared" si="148"/>
        <v>-14.186369958275385</v>
      </c>
      <c r="R1554" s="11">
        <f t="shared" si="149"/>
        <v>-14.186369958275385</v>
      </c>
    </row>
    <row r="1555" spans="1:18" x14ac:dyDescent="0.25">
      <c r="A1555" s="7">
        <f t="shared" si="144"/>
        <v>311</v>
      </c>
      <c r="B1555" s="2">
        <v>45191</v>
      </c>
      <c r="C1555" s="3">
        <v>34.479999999999997</v>
      </c>
      <c r="D1555" s="3">
        <v>34.630000000000003</v>
      </c>
      <c r="E1555" s="3">
        <v>33.119999999999997</v>
      </c>
      <c r="F1555" s="3">
        <v>33.15</v>
      </c>
      <c r="G1555" s="3">
        <v>10864540</v>
      </c>
      <c r="H1555" s="8">
        <f t="shared" si="145"/>
        <v>-14.186369958275385</v>
      </c>
      <c r="I1555">
        <f t="shared" si="146"/>
        <v>34.646000000000001</v>
      </c>
      <c r="J1555" s="6" cm="1">
        <f t="array" ref="J1555">_xlfn.STDEV.S(IF($A:$A=A1555, $F:$F))</f>
        <v>2.6714846059822248</v>
      </c>
      <c r="P1555" s="8">
        <f t="shared" si="147"/>
        <v>-14.186369958275385</v>
      </c>
      <c r="Q1555" s="8">
        <f t="shared" si="148"/>
        <v>-14.186369958275385</v>
      </c>
      <c r="R1555" s="11">
        <f t="shared" si="149"/>
        <v>-14.186369958275385</v>
      </c>
    </row>
    <row r="1556" spans="1:18" x14ac:dyDescent="0.25">
      <c r="A1556" s="7">
        <f t="shared" si="144"/>
        <v>311</v>
      </c>
      <c r="B1556" s="2">
        <v>45194</v>
      </c>
      <c r="C1556" s="3">
        <v>32.96</v>
      </c>
      <c r="D1556" s="3">
        <v>33.57</v>
      </c>
      <c r="E1556" s="3">
        <v>30.85</v>
      </c>
      <c r="F1556" s="3">
        <v>30.85</v>
      </c>
      <c r="G1556" s="3">
        <v>6684927</v>
      </c>
      <c r="H1556" s="8">
        <f t="shared" si="145"/>
        <v>-14.186369958275385</v>
      </c>
      <c r="I1556">
        <f t="shared" si="146"/>
        <v>34.646000000000001</v>
      </c>
      <c r="J1556" s="6" cm="1">
        <f t="array" ref="J1556">_xlfn.STDEV.S(IF($A:$A=A1556, $F:$F))</f>
        <v>2.6714846059822248</v>
      </c>
      <c r="P1556" s="8">
        <f t="shared" si="147"/>
        <v>-14.186369958275385</v>
      </c>
      <c r="Q1556" s="8">
        <f t="shared" si="148"/>
        <v>-14.186369958275385</v>
      </c>
      <c r="R1556" s="11">
        <f t="shared" si="149"/>
        <v>-14.186369958275385</v>
      </c>
    </row>
    <row r="1557" spans="1:18" x14ac:dyDescent="0.25">
      <c r="A1557" s="7">
        <f t="shared" si="144"/>
        <v>312</v>
      </c>
      <c r="B1557" s="2">
        <v>45195</v>
      </c>
      <c r="C1557" s="3">
        <v>30.85</v>
      </c>
      <c r="D1557" s="3">
        <v>32.78</v>
      </c>
      <c r="E1557" s="3">
        <v>30.5</v>
      </c>
      <c r="F1557" s="3">
        <v>30.85</v>
      </c>
      <c r="G1557" s="3">
        <v>8020369</v>
      </c>
      <c r="H1557" s="8">
        <f t="shared" si="145"/>
        <v>2.5607779578606129</v>
      </c>
      <c r="I1557">
        <f t="shared" si="146"/>
        <v>31.625999999999998</v>
      </c>
      <c r="J1557" s="6" cm="1">
        <f t="array" ref="J1557">_xlfn.STDEV.S(IF($A:$A=A1557, $F:$F))</f>
        <v>0.64817435925836997</v>
      </c>
      <c r="P1557" s="8">
        <f t="shared" si="147"/>
        <v>2.5607779578606129</v>
      </c>
      <c r="Q1557" s="8">
        <f t="shared" si="148"/>
        <v>2.5607779578606129</v>
      </c>
      <c r="R1557" s="8">
        <f t="shared" si="149"/>
        <v>2.5607779578606129</v>
      </c>
    </row>
    <row r="1558" spans="1:18" x14ac:dyDescent="0.25">
      <c r="A1558" s="7">
        <f t="shared" si="144"/>
        <v>312</v>
      </c>
      <c r="B1558" s="2">
        <v>45196</v>
      </c>
      <c r="C1558" s="3">
        <v>31.79</v>
      </c>
      <c r="D1558" s="3">
        <v>32.549999999999997</v>
      </c>
      <c r="E1558" s="3">
        <v>30.28</v>
      </c>
      <c r="F1558" s="3">
        <v>32.549999999999997</v>
      </c>
      <c r="G1558" s="3">
        <v>7477565</v>
      </c>
      <c r="H1558" s="8">
        <f t="shared" si="145"/>
        <v>2.5607779578606129</v>
      </c>
      <c r="I1558">
        <f t="shared" si="146"/>
        <v>31.625999999999998</v>
      </c>
      <c r="J1558" s="6" cm="1">
        <f t="array" ref="J1558">_xlfn.STDEV.S(IF($A:$A=A1558, $F:$F))</f>
        <v>0.64817435925836997</v>
      </c>
      <c r="P1558" s="8">
        <f t="shared" si="147"/>
        <v>2.5607779578606129</v>
      </c>
      <c r="Q1558" s="8">
        <f t="shared" si="148"/>
        <v>2.5607779578606129</v>
      </c>
      <c r="R1558" s="8">
        <f t="shared" si="149"/>
        <v>2.5607779578606129</v>
      </c>
    </row>
    <row r="1559" spans="1:18" x14ac:dyDescent="0.25">
      <c r="A1559" s="7">
        <f t="shared" si="144"/>
        <v>312</v>
      </c>
      <c r="B1559" s="2">
        <v>45197</v>
      </c>
      <c r="C1559" s="3">
        <v>32.17</v>
      </c>
      <c r="D1559" s="3">
        <v>32.51</v>
      </c>
      <c r="E1559" s="3">
        <v>31.45</v>
      </c>
      <c r="F1559" s="3">
        <v>31.87</v>
      </c>
      <c r="G1559" s="3">
        <v>4682303</v>
      </c>
      <c r="H1559" s="8">
        <f t="shared" si="145"/>
        <v>2.5607779578606129</v>
      </c>
      <c r="I1559">
        <f t="shared" si="146"/>
        <v>31.625999999999998</v>
      </c>
      <c r="J1559" s="6" cm="1">
        <f t="array" ref="J1559">_xlfn.STDEV.S(IF($A:$A=A1559, $F:$F))</f>
        <v>0.64817435925836997</v>
      </c>
      <c r="P1559" s="8">
        <f t="shared" si="147"/>
        <v>2.5607779578606129</v>
      </c>
      <c r="Q1559" s="8">
        <f t="shared" si="148"/>
        <v>2.5607779578606129</v>
      </c>
      <c r="R1559" s="8">
        <f t="shared" si="149"/>
        <v>2.5607779578606129</v>
      </c>
    </row>
    <row r="1560" spans="1:18" x14ac:dyDescent="0.25">
      <c r="A1560" s="7">
        <f t="shared" si="144"/>
        <v>312</v>
      </c>
      <c r="B1560" s="2">
        <v>45198</v>
      </c>
      <c r="C1560" s="3">
        <v>32.4</v>
      </c>
      <c r="D1560" s="3">
        <v>32.4</v>
      </c>
      <c r="E1560" s="3">
        <v>30.81</v>
      </c>
      <c r="F1560" s="3">
        <v>31.22</v>
      </c>
      <c r="G1560" s="3">
        <v>6087503</v>
      </c>
      <c r="H1560" s="8">
        <f t="shared" si="145"/>
        <v>2.5607779578606129</v>
      </c>
      <c r="I1560">
        <f t="shared" si="146"/>
        <v>31.625999999999998</v>
      </c>
      <c r="J1560" s="6" cm="1">
        <f t="array" ref="J1560">_xlfn.STDEV.S(IF($A:$A=A1560, $F:$F))</f>
        <v>0.64817435925836997</v>
      </c>
      <c r="P1560" s="8">
        <f t="shared" si="147"/>
        <v>2.5607779578606129</v>
      </c>
      <c r="Q1560" s="8">
        <f t="shared" si="148"/>
        <v>2.5607779578606129</v>
      </c>
      <c r="R1560" s="8">
        <f t="shared" si="149"/>
        <v>2.5607779578606129</v>
      </c>
    </row>
    <row r="1561" spans="1:18" x14ac:dyDescent="0.25">
      <c r="A1561" s="7">
        <f t="shared" si="144"/>
        <v>312</v>
      </c>
      <c r="B1561" s="2">
        <v>45201</v>
      </c>
      <c r="C1561" s="3">
        <v>31.56</v>
      </c>
      <c r="D1561" s="3">
        <v>32.090000000000003</v>
      </c>
      <c r="E1561" s="3">
        <v>31.19</v>
      </c>
      <c r="F1561" s="3">
        <v>31.64</v>
      </c>
      <c r="G1561" s="3">
        <v>3014990</v>
      </c>
      <c r="H1561" s="8">
        <f t="shared" si="145"/>
        <v>2.5607779578606129</v>
      </c>
      <c r="I1561">
        <f t="shared" si="146"/>
        <v>31.625999999999998</v>
      </c>
      <c r="J1561" s="6" cm="1">
        <f t="array" ref="J1561">_xlfn.STDEV.S(IF($A:$A=A1561, $F:$F))</f>
        <v>0.64817435925836997</v>
      </c>
      <c r="P1561" s="8">
        <f t="shared" si="147"/>
        <v>2.5607779578606129</v>
      </c>
      <c r="Q1561" s="8">
        <f t="shared" si="148"/>
        <v>2.5607779578606129</v>
      </c>
      <c r="R1561" s="8">
        <f t="shared" si="149"/>
        <v>2.5607779578606129</v>
      </c>
    </row>
    <row r="1562" spans="1:18" x14ac:dyDescent="0.25">
      <c r="A1562" s="7">
        <f t="shared" si="144"/>
        <v>313</v>
      </c>
      <c r="B1562" s="2">
        <v>45202</v>
      </c>
      <c r="C1562" s="3">
        <v>31.19</v>
      </c>
      <c r="D1562" s="3">
        <v>31.41</v>
      </c>
      <c r="E1562" s="3">
        <v>29.45</v>
      </c>
      <c r="F1562" s="3">
        <v>29.45</v>
      </c>
      <c r="G1562" s="3">
        <v>9285436</v>
      </c>
      <c r="H1562" s="8">
        <f t="shared" si="145"/>
        <v>4.1086587436332795</v>
      </c>
      <c r="I1562">
        <f t="shared" si="146"/>
        <v>29.704000000000001</v>
      </c>
      <c r="J1562" s="6" cm="1">
        <f t="array" ref="J1562">_xlfn.STDEV.S(IF($A:$A=A1562, $F:$F))</f>
        <v>0.75606216675614668</v>
      </c>
      <c r="P1562" s="8">
        <f t="shared" si="147"/>
        <v>4.1086587436332795</v>
      </c>
      <c r="Q1562" s="8">
        <f t="shared" si="148"/>
        <v>4.1086587436332795</v>
      </c>
      <c r="R1562" s="8">
        <f t="shared" si="149"/>
        <v>4.1086587436332795</v>
      </c>
    </row>
    <row r="1563" spans="1:18" x14ac:dyDescent="0.25">
      <c r="A1563" s="7">
        <f t="shared" si="144"/>
        <v>313</v>
      </c>
      <c r="B1563" s="2">
        <v>45203</v>
      </c>
      <c r="C1563" s="3">
        <v>28.46</v>
      </c>
      <c r="D1563" s="3">
        <v>31.15</v>
      </c>
      <c r="E1563" s="3">
        <v>28.39</v>
      </c>
      <c r="F1563" s="3">
        <v>30.2</v>
      </c>
      <c r="G1563" s="3">
        <v>6974353</v>
      </c>
      <c r="H1563" s="8">
        <f t="shared" si="145"/>
        <v>4.1086587436332795</v>
      </c>
      <c r="I1563">
        <f t="shared" si="146"/>
        <v>29.704000000000001</v>
      </c>
      <c r="J1563" s="6" cm="1">
        <f t="array" ref="J1563">_xlfn.STDEV.S(IF($A:$A=A1563, $F:$F))</f>
        <v>0.75606216675614668</v>
      </c>
      <c r="P1563" s="8">
        <f t="shared" si="147"/>
        <v>4.1086587436332795</v>
      </c>
      <c r="Q1563" s="8">
        <f t="shared" si="148"/>
        <v>4.1086587436332795</v>
      </c>
      <c r="R1563" s="8">
        <f t="shared" si="149"/>
        <v>4.1086587436332795</v>
      </c>
    </row>
    <row r="1564" spans="1:18" x14ac:dyDescent="0.25">
      <c r="A1564" s="7">
        <f t="shared" si="144"/>
        <v>313</v>
      </c>
      <c r="B1564" s="2">
        <v>45204</v>
      </c>
      <c r="C1564" s="3">
        <v>30.28</v>
      </c>
      <c r="D1564" s="3">
        <v>30.66</v>
      </c>
      <c r="E1564" s="3">
        <v>28.69</v>
      </c>
      <c r="F1564" s="3">
        <v>28.69</v>
      </c>
      <c r="G1564" s="3">
        <v>4637428</v>
      </c>
      <c r="H1564" s="8">
        <f t="shared" si="145"/>
        <v>4.1086587436332795</v>
      </c>
      <c r="I1564">
        <f t="shared" si="146"/>
        <v>29.704000000000001</v>
      </c>
      <c r="J1564" s="6" cm="1">
        <f t="array" ref="J1564">_xlfn.STDEV.S(IF($A:$A=A1564, $F:$F))</f>
        <v>0.75606216675614668</v>
      </c>
      <c r="P1564" s="8">
        <f t="shared" si="147"/>
        <v>4.1086587436332795</v>
      </c>
      <c r="Q1564" s="8">
        <f t="shared" si="148"/>
        <v>4.1086587436332795</v>
      </c>
      <c r="R1564" s="8">
        <f t="shared" si="149"/>
        <v>4.1086587436332795</v>
      </c>
    </row>
    <row r="1565" spans="1:18" x14ac:dyDescent="0.25">
      <c r="A1565" s="7">
        <f t="shared" si="144"/>
        <v>313</v>
      </c>
      <c r="B1565" s="2">
        <v>45205</v>
      </c>
      <c r="C1565" s="3">
        <v>28.69</v>
      </c>
      <c r="D1565" s="3">
        <v>29.71</v>
      </c>
      <c r="E1565" s="3">
        <v>27.82</v>
      </c>
      <c r="F1565" s="3">
        <v>29.52</v>
      </c>
      <c r="G1565" s="3">
        <v>6301458</v>
      </c>
      <c r="H1565" s="8">
        <f t="shared" si="145"/>
        <v>4.1086587436332795</v>
      </c>
      <c r="I1565">
        <f t="shared" si="146"/>
        <v>29.704000000000001</v>
      </c>
      <c r="J1565" s="6" cm="1">
        <f t="array" ref="J1565">_xlfn.STDEV.S(IF($A:$A=A1565, $F:$F))</f>
        <v>0.75606216675614668</v>
      </c>
      <c r="P1565" s="8">
        <f t="shared" si="147"/>
        <v>4.1086587436332795</v>
      </c>
      <c r="Q1565" s="8">
        <f t="shared" si="148"/>
        <v>4.1086587436332795</v>
      </c>
      <c r="R1565" s="8">
        <f t="shared" si="149"/>
        <v>4.1086587436332795</v>
      </c>
    </row>
    <row r="1566" spans="1:18" x14ac:dyDescent="0.25">
      <c r="A1566" s="7">
        <f t="shared" si="144"/>
        <v>313</v>
      </c>
      <c r="B1566" s="2">
        <v>45208</v>
      </c>
      <c r="C1566" s="3">
        <v>29.6</v>
      </c>
      <c r="D1566" s="3">
        <v>30.66</v>
      </c>
      <c r="E1566" s="3">
        <v>29.22</v>
      </c>
      <c r="F1566" s="3">
        <v>30.66</v>
      </c>
      <c r="G1566" s="3">
        <v>3907893</v>
      </c>
      <c r="H1566" s="8">
        <f t="shared" si="145"/>
        <v>4.1086587436332795</v>
      </c>
      <c r="I1566">
        <f t="shared" si="146"/>
        <v>29.704000000000001</v>
      </c>
      <c r="J1566" s="6" cm="1">
        <f t="array" ref="J1566">_xlfn.STDEV.S(IF($A:$A=A1566, $F:$F))</f>
        <v>0.75606216675614668</v>
      </c>
      <c r="P1566" s="8">
        <f t="shared" si="147"/>
        <v>4.1086587436332795</v>
      </c>
      <c r="Q1566" s="8">
        <f t="shared" si="148"/>
        <v>4.1086587436332795</v>
      </c>
      <c r="R1566" s="8">
        <f t="shared" si="149"/>
        <v>4.1086587436332795</v>
      </c>
    </row>
    <row r="1567" spans="1:18" x14ac:dyDescent="0.25">
      <c r="A1567" s="7">
        <f t="shared" si="144"/>
        <v>314</v>
      </c>
      <c r="B1567" s="2">
        <v>45209</v>
      </c>
      <c r="C1567" s="3">
        <v>31</v>
      </c>
      <c r="D1567" s="3">
        <v>31.6</v>
      </c>
      <c r="E1567" s="3">
        <v>30.28</v>
      </c>
      <c r="F1567" s="3">
        <v>30.28</v>
      </c>
      <c r="G1567" s="3">
        <v>5958459</v>
      </c>
      <c r="H1567" s="8">
        <f t="shared" si="145"/>
        <v>2.2457067371202104</v>
      </c>
      <c r="I1567">
        <f t="shared" si="146"/>
        <v>31.442</v>
      </c>
      <c r="J1567" s="6" cm="1">
        <f t="array" ref="J1567">_xlfn.STDEV.S(IF($A:$A=A1567, $F:$F))</f>
        <v>0.801667013166939</v>
      </c>
      <c r="P1567" s="8">
        <f t="shared" si="147"/>
        <v>2.2457067371202104</v>
      </c>
      <c r="Q1567" s="8">
        <f t="shared" si="148"/>
        <v>2.2457067371202104</v>
      </c>
      <c r="R1567" s="8">
        <f t="shared" si="149"/>
        <v>2.2457067371202104</v>
      </c>
    </row>
    <row r="1568" spans="1:18" x14ac:dyDescent="0.25">
      <c r="A1568" s="7">
        <f t="shared" si="144"/>
        <v>314</v>
      </c>
      <c r="B1568" s="2">
        <v>45210</v>
      </c>
      <c r="C1568" s="3">
        <v>30.66</v>
      </c>
      <c r="D1568" s="3">
        <v>31.75</v>
      </c>
      <c r="E1568" s="3">
        <v>30.2</v>
      </c>
      <c r="F1568" s="3">
        <v>31.75</v>
      </c>
      <c r="G1568" s="3">
        <v>4912607</v>
      </c>
      <c r="H1568" s="8">
        <f t="shared" si="145"/>
        <v>2.2457067371202104</v>
      </c>
      <c r="I1568">
        <f t="shared" si="146"/>
        <v>31.442</v>
      </c>
      <c r="J1568" s="6" cm="1">
        <f t="array" ref="J1568">_xlfn.STDEV.S(IF($A:$A=A1568, $F:$F))</f>
        <v>0.801667013166939</v>
      </c>
      <c r="P1568" s="8">
        <f t="shared" si="147"/>
        <v>2.2457067371202104</v>
      </c>
      <c r="Q1568" s="8">
        <f t="shared" si="148"/>
        <v>2.2457067371202104</v>
      </c>
      <c r="R1568" s="8">
        <f t="shared" si="149"/>
        <v>2.2457067371202104</v>
      </c>
    </row>
    <row r="1569" spans="1:18" x14ac:dyDescent="0.25">
      <c r="A1569" s="7">
        <f t="shared" si="144"/>
        <v>314</v>
      </c>
      <c r="B1569" s="2">
        <v>45211</v>
      </c>
      <c r="C1569" s="3">
        <v>31.79</v>
      </c>
      <c r="D1569" s="3">
        <v>32.47</v>
      </c>
      <c r="E1569" s="3">
        <v>31.72</v>
      </c>
      <c r="F1569" s="3">
        <v>32.130000000000003</v>
      </c>
      <c r="G1569" s="3">
        <v>6557163</v>
      </c>
      <c r="H1569" s="8">
        <f t="shared" si="145"/>
        <v>2.2457067371202104</v>
      </c>
      <c r="I1569">
        <f t="shared" si="146"/>
        <v>31.442</v>
      </c>
      <c r="J1569" s="6" cm="1">
        <f t="array" ref="J1569">_xlfn.STDEV.S(IF($A:$A=A1569, $F:$F))</f>
        <v>0.801667013166939</v>
      </c>
      <c r="P1569" s="8">
        <f t="shared" si="147"/>
        <v>2.2457067371202104</v>
      </c>
      <c r="Q1569" s="8">
        <f t="shared" si="148"/>
        <v>2.2457067371202104</v>
      </c>
      <c r="R1569" s="8">
        <f t="shared" si="149"/>
        <v>2.2457067371202104</v>
      </c>
    </row>
    <row r="1570" spans="1:18" x14ac:dyDescent="0.25">
      <c r="A1570" s="7">
        <f t="shared" si="144"/>
        <v>314</v>
      </c>
      <c r="B1570" s="2">
        <v>45212</v>
      </c>
      <c r="C1570" s="3">
        <v>31.64</v>
      </c>
      <c r="D1570" s="3">
        <v>32.17</v>
      </c>
      <c r="E1570" s="3">
        <v>30.85</v>
      </c>
      <c r="F1570" s="3">
        <v>32.090000000000003</v>
      </c>
      <c r="G1570" s="3">
        <v>6041157</v>
      </c>
      <c r="H1570" s="8">
        <f t="shared" si="145"/>
        <v>2.2457067371202104</v>
      </c>
      <c r="I1570">
        <f t="shared" si="146"/>
        <v>31.442</v>
      </c>
      <c r="J1570" s="6" cm="1">
        <f t="array" ref="J1570">_xlfn.STDEV.S(IF($A:$A=A1570, $F:$F))</f>
        <v>0.801667013166939</v>
      </c>
      <c r="P1570" s="8">
        <f t="shared" si="147"/>
        <v>2.2457067371202104</v>
      </c>
      <c r="Q1570" s="8">
        <f t="shared" si="148"/>
        <v>2.2457067371202104</v>
      </c>
      <c r="R1570" s="8">
        <f t="shared" si="149"/>
        <v>2.2457067371202104</v>
      </c>
    </row>
    <row r="1571" spans="1:18" x14ac:dyDescent="0.25">
      <c r="A1571" s="7">
        <f t="shared" si="144"/>
        <v>314</v>
      </c>
      <c r="B1571" s="2">
        <v>45215</v>
      </c>
      <c r="C1571" s="3">
        <v>31.79</v>
      </c>
      <c r="D1571" s="3">
        <v>31.94</v>
      </c>
      <c r="E1571" s="3">
        <v>30.88</v>
      </c>
      <c r="F1571" s="3">
        <v>30.96</v>
      </c>
      <c r="G1571" s="3">
        <v>5076143</v>
      </c>
      <c r="H1571" s="8">
        <f t="shared" si="145"/>
        <v>2.2457067371202104</v>
      </c>
      <c r="I1571">
        <f t="shared" si="146"/>
        <v>31.442</v>
      </c>
      <c r="J1571" s="6" cm="1">
        <f t="array" ref="J1571">_xlfn.STDEV.S(IF($A:$A=A1571, $F:$F))</f>
        <v>0.801667013166939</v>
      </c>
      <c r="P1571" s="8">
        <f t="shared" si="147"/>
        <v>2.2457067371202104</v>
      </c>
      <c r="Q1571" s="8">
        <f t="shared" si="148"/>
        <v>2.2457067371202104</v>
      </c>
      <c r="R1571" s="8">
        <f t="shared" si="149"/>
        <v>2.2457067371202104</v>
      </c>
    </row>
    <row r="1572" spans="1:18" x14ac:dyDescent="0.25">
      <c r="A1572" s="7">
        <f t="shared" si="144"/>
        <v>315</v>
      </c>
      <c r="B1572" s="2">
        <v>45216</v>
      </c>
      <c r="C1572" s="3">
        <v>31.19</v>
      </c>
      <c r="D1572" s="3">
        <v>31.56</v>
      </c>
      <c r="E1572" s="3">
        <v>28.8</v>
      </c>
      <c r="F1572" s="3">
        <v>28.8</v>
      </c>
      <c r="G1572" s="3">
        <v>3866356</v>
      </c>
      <c r="H1572" s="8">
        <f t="shared" si="145"/>
        <v>-5.3819444444444464</v>
      </c>
      <c r="I1572">
        <f t="shared" si="146"/>
        <v>27.818000000000001</v>
      </c>
      <c r="J1572" s="6" cm="1">
        <f t="array" ref="J1572">_xlfn.STDEV.S(IF($A:$A=A1572, $F:$F))</f>
        <v>0.96673160701406646</v>
      </c>
      <c r="P1572" s="8">
        <f t="shared" si="147"/>
        <v>-5.3819444444444464</v>
      </c>
      <c r="Q1572" s="8">
        <f t="shared" si="148"/>
        <v>-5.3819444444444464</v>
      </c>
      <c r="R1572" s="8">
        <f t="shared" si="149"/>
        <v>-5.3819444444444464</v>
      </c>
    </row>
    <row r="1573" spans="1:18" x14ac:dyDescent="0.25">
      <c r="A1573" s="7">
        <f t="shared" si="144"/>
        <v>315</v>
      </c>
      <c r="B1573" s="2">
        <v>45217</v>
      </c>
      <c r="C1573" s="3">
        <v>29.14</v>
      </c>
      <c r="D1573" s="3">
        <v>29.71</v>
      </c>
      <c r="E1573" s="3">
        <v>26.8</v>
      </c>
      <c r="F1573" s="3">
        <v>28.39</v>
      </c>
      <c r="G1573" s="3">
        <v>9097303</v>
      </c>
      <c r="H1573" s="8">
        <f t="shared" si="145"/>
        <v>-5.3819444444444464</v>
      </c>
      <c r="I1573">
        <f t="shared" si="146"/>
        <v>27.818000000000001</v>
      </c>
      <c r="J1573" s="6" cm="1">
        <f t="array" ref="J1573">_xlfn.STDEV.S(IF($A:$A=A1573, $F:$F))</f>
        <v>0.96673160701406646</v>
      </c>
      <c r="P1573" s="8">
        <f t="shared" si="147"/>
        <v>-5.3819444444444464</v>
      </c>
      <c r="Q1573" s="8">
        <f t="shared" si="148"/>
        <v>-5.3819444444444464</v>
      </c>
      <c r="R1573" s="8">
        <f t="shared" si="149"/>
        <v>-5.3819444444444464</v>
      </c>
    </row>
    <row r="1574" spans="1:18" x14ac:dyDescent="0.25">
      <c r="A1574" s="7">
        <f t="shared" si="144"/>
        <v>315</v>
      </c>
      <c r="B1574" s="2">
        <v>45218</v>
      </c>
      <c r="C1574" s="3">
        <v>28.31</v>
      </c>
      <c r="D1574" s="3">
        <v>28.61</v>
      </c>
      <c r="E1574" s="3">
        <v>26.42</v>
      </c>
      <c r="F1574" s="3">
        <v>26.42</v>
      </c>
      <c r="G1574" s="3">
        <v>7134663</v>
      </c>
      <c r="H1574" s="8">
        <f t="shared" si="145"/>
        <v>-5.3819444444444464</v>
      </c>
      <c r="I1574">
        <f t="shared" si="146"/>
        <v>27.818000000000001</v>
      </c>
      <c r="J1574" s="6" cm="1">
        <f t="array" ref="J1574">_xlfn.STDEV.S(IF($A:$A=A1574, $F:$F))</f>
        <v>0.96673160701406646</v>
      </c>
      <c r="P1574" s="8">
        <f t="shared" si="147"/>
        <v>-5.3819444444444464</v>
      </c>
      <c r="Q1574" s="8">
        <f t="shared" si="148"/>
        <v>-5.3819444444444464</v>
      </c>
      <c r="R1574" s="8">
        <f t="shared" si="149"/>
        <v>-5.3819444444444464</v>
      </c>
    </row>
    <row r="1575" spans="1:18" x14ac:dyDescent="0.25">
      <c r="A1575" s="7">
        <f t="shared" si="144"/>
        <v>315</v>
      </c>
      <c r="B1575" s="2">
        <v>45219</v>
      </c>
      <c r="C1575" s="3">
        <v>26.68</v>
      </c>
      <c r="D1575" s="3">
        <v>28.23</v>
      </c>
      <c r="E1575" s="3">
        <v>26</v>
      </c>
      <c r="F1575" s="3">
        <v>28.23</v>
      </c>
      <c r="G1575" s="3">
        <v>6491465</v>
      </c>
      <c r="H1575" s="8">
        <f t="shared" si="145"/>
        <v>-5.3819444444444464</v>
      </c>
      <c r="I1575">
        <f t="shared" si="146"/>
        <v>27.818000000000001</v>
      </c>
      <c r="J1575" s="6" cm="1">
        <f t="array" ref="J1575">_xlfn.STDEV.S(IF($A:$A=A1575, $F:$F))</f>
        <v>0.96673160701406646</v>
      </c>
      <c r="P1575" s="8">
        <f t="shared" si="147"/>
        <v>-5.3819444444444464</v>
      </c>
      <c r="Q1575" s="8">
        <f t="shared" si="148"/>
        <v>-5.3819444444444464</v>
      </c>
      <c r="R1575" s="8">
        <f t="shared" si="149"/>
        <v>-5.3819444444444464</v>
      </c>
    </row>
    <row r="1576" spans="1:18" x14ac:dyDescent="0.25">
      <c r="A1576" s="7">
        <f t="shared" si="144"/>
        <v>315</v>
      </c>
      <c r="B1576" s="2">
        <v>45222</v>
      </c>
      <c r="C1576" s="3">
        <v>28.31</v>
      </c>
      <c r="D1576" s="3">
        <v>28.39</v>
      </c>
      <c r="E1576" s="3">
        <v>27.1</v>
      </c>
      <c r="F1576" s="3">
        <v>27.25</v>
      </c>
      <c r="G1576" s="3">
        <v>4767116</v>
      </c>
      <c r="H1576" s="8">
        <f t="shared" si="145"/>
        <v>-5.3819444444444464</v>
      </c>
      <c r="I1576">
        <f t="shared" si="146"/>
        <v>27.818000000000001</v>
      </c>
      <c r="J1576" s="6" cm="1">
        <f t="array" ref="J1576">_xlfn.STDEV.S(IF($A:$A=A1576, $F:$F))</f>
        <v>0.96673160701406646</v>
      </c>
      <c r="P1576" s="8">
        <f t="shared" si="147"/>
        <v>-5.3819444444444464</v>
      </c>
      <c r="Q1576" s="8">
        <f t="shared" si="148"/>
        <v>-5.3819444444444464</v>
      </c>
      <c r="R1576" s="8">
        <f t="shared" si="149"/>
        <v>-5.3819444444444464</v>
      </c>
    </row>
    <row r="1577" spans="1:18" x14ac:dyDescent="0.25">
      <c r="A1577" s="7">
        <f t="shared" si="144"/>
        <v>316</v>
      </c>
      <c r="B1577" s="2">
        <v>45223</v>
      </c>
      <c r="C1577" s="3">
        <v>27.7</v>
      </c>
      <c r="D1577" s="3">
        <v>27.89</v>
      </c>
      <c r="E1577" s="3">
        <v>27.17</v>
      </c>
      <c r="F1577" s="3">
        <v>27.89</v>
      </c>
      <c r="G1577" s="3">
        <v>4345258</v>
      </c>
      <c r="H1577" s="8">
        <f t="shared" si="145"/>
        <v>-4.876299749013981</v>
      </c>
      <c r="I1577">
        <f t="shared" si="146"/>
        <v>26.939999999999998</v>
      </c>
      <c r="J1577" s="6" cm="1">
        <f t="array" ref="J1577">_xlfn.STDEV.S(IF($A:$A=A1577, $F:$F))</f>
        <v>0.85632937588290237</v>
      </c>
      <c r="P1577" s="8">
        <f t="shared" si="147"/>
        <v>-4.876299749013981</v>
      </c>
      <c r="Q1577" s="8">
        <f t="shared" si="148"/>
        <v>-4.876299749013981</v>
      </c>
      <c r="R1577" s="8">
        <f t="shared" si="149"/>
        <v>-4.876299749013981</v>
      </c>
    </row>
    <row r="1578" spans="1:18" x14ac:dyDescent="0.25">
      <c r="A1578" s="7">
        <f t="shared" si="144"/>
        <v>316</v>
      </c>
      <c r="B1578" s="2">
        <v>45224</v>
      </c>
      <c r="C1578" s="3">
        <v>27.93</v>
      </c>
      <c r="D1578" s="3">
        <v>28.54</v>
      </c>
      <c r="E1578" s="3">
        <v>27.4</v>
      </c>
      <c r="F1578" s="3">
        <v>27.59</v>
      </c>
      <c r="G1578" s="3">
        <v>3794620</v>
      </c>
      <c r="H1578" s="8">
        <f t="shared" si="145"/>
        <v>-4.876299749013981</v>
      </c>
      <c r="I1578">
        <f t="shared" si="146"/>
        <v>26.939999999999998</v>
      </c>
      <c r="J1578" s="6" cm="1">
        <f t="array" ref="J1578">_xlfn.STDEV.S(IF($A:$A=A1578, $F:$F))</f>
        <v>0.85632937588290237</v>
      </c>
      <c r="P1578" s="8">
        <f t="shared" si="147"/>
        <v>-4.876299749013981</v>
      </c>
      <c r="Q1578" s="8">
        <f t="shared" si="148"/>
        <v>-4.876299749013981</v>
      </c>
      <c r="R1578" s="8">
        <f t="shared" si="149"/>
        <v>-4.876299749013981</v>
      </c>
    </row>
    <row r="1579" spans="1:18" x14ac:dyDescent="0.25">
      <c r="A1579" s="7">
        <f t="shared" si="144"/>
        <v>316</v>
      </c>
      <c r="B1579" s="2">
        <v>45225</v>
      </c>
      <c r="C1579" s="3">
        <v>26.72</v>
      </c>
      <c r="D1579" s="3">
        <v>26.83</v>
      </c>
      <c r="E1579" s="3">
        <v>25.66</v>
      </c>
      <c r="F1579" s="3">
        <v>25.74</v>
      </c>
      <c r="G1579" s="3">
        <v>12776175</v>
      </c>
      <c r="H1579" s="8">
        <f t="shared" si="145"/>
        <v>-4.876299749013981</v>
      </c>
      <c r="I1579">
        <f t="shared" si="146"/>
        <v>26.939999999999998</v>
      </c>
      <c r="J1579" s="6" cm="1">
        <f t="array" ref="J1579">_xlfn.STDEV.S(IF($A:$A=A1579, $F:$F))</f>
        <v>0.85632937588290237</v>
      </c>
      <c r="P1579" s="8">
        <f t="shared" si="147"/>
        <v>-4.876299749013981</v>
      </c>
      <c r="Q1579" s="8">
        <f t="shared" si="148"/>
        <v>-4.876299749013981</v>
      </c>
      <c r="R1579" s="8">
        <f t="shared" si="149"/>
        <v>-4.876299749013981</v>
      </c>
    </row>
    <row r="1580" spans="1:18" x14ac:dyDescent="0.25">
      <c r="A1580" s="7">
        <f t="shared" si="144"/>
        <v>316</v>
      </c>
      <c r="B1580" s="2">
        <v>45226</v>
      </c>
      <c r="C1580" s="3">
        <v>26.23</v>
      </c>
      <c r="D1580" s="3">
        <v>27.14</v>
      </c>
      <c r="E1580" s="3">
        <v>25.74</v>
      </c>
      <c r="F1580" s="3">
        <v>26.95</v>
      </c>
      <c r="G1580" s="3">
        <v>8383567</v>
      </c>
      <c r="H1580" s="8">
        <f t="shared" si="145"/>
        <v>-4.876299749013981</v>
      </c>
      <c r="I1580">
        <f t="shared" si="146"/>
        <v>26.939999999999998</v>
      </c>
      <c r="J1580" s="6" cm="1">
        <f t="array" ref="J1580">_xlfn.STDEV.S(IF($A:$A=A1580, $F:$F))</f>
        <v>0.85632937588290237</v>
      </c>
      <c r="P1580" s="8">
        <f t="shared" si="147"/>
        <v>-4.876299749013981</v>
      </c>
      <c r="Q1580" s="8">
        <f t="shared" si="148"/>
        <v>-4.876299749013981</v>
      </c>
      <c r="R1580" s="8">
        <f t="shared" si="149"/>
        <v>-4.876299749013981</v>
      </c>
    </row>
    <row r="1581" spans="1:18" x14ac:dyDescent="0.25">
      <c r="A1581" s="7">
        <f t="shared" si="144"/>
        <v>316</v>
      </c>
      <c r="B1581" s="2">
        <v>45229</v>
      </c>
      <c r="C1581" s="3">
        <v>26.57</v>
      </c>
      <c r="D1581" s="3">
        <v>27.55</v>
      </c>
      <c r="E1581" s="3">
        <v>26.42</v>
      </c>
      <c r="F1581" s="3">
        <v>26.53</v>
      </c>
      <c r="G1581" s="3">
        <v>5229634</v>
      </c>
      <c r="H1581" s="8">
        <f t="shared" si="145"/>
        <v>-4.876299749013981</v>
      </c>
      <c r="I1581">
        <f t="shared" si="146"/>
        <v>26.939999999999998</v>
      </c>
      <c r="J1581" s="6" cm="1">
        <f t="array" ref="J1581">_xlfn.STDEV.S(IF($A:$A=A1581, $F:$F))</f>
        <v>0.85632937588290237</v>
      </c>
      <c r="P1581" s="8">
        <f t="shared" si="147"/>
        <v>-4.876299749013981</v>
      </c>
      <c r="Q1581" s="8">
        <f t="shared" si="148"/>
        <v>-4.876299749013981</v>
      </c>
      <c r="R1581" s="8">
        <f t="shared" si="149"/>
        <v>-4.876299749013981</v>
      </c>
    </row>
    <row r="1582" spans="1:18" x14ac:dyDescent="0.25">
      <c r="A1582" s="7">
        <f t="shared" si="144"/>
        <v>317</v>
      </c>
      <c r="B1582" s="2">
        <v>45230</v>
      </c>
      <c r="C1582" s="3">
        <v>26.76</v>
      </c>
      <c r="D1582" s="3">
        <v>26.8</v>
      </c>
      <c r="E1582" s="3">
        <v>24.68</v>
      </c>
      <c r="F1582" s="3">
        <v>24.68</v>
      </c>
      <c r="G1582" s="3">
        <v>7251242</v>
      </c>
      <c r="H1582" s="8">
        <f t="shared" si="145"/>
        <v>18.679092382495945</v>
      </c>
      <c r="I1582">
        <f t="shared" si="146"/>
        <v>27.371999999999996</v>
      </c>
      <c r="J1582" s="6" cm="1">
        <f t="array" ref="J1582">_xlfn.STDEV.S(IF($A:$A=A1582, $F:$F))</f>
        <v>1.8471518616507958</v>
      </c>
      <c r="P1582" s="8">
        <f t="shared" si="147"/>
        <v>18.679092382495945</v>
      </c>
      <c r="Q1582" s="8">
        <f t="shared" si="148"/>
        <v>18.679092382495945</v>
      </c>
      <c r="R1582" s="10">
        <f t="shared" si="149"/>
        <v>18.679092382495945</v>
      </c>
    </row>
    <row r="1583" spans="1:18" x14ac:dyDescent="0.25">
      <c r="A1583" s="7">
        <f t="shared" si="144"/>
        <v>317</v>
      </c>
      <c r="B1583" s="2">
        <v>45231</v>
      </c>
      <c r="C1583" s="3">
        <v>24.83</v>
      </c>
      <c r="D1583" s="3">
        <v>26.34</v>
      </c>
      <c r="E1583" s="3">
        <v>24.6</v>
      </c>
      <c r="F1583" s="3">
        <v>26.34</v>
      </c>
      <c r="G1583" s="3">
        <v>8332882</v>
      </c>
      <c r="H1583" s="8">
        <f t="shared" si="145"/>
        <v>18.679092382495945</v>
      </c>
      <c r="I1583">
        <f t="shared" si="146"/>
        <v>27.371999999999996</v>
      </c>
      <c r="J1583" s="6" cm="1">
        <f t="array" ref="J1583">_xlfn.STDEV.S(IF($A:$A=A1583, $F:$F))</f>
        <v>1.8471518616507958</v>
      </c>
      <c r="P1583" s="8">
        <f t="shared" si="147"/>
        <v>18.679092382495945</v>
      </c>
      <c r="Q1583" s="8">
        <f t="shared" si="148"/>
        <v>18.679092382495945</v>
      </c>
      <c r="R1583" s="10">
        <f t="shared" si="149"/>
        <v>18.679092382495945</v>
      </c>
    </row>
    <row r="1584" spans="1:18" x14ac:dyDescent="0.25">
      <c r="A1584" s="7">
        <f t="shared" si="144"/>
        <v>317</v>
      </c>
      <c r="B1584" s="2">
        <v>45232</v>
      </c>
      <c r="C1584" s="3">
        <v>26.8</v>
      </c>
      <c r="D1584" s="3">
        <v>28.16</v>
      </c>
      <c r="E1584" s="3">
        <v>26.61</v>
      </c>
      <c r="F1584" s="3">
        <v>28.16</v>
      </c>
      <c r="G1584" s="3">
        <v>8886488</v>
      </c>
      <c r="H1584" s="8">
        <f t="shared" si="145"/>
        <v>18.679092382495945</v>
      </c>
      <c r="I1584">
        <f t="shared" si="146"/>
        <v>27.371999999999996</v>
      </c>
      <c r="J1584" s="6" cm="1">
        <f t="array" ref="J1584">_xlfn.STDEV.S(IF($A:$A=A1584, $F:$F))</f>
        <v>1.8471518616507958</v>
      </c>
      <c r="P1584" s="8">
        <f t="shared" si="147"/>
        <v>18.679092382495945</v>
      </c>
      <c r="Q1584" s="8">
        <f t="shared" si="148"/>
        <v>18.679092382495945</v>
      </c>
      <c r="R1584" s="10">
        <f t="shared" si="149"/>
        <v>18.679092382495945</v>
      </c>
    </row>
    <row r="1585" spans="1:18" x14ac:dyDescent="0.25">
      <c r="A1585" s="7">
        <f t="shared" si="144"/>
        <v>317</v>
      </c>
      <c r="B1585" s="2">
        <v>45233</v>
      </c>
      <c r="C1585" s="3">
        <v>28.39</v>
      </c>
      <c r="D1585" s="3">
        <v>29.14</v>
      </c>
      <c r="E1585" s="3">
        <v>28.2</v>
      </c>
      <c r="F1585" s="3">
        <v>28.39</v>
      </c>
      <c r="G1585" s="3">
        <v>9390482</v>
      </c>
      <c r="H1585" s="8">
        <f t="shared" si="145"/>
        <v>18.679092382495945</v>
      </c>
      <c r="I1585">
        <f t="shared" si="146"/>
        <v>27.371999999999996</v>
      </c>
      <c r="J1585" s="6" cm="1">
        <f t="array" ref="J1585">_xlfn.STDEV.S(IF($A:$A=A1585, $F:$F))</f>
        <v>1.8471518616507958</v>
      </c>
      <c r="P1585" s="8">
        <f t="shared" si="147"/>
        <v>18.679092382495945</v>
      </c>
      <c r="Q1585" s="8">
        <f t="shared" si="148"/>
        <v>18.679092382495945</v>
      </c>
      <c r="R1585" s="10">
        <f t="shared" si="149"/>
        <v>18.679092382495945</v>
      </c>
    </row>
    <row r="1586" spans="1:18" x14ac:dyDescent="0.25">
      <c r="A1586" s="7">
        <f t="shared" si="144"/>
        <v>317</v>
      </c>
      <c r="B1586" s="2">
        <v>45236</v>
      </c>
      <c r="C1586" s="3">
        <v>28.92</v>
      </c>
      <c r="D1586" s="3">
        <v>29.29</v>
      </c>
      <c r="E1586" s="3">
        <v>28.46</v>
      </c>
      <c r="F1586" s="3">
        <v>29.29</v>
      </c>
      <c r="G1586" s="3">
        <v>7281302</v>
      </c>
      <c r="H1586" s="8">
        <f t="shared" si="145"/>
        <v>18.679092382495945</v>
      </c>
      <c r="I1586">
        <f t="shared" si="146"/>
        <v>27.371999999999996</v>
      </c>
      <c r="J1586" s="6" cm="1">
        <f t="array" ref="J1586">_xlfn.STDEV.S(IF($A:$A=A1586, $F:$F))</f>
        <v>1.8471518616507958</v>
      </c>
      <c r="P1586" s="8">
        <f t="shared" si="147"/>
        <v>18.679092382495945</v>
      </c>
      <c r="Q1586" s="8">
        <f t="shared" si="148"/>
        <v>18.679092382495945</v>
      </c>
      <c r="R1586" s="10">
        <f t="shared" si="149"/>
        <v>18.679092382495945</v>
      </c>
    </row>
    <row r="1587" spans="1:18" x14ac:dyDescent="0.25">
      <c r="A1587" s="7">
        <f t="shared" si="144"/>
        <v>318</v>
      </c>
      <c r="B1587" s="2">
        <v>45237</v>
      </c>
      <c r="C1587" s="3">
        <v>29.14</v>
      </c>
      <c r="D1587" s="3">
        <v>29.67</v>
      </c>
      <c r="E1587" s="3">
        <v>28.69</v>
      </c>
      <c r="F1587" s="3">
        <v>28.84</v>
      </c>
      <c r="G1587" s="3">
        <v>7535449</v>
      </c>
      <c r="H1587" s="8">
        <f t="shared" si="145"/>
        <v>6.3106796116504871</v>
      </c>
      <c r="I1587">
        <f t="shared" si="146"/>
        <v>30.233999999999998</v>
      </c>
      <c r="J1587" s="6" cm="1">
        <f t="array" ref="J1587">_xlfn.STDEV.S(IF($A:$A=A1587, $F:$F))</f>
        <v>0.82023167458956414</v>
      </c>
      <c r="P1587" s="8">
        <f t="shared" si="147"/>
        <v>6.3106796116504871</v>
      </c>
      <c r="Q1587" s="8">
        <f t="shared" si="148"/>
        <v>6.3106796116504871</v>
      </c>
      <c r="R1587" s="8">
        <f t="shared" si="149"/>
        <v>6.3106796116504871</v>
      </c>
    </row>
    <row r="1588" spans="1:18" x14ac:dyDescent="0.25">
      <c r="A1588" s="7">
        <f t="shared" si="144"/>
        <v>318</v>
      </c>
      <c r="B1588" s="2">
        <v>45238</v>
      </c>
      <c r="C1588" s="3">
        <v>28.76</v>
      </c>
      <c r="D1588" s="3">
        <v>30.85</v>
      </c>
      <c r="E1588" s="3">
        <v>28.65</v>
      </c>
      <c r="F1588" s="3">
        <v>30.85</v>
      </c>
      <c r="G1588" s="3">
        <v>10005722</v>
      </c>
      <c r="H1588" s="8">
        <f t="shared" si="145"/>
        <v>6.3106796116504871</v>
      </c>
      <c r="I1588">
        <f t="shared" si="146"/>
        <v>30.233999999999998</v>
      </c>
      <c r="J1588" s="6" cm="1">
        <f t="array" ref="J1588">_xlfn.STDEV.S(IF($A:$A=A1588, $F:$F))</f>
        <v>0.82023167458956414</v>
      </c>
      <c r="P1588" s="8">
        <f t="shared" si="147"/>
        <v>6.3106796116504871</v>
      </c>
      <c r="Q1588" s="8">
        <f t="shared" si="148"/>
        <v>6.3106796116504871</v>
      </c>
      <c r="R1588" s="8">
        <f t="shared" si="149"/>
        <v>6.3106796116504871</v>
      </c>
    </row>
    <row r="1589" spans="1:18" x14ac:dyDescent="0.25">
      <c r="A1589" s="7">
        <f t="shared" si="144"/>
        <v>318</v>
      </c>
      <c r="B1589" s="2">
        <v>45239</v>
      </c>
      <c r="C1589" s="3">
        <v>31.03</v>
      </c>
      <c r="D1589" s="3">
        <v>31.64</v>
      </c>
      <c r="E1589" s="3">
        <v>30.66</v>
      </c>
      <c r="F1589" s="3">
        <v>30.66</v>
      </c>
      <c r="G1589" s="3">
        <v>11080806</v>
      </c>
      <c r="H1589" s="8">
        <f t="shared" si="145"/>
        <v>6.3106796116504871</v>
      </c>
      <c r="I1589">
        <f t="shared" si="146"/>
        <v>30.233999999999998</v>
      </c>
      <c r="J1589" s="6" cm="1">
        <f t="array" ref="J1589">_xlfn.STDEV.S(IF($A:$A=A1589, $F:$F))</f>
        <v>0.82023167458956414</v>
      </c>
      <c r="P1589" s="8">
        <f t="shared" si="147"/>
        <v>6.3106796116504871</v>
      </c>
      <c r="Q1589" s="8">
        <f t="shared" si="148"/>
        <v>6.3106796116504871</v>
      </c>
      <c r="R1589" s="8">
        <f t="shared" si="149"/>
        <v>6.3106796116504871</v>
      </c>
    </row>
    <row r="1590" spans="1:18" x14ac:dyDescent="0.25">
      <c r="A1590" s="7">
        <f t="shared" si="144"/>
        <v>318</v>
      </c>
      <c r="B1590" s="2">
        <v>45240</v>
      </c>
      <c r="C1590" s="3">
        <v>30.13</v>
      </c>
      <c r="D1590" s="3">
        <v>31.6</v>
      </c>
      <c r="E1590" s="3">
        <v>30.09</v>
      </c>
      <c r="F1590" s="3">
        <v>30.16</v>
      </c>
      <c r="G1590" s="3">
        <v>10119524</v>
      </c>
      <c r="H1590" s="8">
        <f t="shared" si="145"/>
        <v>6.3106796116504871</v>
      </c>
      <c r="I1590">
        <f t="shared" si="146"/>
        <v>30.233999999999998</v>
      </c>
      <c r="J1590" s="6" cm="1">
        <f t="array" ref="J1590">_xlfn.STDEV.S(IF($A:$A=A1590, $F:$F))</f>
        <v>0.82023167458956414</v>
      </c>
      <c r="P1590" s="8">
        <f t="shared" si="147"/>
        <v>6.3106796116504871</v>
      </c>
      <c r="Q1590" s="8">
        <f t="shared" si="148"/>
        <v>6.3106796116504871</v>
      </c>
      <c r="R1590" s="8">
        <f t="shared" si="149"/>
        <v>6.3106796116504871</v>
      </c>
    </row>
    <row r="1591" spans="1:18" x14ac:dyDescent="0.25">
      <c r="A1591" s="7">
        <f t="shared" si="144"/>
        <v>318</v>
      </c>
      <c r="B1591" s="2">
        <v>45243</v>
      </c>
      <c r="C1591" s="3">
        <v>30.32</v>
      </c>
      <c r="D1591" s="3">
        <v>30.66</v>
      </c>
      <c r="E1591" s="3">
        <v>29.52</v>
      </c>
      <c r="F1591" s="3">
        <v>30.66</v>
      </c>
      <c r="G1591" s="3">
        <v>6243969</v>
      </c>
      <c r="H1591" s="8">
        <f t="shared" si="145"/>
        <v>6.3106796116504871</v>
      </c>
      <c r="I1591">
        <f t="shared" si="146"/>
        <v>30.233999999999998</v>
      </c>
      <c r="J1591" s="6" cm="1">
        <f t="array" ref="J1591">_xlfn.STDEV.S(IF($A:$A=A1591, $F:$F))</f>
        <v>0.82023167458956414</v>
      </c>
      <c r="P1591" s="8">
        <f t="shared" si="147"/>
        <v>6.3106796116504871</v>
      </c>
      <c r="Q1591" s="8">
        <f t="shared" si="148"/>
        <v>6.3106796116504871</v>
      </c>
      <c r="R1591" s="8">
        <f t="shared" si="149"/>
        <v>6.3106796116504871</v>
      </c>
    </row>
    <row r="1592" spans="1:18" x14ac:dyDescent="0.25">
      <c r="A1592" s="7">
        <f t="shared" si="144"/>
        <v>319</v>
      </c>
      <c r="B1592" s="2">
        <v>45244</v>
      </c>
      <c r="C1592" s="3">
        <v>31.49</v>
      </c>
      <c r="D1592" s="3">
        <v>31.53</v>
      </c>
      <c r="E1592" s="3">
        <v>30.35</v>
      </c>
      <c r="F1592" s="3">
        <v>30.66</v>
      </c>
      <c r="G1592" s="3">
        <v>6118431</v>
      </c>
      <c r="H1592" s="8">
        <f t="shared" si="145"/>
        <v>1.8264840182648359</v>
      </c>
      <c r="I1592">
        <f t="shared" si="146"/>
        <v>30.963999999999999</v>
      </c>
      <c r="J1592" s="6" cm="1">
        <f t="array" ref="J1592">_xlfn.STDEV.S(IF($A:$A=A1592, $F:$F))</f>
        <v>0.37964457061836127</v>
      </c>
      <c r="P1592" s="8">
        <f t="shared" si="147"/>
        <v>1.8264840182648359</v>
      </c>
      <c r="Q1592" s="8">
        <f t="shared" si="148"/>
        <v>1.8264840182648359</v>
      </c>
      <c r="R1592" s="8">
        <f t="shared" si="149"/>
        <v>1.8264840182648359</v>
      </c>
    </row>
    <row r="1593" spans="1:18" x14ac:dyDescent="0.25">
      <c r="A1593" s="7">
        <f t="shared" si="144"/>
        <v>319</v>
      </c>
      <c r="B1593" s="2">
        <v>45245</v>
      </c>
      <c r="C1593" s="3">
        <v>31.56</v>
      </c>
      <c r="D1593" s="3">
        <v>31.98</v>
      </c>
      <c r="E1593" s="3">
        <v>30.69</v>
      </c>
      <c r="F1593" s="3">
        <v>31.03</v>
      </c>
      <c r="G1593" s="3">
        <v>7985117</v>
      </c>
      <c r="H1593" s="8">
        <f t="shared" si="145"/>
        <v>1.8264840182648359</v>
      </c>
      <c r="I1593">
        <f t="shared" si="146"/>
        <v>30.963999999999999</v>
      </c>
      <c r="J1593" s="6" cm="1">
        <f t="array" ref="J1593">_xlfn.STDEV.S(IF($A:$A=A1593, $F:$F))</f>
        <v>0.37964457061836127</v>
      </c>
      <c r="P1593" s="8">
        <f t="shared" si="147"/>
        <v>1.8264840182648359</v>
      </c>
      <c r="Q1593" s="8">
        <f t="shared" si="148"/>
        <v>1.8264840182648359</v>
      </c>
      <c r="R1593" s="8">
        <f t="shared" si="149"/>
        <v>1.8264840182648359</v>
      </c>
    </row>
    <row r="1594" spans="1:18" x14ac:dyDescent="0.25">
      <c r="A1594" s="7">
        <f t="shared" si="144"/>
        <v>319</v>
      </c>
      <c r="B1594" s="2">
        <v>45246</v>
      </c>
      <c r="C1594" s="3">
        <v>30.96</v>
      </c>
      <c r="D1594" s="3">
        <v>31.41</v>
      </c>
      <c r="E1594" s="3">
        <v>30.66</v>
      </c>
      <c r="F1594" s="3">
        <v>31.41</v>
      </c>
      <c r="G1594" s="3">
        <v>4523585</v>
      </c>
      <c r="H1594" s="8">
        <f t="shared" si="145"/>
        <v>1.8264840182648359</v>
      </c>
      <c r="I1594">
        <f t="shared" si="146"/>
        <v>30.963999999999999</v>
      </c>
      <c r="J1594" s="6" cm="1">
        <f t="array" ref="J1594">_xlfn.STDEV.S(IF($A:$A=A1594, $F:$F))</f>
        <v>0.37964457061836127</v>
      </c>
      <c r="P1594" s="8">
        <f t="shared" si="147"/>
        <v>1.8264840182648359</v>
      </c>
      <c r="Q1594" s="8">
        <f t="shared" si="148"/>
        <v>1.8264840182648359</v>
      </c>
      <c r="R1594" s="8">
        <f t="shared" si="149"/>
        <v>1.8264840182648359</v>
      </c>
    </row>
    <row r="1595" spans="1:18" x14ac:dyDescent="0.25">
      <c r="A1595" s="7">
        <f t="shared" si="144"/>
        <v>319</v>
      </c>
      <c r="B1595" s="2">
        <v>45247</v>
      </c>
      <c r="C1595" s="3">
        <v>31.49</v>
      </c>
      <c r="D1595" s="3">
        <v>31.64</v>
      </c>
      <c r="E1595" s="3">
        <v>30.2</v>
      </c>
      <c r="F1595" s="3">
        <v>30.5</v>
      </c>
      <c r="G1595" s="3">
        <v>9495499</v>
      </c>
      <c r="H1595" s="8">
        <f t="shared" si="145"/>
        <v>1.8264840182648359</v>
      </c>
      <c r="I1595">
        <f t="shared" si="146"/>
        <v>30.963999999999999</v>
      </c>
      <c r="J1595" s="6" cm="1">
        <f t="array" ref="J1595">_xlfn.STDEV.S(IF($A:$A=A1595, $F:$F))</f>
        <v>0.37964457061836127</v>
      </c>
      <c r="P1595" s="8">
        <f t="shared" si="147"/>
        <v>1.8264840182648359</v>
      </c>
      <c r="Q1595" s="8">
        <f t="shared" si="148"/>
        <v>1.8264840182648359</v>
      </c>
      <c r="R1595" s="8">
        <f t="shared" si="149"/>
        <v>1.8264840182648359</v>
      </c>
    </row>
    <row r="1596" spans="1:18" x14ac:dyDescent="0.25">
      <c r="A1596" s="7">
        <f t="shared" si="144"/>
        <v>319</v>
      </c>
      <c r="B1596" s="2">
        <v>45250</v>
      </c>
      <c r="C1596" s="3">
        <v>29.97</v>
      </c>
      <c r="D1596" s="3">
        <v>31.49</v>
      </c>
      <c r="E1596" s="3">
        <v>29.97</v>
      </c>
      <c r="F1596" s="3">
        <v>31.22</v>
      </c>
      <c r="G1596" s="3">
        <v>6642826</v>
      </c>
      <c r="H1596" s="8">
        <f t="shared" si="145"/>
        <v>1.8264840182648359</v>
      </c>
      <c r="I1596">
        <f t="shared" si="146"/>
        <v>30.963999999999999</v>
      </c>
      <c r="J1596" s="6" cm="1">
        <f t="array" ref="J1596">_xlfn.STDEV.S(IF($A:$A=A1596, $F:$F))</f>
        <v>0.37964457061836127</v>
      </c>
      <c r="P1596" s="8">
        <f t="shared" si="147"/>
        <v>1.8264840182648359</v>
      </c>
      <c r="Q1596" s="8">
        <f t="shared" si="148"/>
        <v>1.8264840182648359</v>
      </c>
      <c r="R1596" s="8">
        <f t="shared" si="149"/>
        <v>1.8264840182648359</v>
      </c>
    </row>
    <row r="1597" spans="1:18" x14ac:dyDescent="0.25">
      <c r="A1597" s="7">
        <f t="shared" si="144"/>
        <v>320</v>
      </c>
      <c r="B1597" s="2">
        <v>45251</v>
      </c>
      <c r="C1597" s="3">
        <v>31.53</v>
      </c>
      <c r="D1597" s="3">
        <v>31.98</v>
      </c>
      <c r="E1597" s="3">
        <v>31.26</v>
      </c>
      <c r="F1597" s="3">
        <v>31.83</v>
      </c>
      <c r="G1597" s="3">
        <v>7524997</v>
      </c>
      <c r="H1597" s="8">
        <f t="shared" si="145"/>
        <v>-3.6757775683317568</v>
      </c>
      <c r="I1597">
        <f t="shared" si="146"/>
        <v>31.594000000000001</v>
      </c>
      <c r="J1597" s="6" cm="1">
        <f t="array" ref="J1597">_xlfn.STDEV.S(IF($A:$A=A1597, $F:$F))</f>
        <v>0.96960301154647777</v>
      </c>
      <c r="P1597" s="8">
        <f t="shared" si="147"/>
        <v>-3.6757775683317568</v>
      </c>
      <c r="Q1597" s="8">
        <f t="shared" si="148"/>
        <v>-3.6757775683317568</v>
      </c>
      <c r="R1597" s="8">
        <f t="shared" si="149"/>
        <v>-3.6757775683317568</v>
      </c>
    </row>
    <row r="1598" spans="1:18" x14ac:dyDescent="0.25">
      <c r="A1598" s="7">
        <f t="shared" si="144"/>
        <v>320</v>
      </c>
      <c r="B1598" s="2">
        <v>45252</v>
      </c>
      <c r="C1598" s="3">
        <v>31.83</v>
      </c>
      <c r="D1598" s="3">
        <v>33</v>
      </c>
      <c r="E1598" s="3">
        <v>31.83</v>
      </c>
      <c r="F1598" s="3">
        <v>33</v>
      </c>
      <c r="G1598" s="3">
        <v>11030533</v>
      </c>
      <c r="H1598" s="8">
        <f t="shared" si="145"/>
        <v>-3.6757775683317568</v>
      </c>
      <c r="I1598">
        <f t="shared" si="146"/>
        <v>31.594000000000001</v>
      </c>
      <c r="J1598" s="6" cm="1">
        <f t="array" ref="J1598">_xlfn.STDEV.S(IF($A:$A=A1598, $F:$F))</f>
        <v>0.96960301154647777</v>
      </c>
      <c r="P1598" s="8">
        <f t="shared" si="147"/>
        <v>-3.6757775683317568</v>
      </c>
      <c r="Q1598" s="8">
        <f t="shared" si="148"/>
        <v>-3.6757775683317568</v>
      </c>
      <c r="R1598" s="8">
        <f t="shared" si="149"/>
        <v>-3.6757775683317568</v>
      </c>
    </row>
    <row r="1599" spans="1:18" x14ac:dyDescent="0.25">
      <c r="A1599" s="7">
        <f t="shared" si="144"/>
        <v>320</v>
      </c>
      <c r="B1599" s="2">
        <v>45253</v>
      </c>
      <c r="C1599" s="3">
        <v>33.229999999999997</v>
      </c>
      <c r="D1599" s="3">
        <v>33.229999999999997</v>
      </c>
      <c r="E1599" s="3">
        <v>30.69</v>
      </c>
      <c r="F1599" s="3">
        <v>30.69</v>
      </c>
      <c r="G1599" s="3">
        <v>8063316</v>
      </c>
      <c r="H1599" s="8">
        <f t="shared" si="145"/>
        <v>-3.6757775683317568</v>
      </c>
      <c r="I1599">
        <f t="shared" si="146"/>
        <v>31.594000000000001</v>
      </c>
      <c r="J1599" s="6" cm="1">
        <f t="array" ref="J1599">_xlfn.STDEV.S(IF($A:$A=A1599, $F:$F))</f>
        <v>0.96960301154647777</v>
      </c>
      <c r="P1599" s="8">
        <f t="shared" si="147"/>
        <v>-3.6757775683317568</v>
      </c>
      <c r="Q1599" s="8">
        <f t="shared" si="148"/>
        <v>-3.6757775683317568</v>
      </c>
      <c r="R1599" s="8">
        <f t="shared" si="149"/>
        <v>-3.6757775683317568</v>
      </c>
    </row>
    <row r="1600" spans="1:18" x14ac:dyDescent="0.25">
      <c r="A1600" s="7">
        <f t="shared" si="144"/>
        <v>320</v>
      </c>
      <c r="B1600" s="2">
        <v>45254</v>
      </c>
      <c r="C1600" s="3">
        <v>30.96</v>
      </c>
      <c r="D1600" s="3">
        <v>31.79</v>
      </c>
      <c r="E1600" s="3">
        <v>29.9</v>
      </c>
      <c r="F1600" s="3">
        <v>31.79</v>
      </c>
      <c r="G1600" s="3">
        <v>8786946</v>
      </c>
      <c r="H1600" s="8">
        <f t="shared" si="145"/>
        <v>-3.6757775683317568</v>
      </c>
      <c r="I1600">
        <f t="shared" si="146"/>
        <v>31.594000000000001</v>
      </c>
      <c r="J1600" s="6" cm="1">
        <f t="array" ref="J1600">_xlfn.STDEV.S(IF($A:$A=A1600, $F:$F))</f>
        <v>0.96960301154647777</v>
      </c>
      <c r="P1600" s="8">
        <f t="shared" si="147"/>
        <v>-3.6757775683317568</v>
      </c>
      <c r="Q1600" s="8">
        <f t="shared" si="148"/>
        <v>-3.6757775683317568</v>
      </c>
      <c r="R1600" s="8">
        <f t="shared" si="149"/>
        <v>-3.6757775683317568</v>
      </c>
    </row>
    <row r="1601" spans="1:18" x14ac:dyDescent="0.25">
      <c r="A1601" s="7">
        <f t="shared" si="144"/>
        <v>320</v>
      </c>
      <c r="B1601" s="2">
        <v>45257</v>
      </c>
      <c r="C1601" s="3">
        <v>31.64</v>
      </c>
      <c r="D1601" s="3">
        <v>31.79</v>
      </c>
      <c r="E1601" s="3">
        <v>30.66</v>
      </c>
      <c r="F1601" s="3">
        <v>30.66</v>
      </c>
      <c r="G1601" s="3">
        <v>4356296</v>
      </c>
      <c r="H1601" s="8">
        <f t="shared" si="145"/>
        <v>-3.6757775683317568</v>
      </c>
      <c r="I1601">
        <f t="shared" si="146"/>
        <v>31.594000000000001</v>
      </c>
      <c r="J1601" s="6" cm="1">
        <f t="array" ref="J1601">_xlfn.STDEV.S(IF($A:$A=A1601, $F:$F))</f>
        <v>0.96960301154647777</v>
      </c>
      <c r="P1601" s="8">
        <f t="shared" si="147"/>
        <v>-3.6757775683317568</v>
      </c>
      <c r="Q1601" s="8">
        <f t="shared" si="148"/>
        <v>-3.6757775683317568</v>
      </c>
      <c r="R1601" s="8">
        <f t="shared" si="149"/>
        <v>-3.6757775683317568</v>
      </c>
    </row>
    <row r="1602" spans="1:18" x14ac:dyDescent="0.25">
      <c r="A1602" s="7">
        <f t="shared" si="144"/>
        <v>321</v>
      </c>
      <c r="B1602" s="2">
        <v>45258</v>
      </c>
      <c r="C1602" s="3">
        <v>30.66</v>
      </c>
      <c r="D1602" s="3">
        <v>30.96</v>
      </c>
      <c r="E1602" s="3">
        <v>29.86</v>
      </c>
      <c r="F1602" s="3">
        <v>30.77</v>
      </c>
      <c r="G1602" s="3">
        <v>6660763</v>
      </c>
      <c r="H1602" s="8">
        <f t="shared" si="145"/>
        <v>7.9948001299967419</v>
      </c>
      <c r="I1602">
        <f t="shared" si="146"/>
        <v>31.821999999999996</v>
      </c>
      <c r="J1602" s="6" cm="1">
        <f t="array" ref="J1602">_xlfn.STDEV.S(IF($A:$A=A1602, $F:$F))</f>
        <v>0.91080733418215198</v>
      </c>
      <c r="P1602" s="8">
        <f t="shared" si="147"/>
        <v>7.9948001299967419</v>
      </c>
      <c r="Q1602" s="8">
        <f t="shared" si="148"/>
        <v>7.9948001299967419</v>
      </c>
      <c r="R1602" s="8">
        <f t="shared" si="149"/>
        <v>7.9948001299967419</v>
      </c>
    </row>
    <row r="1603" spans="1:18" x14ac:dyDescent="0.25">
      <c r="A1603" s="7">
        <f t="shared" ref="A1603:A1666" si="150">INT((ROW(A1603)-ROW($A$2))/5) + 1</f>
        <v>321</v>
      </c>
      <c r="B1603" s="2">
        <v>45259</v>
      </c>
      <c r="C1603" s="3">
        <v>31</v>
      </c>
      <c r="D1603" s="3">
        <v>31.94</v>
      </c>
      <c r="E1603" s="3">
        <v>31</v>
      </c>
      <c r="F1603" s="3">
        <v>31.68</v>
      </c>
      <c r="G1603" s="3">
        <v>6364279</v>
      </c>
      <c r="H1603" s="8">
        <f t="shared" ref="H1603:H1666" si="151">IF(A1603=A1602, H1602, (F1607-F1603)/F1603*100)</f>
        <v>7.9948001299967419</v>
      </c>
      <c r="I1603">
        <f t="shared" ref="I1603:I1666" si="152">AVERAGEIF($A:$A, A1603, $F:$F)</f>
        <v>31.821999999999996</v>
      </c>
      <c r="J1603" s="6" cm="1">
        <f t="array" ref="J1603">_xlfn.STDEV.S(IF($A:$A=A1603, $F:$F))</f>
        <v>0.91080733418215198</v>
      </c>
      <c r="P1603" s="8">
        <f t="shared" ref="P1603:P1666" si="153">IF(A1603=A1602,P1602,(F1607-F1603)/F1603*100)</f>
        <v>7.9948001299967419</v>
      </c>
      <c r="Q1603" s="8">
        <f t="shared" ref="Q1603:Q1666" si="154">IF(A1603=A1602,Q1602,(F1607-F1603)/F1603*100)</f>
        <v>7.9948001299967419</v>
      </c>
      <c r="R1603" s="8">
        <f t="shared" ref="R1603:R1666" si="155">IF(A1603=A1602,R1602,(F1607-F1603)/F1603*100)</f>
        <v>7.9948001299967419</v>
      </c>
    </row>
    <row r="1604" spans="1:18" x14ac:dyDescent="0.25">
      <c r="A1604" s="7">
        <f t="shared" si="150"/>
        <v>321</v>
      </c>
      <c r="B1604" s="2">
        <v>45260</v>
      </c>
      <c r="C1604" s="3">
        <v>31.68</v>
      </c>
      <c r="D1604" s="3">
        <v>32.17</v>
      </c>
      <c r="E1604" s="3">
        <v>31.41</v>
      </c>
      <c r="F1604" s="3">
        <v>31.41</v>
      </c>
      <c r="G1604" s="3">
        <v>6096405</v>
      </c>
      <c r="H1604" s="8">
        <f t="shared" si="151"/>
        <v>7.9948001299967419</v>
      </c>
      <c r="I1604">
        <f t="shared" si="152"/>
        <v>31.821999999999996</v>
      </c>
      <c r="J1604" s="6" cm="1">
        <f t="array" ref="J1604">_xlfn.STDEV.S(IF($A:$A=A1604, $F:$F))</f>
        <v>0.91080733418215198</v>
      </c>
      <c r="P1604" s="8">
        <f t="shared" si="153"/>
        <v>7.9948001299967419</v>
      </c>
      <c r="Q1604" s="8">
        <f t="shared" si="154"/>
        <v>7.9948001299967419</v>
      </c>
      <c r="R1604" s="8">
        <f t="shared" si="155"/>
        <v>7.9948001299967419</v>
      </c>
    </row>
    <row r="1605" spans="1:18" x14ac:dyDescent="0.25">
      <c r="A1605" s="7">
        <f t="shared" si="150"/>
        <v>321</v>
      </c>
      <c r="B1605" s="2">
        <v>45261</v>
      </c>
      <c r="C1605" s="3">
        <v>31.72</v>
      </c>
      <c r="D1605" s="3">
        <v>32.130000000000003</v>
      </c>
      <c r="E1605" s="3">
        <v>30.88</v>
      </c>
      <c r="F1605" s="3">
        <v>32.020000000000003</v>
      </c>
      <c r="G1605" s="3">
        <v>6036677</v>
      </c>
      <c r="H1605" s="8">
        <f t="shared" si="151"/>
        <v>7.9948001299967419</v>
      </c>
      <c r="I1605">
        <f t="shared" si="152"/>
        <v>31.821999999999996</v>
      </c>
      <c r="J1605" s="6" cm="1">
        <f t="array" ref="J1605">_xlfn.STDEV.S(IF($A:$A=A1605, $F:$F))</f>
        <v>0.91080733418215198</v>
      </c>
      <c r="P1605" s="8">
        <f t="shared" si="153"/>
        <v>7.9948001299967419</v>
      </c>
      <c r="Q1605" s="8">
        <f t="shared" si="154"/>
        <v>7.9948001299967419</v>
      </c>
      <c r="R1605" s="8">
        <f t="shared" si="155"/>
        <v>7.9948001299967419</v>
      </c>
    </row>
    <row r="1606" spans="1:18" x14ac:dyDescent="0.25">
      <c r="A1606" s="7">
        <f t="shared" si="150"/>
        <v>321</v>
      </c>
      <c r="B1606" s="2">
        <v>45264</v>
      </c>
      <c r="C1606" s="3">
        <v>32.78</v>
      </c>
      <c r="D1606" s="3">
        <v>33.869999999999997</v>
      </c>
      <c r="E1606" s="3">
        <v>32.549999999999997</v>
      </c>
      <c r="F1606" s="3">
        <v>33.229999999999997</v>
      </c>
      <c r="G1606" s="3">
        <v>10817673</v>
      </c>
      <c r="H1606" s="8">
        <f t="shared" si="151"/>
        <v>7.9948001299967419</v>
      </c>
      <c r="I1606">
        <f t="shared" si="152"/>
        <v>31.821999999999996</v>
      </c>
      <c r="J1606" s="6" cm="1">
        <f t="array" ref="J1606">_xlfn.STDEV.S(IF($A:$A=A1606, $F:$F))</f>
        <v>0.91080733418215198</v>
      </c>
      <c r="P1606" s="8">
        <f t="shared" si="153"/>
        <v>7.9948001299967419</v>
      </c>
      <c r="Q1606" s="8">
        <f t="shared" si="154"/>
        <v>7.9948001299967419</v>
      </c>
      <c r="R1606" s="8">
        <f t="shared" si="155"/>
        <v>7.9948001299967419</v>
      </c>
    </row>
    <row r="1607" spans="1:18" x14ac:dyDescent="0.25">
      <c r="A1607" s="7">
        <f t="shared" si="150"/>
        <v>322</v>
      </c>
      <c r="B1607" s="2">
        <v>45265</v>
      </c>
      <c r="C1607" s="3">
        <v>33.229999999999997</v>
      </c>
      <c r="D1607" s="3">
        <v>33.31</v>
      </c>
      <c r="E1607" s="3">
        <v>32.81</v>
      </c>
      <c r="F1607" s="3">
        <v>33</v>
      </c>
      <c r="G1607" s="3">
        <v>6774013</v>
      </c>
      <c r="H1607" s="8">
        <f t="shared" si="151"/>
        <v>-2.7575757575757471</v>
      </c>
      <c r="I1607">
        <f t="shared" si="152"/>
        <v>32.442</v>
      </c>
      <c r="J1607" s="6" cm="1">
        <f t="array" ref="J1607">_xlfn.STDEV.S(IF($A:$A=A1607, $F:$F))</f>
        <v>0.69026806387084139</v>
      </c>
      <c r="P1607" s="8">
        <f t="shared" si="153"/>
        <v>-2.7575757575757471</v>
      </c>
      <c r="Q1607" s="8">
        <f t="shared" si="154"/>
        <v>-2.7575757575757471</v>
      </c>
      <c r="R1607" s="8">
        <f t="shared" si="155"/>
        <v>-2.7575757575757471</v>
      </c>
    </row>
    <row r="1608" spans="1:18" x14ac:dyDescent="0.25">
      <c r="A1608" s="7">
        <f t="shared" si="150"/>
        <v>322</v>
      </c>
      <c r="B1608" s="2">
        <v>45266</v>
      </c>
      <c r="C1608" s="3">
        <v>33.04</v>
      </c>
      <c r="D1608" s="3">
        <v>33.380000000000003</v>
      </c>
      <c r="E1608" s="3">
        <v>32.81</v>
      </c>
      <c r="F1608" s="3">
        <v>33.31</v>
      </c>
      <c r="G1608" s="3">
        <v>5514946</v>
      </c>
      <c r="H1608" s="8">
        <f t="shared" si="151"/>
        <v>-2.7575757575757471</v>
      </c>
      <c r="I1608">
        <f t="shared" si="152"/>
        <v>32.442</v>
      </c>
      <c r="J1608" s="6" cm="1">
        <f t="array" ref="J1608">_xlfn.STDEV.S(IF($A:$A=A1608, $F:$F))</f>
        <v>0.69026806387084139</v>
      </c>
      <c r="P1608" s="8">
        <f t="shared" si="153"/>
        <v>-2.7575757575757471</v>
      </c>
      <c r="Q1608" s="8">
        <f t="shared" si="154"/>
        <v>-2.7575757575757471</v>
      </c>
      <c r="R1608" s="8">
        <f t="shared" si="155"/>
        <v>-2.7575757575757471</v>
      </c>
    </row>
    <row r="1609" spans="1:18" x14ac:dyDescent="0.25">
      <c r="A1609" s="7">
        <f t="shared" si="150"/>
        <v>322</v>
      </c>
      <c r="B1609" s="2">
        <v>45267</v>
      </c>
      <c r="C1609" s="3">
        <v>33.08</v>
      </c>
      <c r="D1609" s="3">
        <v>33.31</v>
      </c>
      <c r="E1609" s="3">
        <v>31.45</v>
      </c>
      <c r="F1609" s="3">
        <v>32.17</v>
      </c>
      <c r="G1609" s="3">
        <v>14875804</v>
      </c>
      <c r="H1609" s="8">
        <f t="shared" si="151"/>
        <v>-2.7575757575757471</v>
      </c>
      <c r="I1609">
        <f t="shared" si="152"/>
        <v>32.442</v>
      </c>
      <c r="J1609" s="6" cm="1">
        <f t="array" ref="J1609">_xlfn.STDEV.S(IF($A:$A=A1609, $F:$F))</f>
        <v>0.69026806387084139</v>
      </c>
      <c r="P1609" s="8">
        <f t="shared" si="153"/>
        <v>-2.7575757575757471</v>
      </c>
      <c r="Q1609" s="8">
        <f t="shared" si="154"/>
        <v>-2.7575757575757471</v>
      </c>
      <c r="R1609" s="8">
        <f t="shared" si="155"/>
        <v>-2.7575757575757471</v>
      </c>
    </row>
    <row r="1610" spans="1:18" x14ac:dyDescent="0.25">
      <c r="A1610" s="7">
        <f t="shared" si="150"/>
        <v>322</v>
      </c>
      <c r="B1610" s="2">
        <v>45268</v>
      </c>
      <c r="C1610" s="3">
        <v>32.17</v>
      </c>
      <c r="D1610" s="3">
        <v>32.32</v>
      </c>
      <c r="E1610" s="3">
        <v>31.41</v>
      </c>
      <c r="F1610" s="3">
        <v>31.64</v>
      </c>
      <c r="G1610" s="3">
        <v>4739061</v>
      </c>
      <c r="H1610" s="8">
        <f t="shared" si="151"/>
        <v>-2.7575757575757471</v>
      </c>
      <c r="I1610">
        <f t="shared" si="152"/>
        <v>32.442</v>
      </c>
      <c r="J1610" s="6" cm="1">
        <f t="array" ref="J1610">_xlfn.STDEV.S(IF($A:$A=A1610, $F:$F))</f>
        <v>0.69026806387084139</v>
      </c>
      <c r="P1610" s="8">
        <f t="shared" si="153"/>
        <v>-2.7575757575757471</v>
      </c>
      <c r="Q1610" s="8">
        <f t="shared" si="154"/>
        <v>-2.7575757575757471</v>
      </c>
      <c r="R1610" s="8">
        <f t="shared" si="155"/>
        <v>-2.7575757575757471</v>
      </c>
    </row>
    <row r="1611" spans="1:18" x14ac:dyDescent="0.25">
      <c r="A1611" s="7">
        <f t="shared" si="150"/>
        <v>322</v>
      </c>
      <c r="B1611" s="2">
        <v>45271</v>
      </c>
      <c r="C1611" s="3">
        <v>31.64</v>
      </c>
      <c r="D1611" s="3">
        <v>32.17</v>
      </c>
      <c r="E1611" s="3">
        <v>31.11</v>
      </c>
      <c r="F1611" s="3">
        <v>32.090000000000003</v>
      </c>
      <c r="G1611" s="3">
        <v>4640122</v>
      </c>
      <c r="H1611" s="8">
        <f t="shared" si="151"/>
        <v>-2.7575757575757471</v>
      </c>
      <c r="I1611">
        <f t="shared" si="152"/>
        <v>32.442</v>
      </c>
      <c r="J1611" s="6" cm="1">
        <f t="array" ref="J1611">_xlfn.STDEV.S(IF($A:$A=A1611, $F:$F))</f>
        <v>0.69026806387084139</v>
      </c>
      <c r="P1611" s="8">
        <f t="shared" si="153"/>
        <v>-2.7575757575757471</v>
      </c>
      <c r="Q1611" s="8">
        <f t="shared" si="154"/>
        <v>-2.7575757575757471</v>
      </c>
      <c r="R1611" s="8">
        <f t="shared" si="155"/>
        <v>-2.7575757575757471</v>
      </c>
    </row>
    <row r="1612" spans="1:18" x14ac:dyDescent="0.25">
      <c r="A1612" s="7">
        <f t="shared" si="150"/>
        <v>323</v>
      </c>
      <c r="B1612" s="2">
        <v>45272</v>
      </c>
      <c r="C1612" s="3">
        <v>32.25</v>
      </c>
      <c r="D1612" s="3">
        <v>32.25</v>
      </c>
      <c r="E1612" s="3">
        <v>31.64</v>
      </c>
      <c r="F1612" s="3">
        <v>31.75</v>
      </c>
      <c r="G1612" s="3">
        <v>2585395</v>
      </c>
      <c r="H1612" s="8">
        <f t="shared" si="151"/>
        <v>-2.3622047244094486</v>
      </c>
      <c r="I1612">
        <f t="shared" si="152"/>
        <v>31.006</v>
      </c>
      <c r="J1612" s="6" cm="1">
        <f t="array" ref="J1612">_xlfn.STDEV.S(IF($A:$A=A1612, $F:$F))</f>
        <v>0.44584750756284364</v>
      </c>
      <c r="P1612" s="8">
        <f t="shared" si="153"/>
        <v>-2.3622047244094486</v>
      </c>
      <c r="Q1612" s="8">
        <f t="shared" si="154"/>
        <v>-2.3622047244094486</v>
      </c>
      <c r="R1612" s="8">
        <f t="shared" si="155"/>
        <v>-2.3622047244094486</v>
      </c>
    </row>
    <row r="1613" spans="1:18" x14ac:dyDescent="0.25">
      <c r="A1613" s="7">
        <f t="shared" si="150"/>
        <v>323</v>
      </c>
      <c r="B1613" s="2">
        <v>45273</v>
      </c>
      <c r="C1613" s="3">
        <v>32.020000000000003</v>
      </c>
      <c r="D1613" s="3">
        <v>32.130000000000003</v>
      </c>
      <c r="E1613" s="3">
        <v>30.92</v>
      </c>
      <c r="F1613" s="3">
        <v>30.96</v>
      </c>
      <c r="G1613" s="3">
        <v>5250501</v>
      </c>
      <c r="H1613" s="8">
        <f t="shared" si="151"/>
        <v>-2.3622047244094486</v>
      </c>
      <c r="I1613">
        <f t="shared" si="152"/>
        <v>31.006</v>
      </c>
      <c r="J1613" s="6" cm="1">
        <f t="array" ref="J1613">_xlfn.STDEV.S(IF($A:$A=A1613, $F:$F))</f>
        <v>0.44584750756284364</v>
      </c>
      <c r="P1613" s="8">
        <f t="shared" si="153"/>
        <v>-2.3622047244094486</v>
      </c>
      <c r="Q1613" s="8">
        <f t="shared" si="154"/>
        <v>-2.3622047244094486</v>
      </c>
      <c r="R1613" s="8">
        <f t="shared" si="155"/>
        <v>-2.3622047244094486</v>
      </c>
    </row>
    <row r="1614" spans="1:18" x14ac:dyDescent="0.25">
      <c r="A1614" s="7">
        <f t="shared" si="150"/>
        <v>323</v>
      </c>
      <c r="B1614" s="2">
        <v>45274</v>
      </c>
      <c r="C1614" s="3">
        <v>31.22</v>
      </c>
      <c r="D1614" s="3">
        <v>31.41</v>
      </c>
      <c r="E1614" s="3">
        <v>30.66</v>
      </c>
      <c r="F1614" s="3">
        <v>30.66</v>
      </c>
      <c r="G1614" s="3">
        <v>5330377</v>
      </c>
      <c r="H1614" s="8">
        <f t="shared" si="151"/>
        <v>-2.3622047244094486</v>
      </c>
      <c r="I1614">
        <f t="shared" si="152"/>
        <v>31.006</v>
      </c>
      <c r="J1614" s="6" cm="1">
        <f t="array" ref="J1614">_xlfn.STDEV.S(IF($A:$A=A1614, $F:$F))</f>
        <v>0.44584750756284364</v>
      </c>
      <c r="P1614" s="8">
        <f t="shared" si="153"/>
        <v>-2.3622047244094486</v>
      </c>
      <c r="Q1614" s="8">
        <f t="shared" si="154"/>
        <v>-2.3622047244094486</v>
      </c>
      <c r="R1614" s="8">
        <f t="shared" si="155"/>
        <v>-2.3622047244094486</v>
      </c>
    </row>
    <row r="1615" spans="1:18" x14ac:dyDescent="0.25">
      <c r="A1615" s="7">
        <f t="shared" si="150"/>
        <v>323</v>
      </c>
      <c r="B1615" s="2">
        <v>45275</v>
      </c>
      <c r="C1615" s="3">
        <v>30.73</v>
      </c>
      <c r="D1615" s="3">
        <v>31.45</v>
      </c>
      <c r="E1615" s="3">
        <v>30.66</v>
      </c>
      <c r="F1615" s="3">
        <v>30.66</v>
      </c>
      <c r="G1615" s="3">
        <v>4712947</v>
      </c>
      <c r="H1615" s="8">
        <f t="shared" si="151"/>
        <v>-2.3622047244094486</v>
      </c>
      <c r="I1615">
        <f t="shared" si="152"/>
        <v>31.006</v>
      </c>
      <c r="J1615" s="6" cm="1">
        <f t="array" ref="J1615">_xlfn.STDEV.S(IF($A:$A=A1615, $F:$F))</f>
        <v>0.44584750756284364</v>
      </c>
      <c r="P1615" s="8">
        <f t="shared" si="153"/>
        <v>-2.3622047244094486</v>
      </c>
      <c r="Q1615" s="8">
        <f t="shared" si="154"/>
        <v>-2.3622047244094486</v>
      </c>
      <c r="R1615" s="8">
        <f t="shared" si="155"/>
        <v>-2.3622047244094486</v>
      </c>
    </row>
    <row r="1616" spans="1:18" x14ac:dyDescent="0.25">
      <c r="A1616" s="7">
        <f t="shared" si="150"/>
        <v>323</v>
      </c>
      <c r="B1616" s="2">
        <v>45278</v>
      </c>
      <c r="C1616" s="3">
        <v>31</v>
      </c>
      <c r="D1616" s="3">
        <v>31.38</v>
      </c>
      <c r="E1616" s="3">
        <v>30.73</v>
      </c>
      <c r="F1616" s="3">
        <v>31</v>
      </c>
      <c r="G1616" s="3">
        <v>3033208</v>
      </c>
      <c r="H1616" s="8">
        <f t="shared" si="151"/>
        <v>-2.3622047244094486</v>
      </c>
      <c r="I1616">
        <f t="shared" si="152"/>
        <v>31.006</v>
      </c>
      <c r="J1616" s="6" cm="1">
        <f t="array" ref="J1616">_xlfn.STDEV.S(IF($A:$A=A1616, $F:$F))</f>
        <v>0.44584750756284364</v>
      </c>
      <c r="P1616" s="8">
        <f t="shared" si="153"/>
        <v>-2.3622047244094486</v>
      </c>
      <c r="Q1616" s="8">
        <f t="shared" si="154"/>
        <v>-2.3622047244094486</v>
      </c>
      <c r="R1616" s="8">
        <f t="shared" si="155"/>
        <v>-2.3622047244094486</v>
      </c>
    </row>
    <row r="1617" spans="1:18" x14ac:dyDescent="0.25">
      <c r="A1617" s="7">
        <f t="shared" si="150"/>
        <v>324</v>
      </c>
      <c r="B1617" s="2">
        <v>45279</v>
      </c>
      <c r="C1617" s="3">
        <v>31</v>
      </c>
      <c r="D1617" s="3">
        <v>31.34</v>
      </c>
      <c r="E1617" s="3">
        <v>30.66</v>
      </c>
      <c r="F1617" s="3">
        <v>31.3</v>
      </c>
      <c r="G1617" s="3">
        <v>3599718</v>
      </c>
      <c r="H1617" s="8">
        <f t="shared" si="151"/>
        <v>-0.25559105431310497</v>
      </c>
      <c r="I1617">
        <f t="shared" si="152"/>
        <v>31.26</v>
      </c>
      <c r="J1617" s="6" cm="1">
        <f t="array" ref="J1617">_xlfn.STDEV.S(IF($A:$A=A1617, $F:$F))</f>
        <v>0.14577379737113219</v>
      </c>
      <c r="P1617" s="8">
        <f t="shared" si="153"/>
        <v>-0.25559105431310497</v>
      </c>
      <c r="Q1617" s="8">
        <f t="shared" si="154"/>
        <v>-0.25559105431310497</v>
      </c>
      <c r="R1617" s="8">
        <f t="shared" si="155"/>
        <v>-0.25559105431310497</v>
      </c>
    </row>
    <row r="1618" spans="1:18" x14ac:dyDescent="0.25">
      <c r="A1618" s="7">
        <f t="shared" si="150"/>
        <v>324</v>
      </c>
      <c r="B1618" s="2">
        <v>45280</v>
      </c>
      <c r="C1618" s="3">
        <v>31.49</v>
      </c>
      <c r="D1618" s="3">
        <v>31.72</v>
      </c>
      <c r="E1618" s="3">
        <v>31.15</v>
      </c>
      <c r="F1618" s="3">
        <v>31.41</v>
      </c>
      <c r="G1618" s="3">
        <v>3232787</v>
      </c>
      <c r="H1618" s="8">
        <f t="shared" si="151"/>
        <v>-0.25559105431310497</v>
      </c>
      <c r="I1618">
        <f t="shared" si="152"/>
        <v>31.26</v>
      </c>
      <c r="J1618" s="6" cm="1">
        <f t="array" ref="J1618">_xlfn.STDEV.S(IF($A:$A=A1618, $F:$F))</f>
        <v>0.14577379737113219</v>
      </c>
      <c r="P1618" s="8">
        <f t="shared" si="153"/>
        <v>-0.25559105431310497</v>
      </c>
      <c r="Q1618" s="8">
        <f t="shared" si="154"/>
        <v>-0.25559105431310497</v>
      </c>
      <c r="R1618" s="8">
        <f t="shared" si="155"/>
        <v>-0.25559105431310497</v>
      </c>
    </row>
    <row r="1619" spans="1:18" x14ac:dyDescent="0.25">
      <c r="A1619" s="7">
        <f t="shared" si="150"/>
        <v>324</v>
      </c>
      <c r="B1619" s="2">
        <v>45281</v>
      </c>
      <c r="C1619" s="3">
        <v>31.3</v>
      </c>
      <c r="D1619" s="3">
        <v>31.41</v>
      </c>
      <c r="E1619" s="3">
        <v>31.07</v>
      </c>
      <c r="F1619" s="3">
        <v>31.34</v>
      </c>
      <c r="G1619" s="3">
        <v>2186131</v>
      </c>
      <c r="H1619" s="8">
        <f t="shared" si="151"/>
        <v>-0.25559105431310497</v>
      </c>
      <c r="I1619">
        <f t="shared" si="152"/>
        <v>31.26</v>
      </c>
      <c r="J1619" s="6" cm="1">
        <f t="array" ref="J1619">_xlfn.STDEV.S(IF($A:$A=A1619, $F:$F))</f>
        <v>0.14577379737113219</v>
      </c>
      <c r="P1619" s="8">
        <f t="shared" si="153"/>
        <v>-0.25559105431310497</v>
      </c>
      <c r="Q1619" s="8">
        <f t="shared" si="154"/>
        <v>-0.25559105431310497</v>
      </c>
      <c r="R1619" s="8">
        <f t="shared" si="155"/>
        <v>-0.25559105431310497</v>
      </c>
    </row>
    <row r="1620" spans="1:18" x14ac:dyDescent="0.25">
      <c r="A1620" s="7">
        <f t="shared" si="150"/>
        <v>324</v>
      </c>
      <c r="B1620" s="2">
        <v>45282</v>
      </c>
      <c r="C1620" s="3">
        <v>31.49</v>
      </c>
      <c r="D1620" s="3">
        <v>31.75</v>
      </c>
      <c r="E1620" s="3">
        <v>30.73</v>
      </c>
      <c r="F1620" s="3">
        <v>31.03</v>
      </c>
      <c r="G1620" s="3">
        <v>3455288</v>
      </c>
      <c r="H1620" s="8">
        <f t="shared" si="151"/>
        <v>-0.25559105431310497</v>
      </c>
      <c r="I1620">
        <f t="shared" si="152"/>
        <v>31.26</v>
      </c>
      <c r="J1620" s="6" cm="1">
        <f t="array" ref="J1620">_xlfn.STDEV.S(IF($A:$A=A1620, $F:$F))</f>
        <v>0.14577379737113219</v>
      </c>
      <c r="P1620" s="8">
        <f t="shared" si="153"/>
        <v>-0.25559105431310497</v>
      </c>
      <c r="Q1620" s="8">
        <f t="shared" si="154"/>
        <v>-0.25559105431310497</v>
      </c>
      <c r="R1620" s="8">
        <f t="shared" si="155"/>
        <v>-0.25559105431310497</v>
      </c>
    </row>
    <row r="1621" spans="1:18" x14ac:dyDescent="0.25">
      <c r="A1621" s="7">
        <f t="shared" si="150"/>
        <v>324</v>
      </c>
      <c r="B1621" s="2">
        <v>45285</v>
      </c>
      <c r="C1621" s="3">
        <v>31.11</v>
      </c>
      <c r="D1621" s="3">
        <v>31.49</v>
      </c>
      <c r="E1621" s="3">
        <v>30.73</v>
      </c>
      <c r="F1621" s="3">
        <v>31.22</v>
      </c>
      <c r="G1621" s="3">
        <v>2969991</v>
      </c>
      <c r="H1621" s="8">
        <f t="shared" si="151"/>
        <v>-0.25559105431310497</v>
      </c>
      <c r="I1621">
        <f t="shared" si="152"/>
        <v>31.26</v>
      </c>
      <c r="J1621" s="6" cm="1">
        <f t="array" ref="J1621">_xlfn.STDEV.S(IF($A:$A=A1621, $F:$F))</f>
        <v>0.14577379737113219</v>
      </c>
      <c r="P1621" s="8">
        <f t="shared" si="153"/>
        <v>-0.25559105431310497</v>
      </c>
      <c r="Q1621" s="8">
        <f t="shared" si="154"/>
        <v>-0.25559105431310497</v>
      </c>
      <c r="R1621" s="8">
        <f t="shared" si="155"/>
        <v>-0.25559105431310497</v>
      </c>
    </row>
    <row r="1622" spans="1:18" x14ac:dyDescent="0.25">
      <c r="A1622" s="7">
        <f t="shared" si="150"/>
        <v>325</v>
      </c>
      <c r="B1622" s="2">
        <v>45286</v>
      </c>
      <c r="C1622" s="3">
        <v>31.49</v>
      </c>
      <c r="D1622" s="3">
        <v>31.91</v>
      </c>
      <c r="E1622" s="3">
        <v>31.3</v>
      </c>
      <c r="F1622" s="3">
        <v>31.79</v>
      </c>
      <c r="G1622" s="3">
        <v>5329908</v>
      </c>
      <c r="H1622" s="8">
        <f t="shared" si="151"/>
        <v>0.72349795533187788</v>
      </c>
      <c r="I1622">
        <f t="shared" si="152"/>
        <v>32.064000000000007</v>
      </c>
      <c r="J1622" s="6" cm="1">
        <f t="array" ref="J1622">_xlfn.STDEV.S(IF($A:$A=A1622, $F:$F))</f>
        <v>0.26688949023893804</v>
      </c>
      <c r="P1622" s="8">
        <f t="shared" si="153"/>
        <v>0.72349795533187788</v>
      </c>
      <c r="Q1622" s="8">
        <f t="shared" si="154"/>
        <v>0.72349795533187788</v>
      </c>
      <c r="R1622" s="8">
        <f t="shared" si="155"/>
        <v>0.72349795533187788</v>
      </c>
    </row>
    <row r="1623" spans="1:18" x14ac:dyDescent="0.25">
      <c r="A1623" s="7">
        <f t="shared" si="150"/>
        <v>325</v>
      </c>
      <c r="B1623" s="2">
        <v>45287</v>
      </c>
      <c r="C1623" s="3">
        <v>32.020000000000003</v>
      </c>
      <c r="D1623" s="3">
        <v>32.32</v>
      </c>
      <c r="E1623" s="3">
        <v>31.83</v>
      </c>
      <c r="F1623" s="3">
        <v>31.83</v>
      </c>
      <c r="G1623" s="3">
        <v>4798443</v>
      </c>
      <c r="H1623" s="8">
        <f t="shared" si="151"/>
        <v>0.72349795533187788</v>
      </c>
      <c r="I1623">
        <f t="shared" si="152"/>
        <v>32.064000000000007</v>
      </c>
      <c r="J1623" s="6" cm="1">
        <f t="array" ref="J1623">_xlfn.STDEV.S(IF($A:$A=A1623, $F:$F))</f>
        <v>0.26688949023893804</v>
      </c>
      <c r="P1623" s="8">
        <f t="shared" si="153"/>
        <v>0.72349795533187788</v>
      </c>
      <c r="Q1623" s="8">
        <f t="shared" si="154"/>
        <v>0.72349795533187788</v>
      </c>
      <c r="R1623" s="8">
        <f t="shared" si="155"/>
        <v>0.72349795533187788</v>
      </c>
    </row>
    <row r="1624" spans="1:18" x14ac:dyDescent="0.25">
      <c r="A1624" s="7">
        <f t="shared" si="150"/>
        <v>325</v>
      </c>
      <c r="B1624" s="2">
        <v>45288</v>
      </c>
      <c r="C1624" s="3">
        <v>32.06</v>
      </c>
      <c r="D1624" s="3">
        <v>32.549999999999997</v>
      </c>
      <c r="E1624" s="3">
        <v>31.79</v>
      </c>
      <c r="F1624" s="3">
        <v>32.32</v>
      </c>
      <c r="G1624" s="3">
        <v>6585957</v>
      </c>
      <c r="H1624" s="8">
        <f t="shared" si="151"/>
        <v>0.72349795533187788</v>
      </c>
      <c r="I1624">
        <f t="shared" si="152"/>
        <v>32.064000000000007</v>
      </c>
      <c r="J1624" s="6" cm="1">
        <f t="array" ref="J1624">_xlfn.STDEV.S(IF($A:$A=A1624, $F:$F))</f>
        <v>0.26688949023893804</v>
      </c>
      <c r="P1624" s="8">
        <f t="shared" si="153"/>
        <v>0.72349795533187788</v>
      </c>
      <c r="Q1624" s="8">
        <f t="shared" si="154"/>
        <v>0.72349795533187788</v>
      </c>
      <c r="R1624" s="8">
        <f t="shared" si="155"/>
        <v>0.72349795533187788</v>
      </c>
    </row>
    <row r="1625" spans="1:18" x14ac:dyDescent="0.25">
      <c r="A1625" s="7">
        <f t="shared" si="150"/>
        <v>325</v>
      </c>
      <c r="B1625" s="2">
        <v>45289</v>
      </c>
      <c r="C1625" s="3">
        <v>32.4</v>
      </c>
      <c r="D1625" s="3">
        <v>32.47</v>
      </c>
      <c r="E1625" s="3">
        <v>32.17</v>
      </c>
      <c r="F1625" s="3">
        <v>32.36</v>
      </c>
      <c r="G1625" s="3">
        <v>3834141</v>
      </c>
      <c r="H1625" s="8">
        <f t="shared" si="151"/>
        <v>0.72349795533187788</v>
      </c>
      <c r="I1625">
        <f t="shared" si="152"/>
        <v>32.064000000000007</v>
      </c>
      <c r="J1625" s="6" cm="1">
        <f t="array" ref="J1625">_xlfn.STDEV.S(IF($A:$A=A1625, $F:$F))</f>
        <v>0.26688949023893804</v>
      </c>
      <c r="P1625" s="8">
        <f t="shared" si="153"/>
        <v>0.72349795533187788</v>
      </c>
      <c r="Q1625" s="8">
        <f t="shared" si="154"/>
        <v>0.72349795533187788</v>
      </c>
      <c r="R1625" s="8">
        <f t="shared" si="155"/>
        <v>0.72349795533187788</v>
      </c>
    </row>
    <row r="1626" spans="1:18" x14ac:dyDescent="0.25">
      <c r="A1626" s="7">
        <f t="shared" si="150"/>
        <v>325</v>
      </c>
      <c r="B1626" s="2">
        <v>45293</v>
      </c>
      <c r="C1626" s="3">
        <v>32.549999999999997</v>
      </c>
      <c r="D1626" s="3">
        <v>32.549999999999997</v>
      </c>
      <c r="E1626" s="3">
        <v>31.83</v>
      </c>
      <c r="F1626" s="3">
        <v>32.020000000000003</v>
      </c>
      <c r="G1626" s="3">
        <v>7175876</v>
      </c>
      <c r="H1626" s="8">
        <f t="shared" si="151"/>
        <v>0.72349795533187788</v>
      </c>
      <c r="I1626">
        <f t="shared" si="152"/>
        <v>32.064000000000007</v>
      </c>
      <c r="J1626" s="6" cm="1">
        <f t="array" ref="J1626">_xlfn.STDEV.S(IF($A:$A=A1626, $F:$F))</f>
        <v>0.26688949023893804</v>
      </c>
      <c r="P1626" s="8">
        <f t="shared" si="153"/>
        <v>0.72349795533187788</v>
      </c>
      <c r="Q1626" s="8">
        <f t="shared" si="154"/>
        <v>0.72349795533187788</v>
      </c>
      <c r="R1626" s="8">
        <f t="shared" si="155"/>
        <v>0.72349795533187788</v>
      </c>
    </row>
    <row r="1627" spans="1:18" x14ac:dyDescent="0.25">
      <c r="A1627" s="7">
        <f t="shared" si="150"/>
        <v>326</v>
      </c>
      <c r="B1627" s="2">
        <v>45294</v>
      </c>
      <c r="C1627" s="3">
        <v>31.94</v>
      </c>
      <c r="D1627" s="3">
        <v>32.32</v>
      </c>
      <c r="E1627" s="3">
        <v>31.64</v>
      </c>
      <c r="F1627" s="3">
        <v>32.32</v>
      </c>
      <c r="G1627" s="3">
        <v>3332592</v>
      </c>
      <c r="H1627" s="8">
        <f t="shared" si="151"/>
        <v>0</v>
      </c>
      <c r="I1627">
        <f t="shared" si="152"/>
        <v>32.251999999999995</v>
      </c>
      <c r="J1627" s="6" cm="1">
        <f t="array" ref="J1627">_xlfn.STDEV.S(IF($A:$A=A1627, $F:$F))</f>
        <v>9.4180677423767789E-2</v>
      </c>
      <c r="P1627" s="8">
        <f t="shared" si="153"/>
        <v>0</v>
      </c>
      <c r="Q1627" s="8">
        <f t="shared" si="154"/>
        <v>0</v>
      </c>
      <c r="R1627" s="8">
        <f t="shared" si="155"/>
        <v>0</v>
      </c>
    </row>
    <row r="1628" spans="1:18" x14ac:dyDescent="0.25">
      <c r="A1628" s="7">
        <f t="shared" si="150"/>
        <v>326</v>
      </c>
      <c r="B1628" s="2">
        <v>45295</v>
      </c>
      <c r="C1628" s="3">
        <v>32.4</v>
      </c>
      <c r="D1628" s="3">
        <v>33.04</v>
      </c>
      <c r="E1628" s="3">
        <v>32.130000000000003</v>
      </c>
      <c r="F1628" s="3">
        <v>32.130000000000003</v>
      </c>
      <c r="G1628" s="3">
        <v>9110211</v>
      </c>
      <c r="H1628" s="8">
        <f t="shared" si="151"/>
        <v>0</v>
      </c>
      <c r="I1628">
        <f t="shared" si="152"/>
        <v>32.251999999999995</v>
      </c>
      <c r="J1628" s="6" cm="1">
        <f t="array" ref="J1628">_xlfn.STDEV.S(IF($A:$A=A1628, $F:$F))</f>
        <v>9.4180677423767789E-2</v>
      </c>
      <c r="P1628" s="8">
        <f t="shared" si="153"/>
        <v>0</v>
      </c>
      <c r="Q1628" s="8">
        <f t="shared" si="154"/>
        <v>0</v>
      </c>
      <c r="R1628" s="8">
        <f t="shared" si="155"/>
        <v>0</v>
      </c>
    </row>
    <row r="1629" spans="1:18" x14ac:dyDescent="0.25">
      <c r="A1629" s="7">
        <f t="shared" si="150"/>
        <v>326</v>
      </c>
      <c r="B1629" s="2">
        <v>45296</v>
      </c>
      <c r="C1629" s="3">
        <v>32.25</v>
      </c>
      <c r="D1629" s="3">
        <v>32.32</v>
      </c>
      <c r="E1629" s="3">
        <v>31.91</v>
      </c>
      <c r="F1629" s="3">
        <v>32.17</v>
      </c>
      <c r="G1629" s="3">
        <v>3825239</v>
      </c>
      <c r="H1629" s="8">
        <f t="shared" si="151"/>
        <v>0</v>
      </c>
      <c r="I1629">
        <f t="shared" si="152"/>
        <v>32.251999999999995</v>
      </c>
      <c r="J1629" s="6" cm="1">
        <f t="array" ref="J1629">_xlfn.STDEV.S(IF($A:$A=A1629, $F:$F))</f>
        <v>9.4180677423767789E-2</v>
      </c>
      <c r="P1629" s="8">
        <f t="shared" si="153"/>
        <v>0</v>
      </c>
      <c r="Q1629" s="8">
        <f t="shared" si="154"/>
        <v>0</v>
      </c>
      <c r="R1629" s="8">
        <f t="shared" si="155"/>
        <v>0</v>
      </c>
    </row>
    <row r="1630" spans="1:18" x14ac:dyDescent="0.25">
      <c r="A1630" s="7">
        <f t="shared" si="150"/>
        <v>326</v>
      </c>
      <c r="B1630" s="2">
        <v>45299</v>
      </c>
      <c r="C1630" s="3">
        <v>32.36</v>
      </c>
      <c r="D1630" s="3">
        <v>32.78</v>
      </c>
      <c r="E1630" s="3">
        <v>32.28</v>
      </c>
      <c r="F1630" s="3">
        <v>32.32</v>
      </c>
      <c r="G1630" s="3">
        <v>4107758</v>
      </c>
      <c r="H1630" s="8">
        <f t="shared" si="151"/>
        <v>0</v>
      </c>
      <c r="I1630">
        <f t="shared" si="152"/>
        <v>32.251999999999995</v>
      </c>
      <c r="J1630" s="6" cm="1">
        <f t="array" ref="J1630">_xlfn.STDEV.S(IF($A:$A=A1630, $F:$F))</f>
        <v>9.4180677423767789E-2</v>
      </c>
      <c r="P1630" s="8">
        <f t="shared" si="153"/>
        <v>0</v>
      </c>
      <c r="Q1630" s="8">
        <f t="shared" si="154"/>
        <v>0</v>
      </c>
      <c r="R1630" s="8">
        <f t="shared" si="155"/>
        <v>0</v>
      </c>
    </row>
    <row r="1631" spans="1:18" x14ac:dyDescent="0.25">
      <c r="A1631" s="7">
        <f t="shared" si="150"/>
        <v>326</v>
      </c>
      <c r="B1631" s="2">
        <v>45300</v>
      </c>
      <c r="C1631" s="3">
        <v>32.549999999999997</v>
      </c>
      <c r="D1631" s="3">
        <v>32.700000000000003</v>
      </c>
      <c r="E1631" s="3">
        <v>32.17</v>
      </c>
      <c r="F1631" s="3">
        <v>32.32</v>
      </c>
      <c r="G1631" s="3">
        <v>4475885</v>
      </c>
      <c r="H1631" s="8">
        <f t="shared" si="151"/>
        <v>0</v>
      </c>
      <c r="I1631">
        <f t="shared" si="152"/>
        <v>32.251999999999995</v>
      </c>
      <c r="J1631" s="6" cm="1">
        <f t="array" ref="J1631">_xlfn.STDEV.S(IF($A:$A=A1631, $F:$F))</f>
        <v>9.4180677423767789E-2</v>
      </c>
      <c r="P1631" s="8">
        <f t="shared" si="153"/>
        <v>0</v>
      </c>
      <c r="Q1631" s="8">
        <f t="shared" si="154"/>
        <v>0</v>
      </c>
      <c r="R1631" s="8">
        <f t="shared" si="155"/>
        <v>0</v>
      </c>
    </row>
    <row r="1632" spans="1:18" x14ac:dyDescent="0.25">
      <c r="A1632" s="7">
        <f t="shared" si="150"/>
        <v>327</v>
      </c>
      <c r="B1632" s="2">
        <v>45301</v>
      </c>
      <c r="C1632" s="3">
        <v>32.28</v>
      </c>
      <c r="D1632" s="3">
        <v>32.32</v>
      </c>
      <c r="E1632" s="3">
        <v>31.56</v>
      </c>
      <c r="F1632" s="3">
        <v>31.64</v>
      </c>
      <c r="G1632" s="3">
        <v>7149862</v>
      </c>
      <c r="H1632" s="8">
        <f t="shared" si="151"/>
        <v>-0.25284450063211711</v>
      </c>
      <c r="I1632">
        <f t="shared" si="152"/>
        <v>31.616000000000003</v>
      </c>
      <c r="J1632" s="6" cm="1">
        <f t="array" ref="J1632">_xlfn.STDEV.S(IF($A:$A=A1632, $F:$F))</f>
        <v>0.37898548784880953</v>
      </c>
      <c r="P1632" s="8">
        <f t="shared" si="153"/>
        <v>-0.25284450063211711</v>
      </c>
      <c r="Q1632" s="8">
        <f t="shared" si="154"/>
        <v>-0.25284450063211711</v>
      </c>
      <c r="R1632" s="8">
        <f t="shared" si="155"/>
        <v>-0.25284450063211711</v>
      </c>
    </row>
    <row r="1633" spans="1:18" x14ac:dyDescent="0.25">
      <c r="A1633" s="7">
        <f t="shared" si="150"/>
        <v>327</v>
      </c>
      <c r="B1633" s="2">
        <v>45302</v>
      </c>
      <c r="C1633" s="3">
        <v>31.75</v>
      </c>
      <c r="D1633" s="3">
        <v>32.25</v>
      </c>
      <c r="E1633" s="3">
        <v>31.64</v>
      </c>
      <c r="F1633" s="3">
        <v>32.06</v>
      </c>
      <c r="G1633" s="3">
        <v>5938918</v>
      </c>
      <c r="H1633" s="8">
        <f t="shared" si="151"/>
        <v>-0.25284450063211711</v>
      </c>
      <c r="I1633">
        <f t="shared" si="152"/>
        <v>31.616000000000003</v>
      </c>
      <c r="J1633" s="6" cm="1">
        <f t="array" ref="J1633">_xlfn.STDEV.S(IF($A:$A=A1633, $F:$F))</f>
        <v>0.37898548784880953</v>
      </c>
      <c r="P1633" s="8">
        <f t="shared" si="153"/>
        <v>-0.25284450063211711</v>
      </c>
      <c r="Q1633" s="8">
        <f t="shared" si="154"/>
        <v>-0.25284450063211711</v>
      </c>
      <c r="R1633" s="8">
        <f t="shared" si="155"/>
        <v>-0.25284450063211711</v>
      </c>
    </row>
    <row r="1634" spans="1:18" x14ac:dyDescent="0.25">
      <c r="A1634" s="7">
        <f t="shared" si="150"/>
        <v>327</v>
      </c>
      <c r="B1634" s="2">
        <v>45303</v>
      </c>
      <c r="C1634" s="3">
        <v>31.79</v>
      </c>
      <c r="D1634" s="3">
        <v>32.21</v>
      </c>
      <c r="E1634" s="3">
        <v>31.6</v>
      </c>
      <c r="F1634" s="3">
        <v>31.79</v>
      </c>
      <c r="G1634" s="3">
        <v>4645195</v>
      </c>
      <c r="H1634" s="8">
        <f t="shared" si="151"/>
        <v>-0.25284450063211711</v>
      </c>
      <c r="I1634">
        <f t="shared" si="152"/>
        <v>31.616000000000003</v>
      </c>
      <c r="J1634" s="6" cm="1">
        <f t="array" ref="J1634">_xlfn.STDEV.S(IF($A:$A=A1634, $F:$F))</f>
        <v>0.37898548784880953</v>
      </c>
      <c r="P1634" s="8">
        <f t="shared" si="153"/>
        <v>-0.25284450063211711</v>
      </c>
      <c r="Q1634" s="8">
        <f t="shared" si="154"/>
        <v>-0.25284450063211711</v>
      </c>
      <c r="R1634" s="8">
        <f t="shared" si="155"/>
        <v>-0.25284450063211711</v>
      </c>
    </row>
    <row r="1635" spans="1:18" x14ac:dyDescent="0.25">
      <c r="A1635" s="7">
        <f t="shared" si="150"/>
        <v>327</v>
      </c>
      <c r="B1635" s="2">
        <v>45306</v>
      </c>
      <c r="C1635" s="3">
        <v>31.98</v>
      </c>
      <c r="D1635" s="3">
        <v>32.06</v>
      </c>
      <c r="E1635" s="3">
        <v>31.03</v>
      </c>
      <c r="F1635" s="3">
        <v>31.03</v>
      </c>
      <c r="G1635" s="3">
        <v>4165130</v>
      </c>
      <c r="H1635" s="8">
        <f t="shared" si="151"/>
        <v>-0.25284450063211711</v>
      </c>
      <c r="I1635">
        <f t="shared" si="152"/>
        <v>31.616000000000003</v>
      </c>
      <c r="J1635" s="6" cm="1">
        <f t="array" ref="J1635">_xlfn.STDEV.S(IF($A:$A=A1635, $F:$F))</f>
        <v>0.37898548784880953</v>
      </c>
      <c r="P1635" s="8">
        <f t="shared" si="153"/>
        <v>-0.25284450063211711</v>
      </c>
      <c r="Q1635" s="8">
        <f t="shared" si="154"/>
        <v>-0.25284450063211711</v>
      </c>
      <c r="R1635" s="8">
        <f t="shared" si="155"/>
        <v>-0.25284450063211711</v>
      </c>
    </row>
    <row r="1636" spans="1:18" x14ac:dyDescent="0.25">
      <c r="A1636" s="7">
        <f t="shared" si="150"/>
        <v>327</v>
      </c>
      <c r="B1636" s="2">
        <v>45307</v>
      </c>
      <c r="C1636" s="3">
        <v>31.03</v>
      </c>
      <c r="D1636" s="3">
        <v>31.56</v>
      </c>
      <c r="E1636" s="3">
        <v>30.88</v>
      </c>
      <c r="F1636" s="3">
        <v>31.56</v>
      </c>
      <c r="G1636" s="3">
        <v>3032684</v>
      </c>
      <c r="H1636" s="8">
        <f t="shared" si="151"/>
        <v>-0.25284450063211711</v>
      </c>
      <c r="I1636">
        <f t="shared" si="152"/>
        <v>31.616000000000003</v>
      </c>
      <c r="J1636" s="6" cm="1">
        <f t="array" ref="J1636">_xlfn.STDEV.S(IF($A:$A=A1636, $F:$F))</f>
        <v>0.37898548784880953</v>
      </c>
      <c r="P1636" s="8">
        <f t="shared" si="153"/>
        <v>-0.25284450063211711</v>
      </c>
      <c r="Q1636" s="8">
        <f t="shared" si="154"/>
        <v>-0.25284450063211711</v>
      </c>
      <c r="R1636" s="8">
        <f t="shared" si="155"/>
        <v>-0.25284450063211711</v>
      </c>
    </row>
    <row r="1637" spans="1:18" x14ac:dyDescent="0.25">
      <c r="A1637" s="7">
        <f t="shared" si="150"/>
        <v>328</v>
      </c>
      <c r="B1637" s="2">
        <v>45308</v>
      </c>
      <c r="C1637" s="3">
        <v>31.64</v>
      </c>
      <c r="D1637" s="3">
        <v>32.700000000000003</v>
      </c>
      <c r="E1637" s="3">
        <v>31.6</v>
      </c>
      <c r="F1637" s="3">
        <v>31.79</v>
      </c>
      <c r="G1637" s="3">
        <v>5978287</v>
      </c>
      <c r="H1637" s="8">
        <f t="shared" si="151"/>
        <v>1.0695187165775508</v>
      </c>
      <c r="I1637">
        <f t="shared" si="152"/>
        <v>31.95</v>
      </c>
      <c r="J1637" s="6" cm="1">
        <f t="array" ref="J1637">_xlfn.STDEV.S(IF($A:$A=A1637, $F:$F))</f>
        <v>0.13171939872319627</v>
      </c>
      <c r="P1637" s="8">
        <f t="shared" si="153"/>
        <v>1.0695187165775508</v>
      </c>
      <c r="Q1637" s="8">
        <f t="shared" si="154"/>
        <v>1.0695187165775508</v>
      </c>
      <c r="R1637" s="8">
        <f t="shared" si="155"/>
        <v>1.0695187165775508</v>
      </c>
    </row>
    <row r="1638" spans="1:18" x14ac:dyDescent="0.25">
      <c r="A1638" s="7">
        <f t="shared" si="150"/>
        <v>328</v>
      </c>
      <c r="B1638" s="2">
        <v>45309</v>
      </c>
      <c r="C1638" s="3">
        <v>31.98</v>
      </c>
      <c r="D1638" s="3">
        <v>32.36</v>
      </c>
      <c r="E1638" s="3">
        <v>31.83</v>
      </c>
      <c r="F1638" s="3">
        <v>31.87</v>
      </c>
      <c r="G1638" s="3">
        <v>2496285</v>
      </c>
      <c r="H1638" s="8">
        <f t="shared" si="151"/>
        <v>1.0695187165775508</v>
      </c>
      <c r="I1638">
        <f t="shared" si="152"/>
        <v>31.95</v>
      </c>
      <c r="J1638" s="6" cm="1">
        <f t="array" ref="J1638">_xlfn.STDEV.S(IF($A:$A=A1638, $F:$F))</f>
        <v>0.13171939872319627</v>
      </c>
      <c r="P1638" s="8">
        <f t="shared" si="153"/>
        <v>1.0695187165775508</v>
      </c>
      <c r="Q1638" s="8">
        <f t="shared" si="154"/>
        <v>1.0695187165775508</v>
      </c>
      <c r="R1638" s="8">
        <f t="shared" si="155"/>
        <v>1.0695187165775508</v>
      </c>
    </row>
    <row r="1639" spans="1:18" x14ac:dyDescent="0.25">
      <c r="A1639" s="7">
        <f t="shared" si="150"/>
        <v>328</v>
      </c>
      <c r="B1639" s="2">
        <v>45310</v>
      </c>
      <c r="C1639" s="3">
        <v>32.25</v>
      </c>
      <c r="D1639" s="3">
        <v>32.28</v>
      </c>
      <c r="E1639" s="3">
        <v>31.79</v>
      </c>
      <c r="F1639" s="3">
        <v>31.94</v>
      </c>
      <c r="G1639" s="3">
        <v>3368777</v>
      </c>
      <c r="H1639" s="8">
        <f t="shared" si="151"/>
        <v>1.0695187165775508</v>
      </c>
      <c r="I1639">
        <f t="shared" si="152"/>
        <v>31.95</v>
      </c>
      <c r="J1639" s="6" cm="1">
        <f t="array" ref="J1639">_xlfn.STDEV.S(IF($A:$A=A1639, $F:$F))</f>
        <v>0.13171939872319627</v>
      </c>
      <c r="P1639" s="8">
        <f t="shared" si="153"/>
        <v>1.0695187165775508</v>
      </c>
      <c r="Q1639" s="8">
        <f t="shared" si="154"/>
        <v>1.0695187165775508</v>
      </c>
      <c r="R1639" s="8">
        <f t="shared" si="155"/>
        <v>1.0695187165775508</v>
      </c>
    </row>
    <row r="1640" spans="1:18" x14ac:dyDescent="0.25">
      <c r="A1640" s="7">
        <f t="shared" si="150"/>
        <v>328</v>
      </c>
      <c r="B1640" s="2">
        <v>45313</v>
      </c>
      <c r="C1640" s="3">
        <v>32.25</v>
      </c>
      <c r="D1640" s="3">
        <v>32.25</v>
      </c>
      <c r="E1640" s="3">
        <v>31.56</v>
      </c>
      <c r="F1640" s="3">
        <v>32.020000000000003</v>
      </c>
      <c r="G1640" s="3">
        <v>3710385</v>
      </c>
      <c r="H1640" s="8">
        <f t="shared" si="151"/>
        <v>1.0695187165775508</v>
      </c>
      <c r="I1640">
        <f t="shared" si="152"/>
        <v>31.95</v>
      </c>
      <c r="J1640" s="6" cm="1">
        <f t="array" ref="J1640">_xlfn.STDEV.S(IF($A:$A=A1640, $F:$F))</f>
        <v>0.13171939872319627</v>
      </c>
      <c r="P1640" s="8">
        <f t="shared" si="153"/>
        <v>1.0695187165775508</v>
      </c>
      <c r="Q1640" s="8">
        <f t="shared" si="154"/>
        <v>1.0695187165775508</v>
      </c>
      <c r="R1640" s="8">
        <f t="shared" si="155"/>
        <v>1.0695187165775508</v>
      </c>
    </row>
    <row r="1641" spans="1:18" x14ac:dyDescent="0.25">
      <c r="A1641" s="7">
        <f t="shared" si="150"/>
        <v>328</v>
      </c>
      <c r="B1641" s="2">
        <v>45314</v>
      </c>
      <c r="C1641" s="3">
        <v>32.020000000000003</v>
      </c>
      <c r="D1641" s="3">
        <v>32.32</v>
      </c>
      <c r="E1641" s="3">
        <v>31.91</v>
      </c>
      <c r="F1641" s="3">
        <v>32.130000000000003</v>
      </c>
      <c r="G1641" s="3">
        <v>4224323</v>
      </c>
      <c r="H1641" s="8">
        <f t="shared" si="151"/>
        <v>1.0695187165775508</v>
      </c>
      <c r="I1641">
        <f t="shared" si="152"/>
        <v>31.95</v>
      </c>
      <c r="J1641" s="6" cm="1">
        <f t="array" ref="J1641">_xlfn.STDEV.S(IF($A:$A=A1641, $F:$F))</f>
        <v>0.13171939872319627</v>
      </c>
      <c r="P1641" s="8">
        <f t="shared" si="153"/>
        <v>1.0695187165775508</v>
      </c>
      <c r="Q1641" s="8">
        <f t="shared" si="154"/>
        <v>1.0695187165775508</v>
      </c>
      <c r="R1641" s="8">
        <f t="shared" si="155"/>
        <v>1.0695187165775508</v>
      </c>
    </row>
    <row r="1642" spans="1:18" x14ac:dyDescent="0.25">
      <c r="A1642" s="7">
        <f t="shared" si="150"/>
        <v>329</v>
      </c>
      <c r="B1642" s="2">
        <v>45315</v>
      </c>
      <c r="C1642" s="3">
        <v>32.130000000000003</v>
      </c>
      <c r="D1642" s="3">
        <v>32.700000000000003</v>
      </c>
      <c r="E1642" s="3">
        <v>32.090000000000003</v>
      </c>
      <c r="F1642" s="3">
        <v>32.36</v>
      </c>
      <c r="G1642" s="3">
        <v>7703264</v>
      </c>
      <c r="H1642" s="8">
        <f t="shared" si="151"/>
        <v>-1.6378244746600779</v>
      </c>
      <c r="I1642">
        <f t="shared" si="152"/>
        <v>32.088000000000001</v>
      </c>
      <c r="J1642" s="6" cm="1">
        <f t="array" ref="J1642">_xlfn.STDEV.S(IF($A:$A=A1642, $F:$F))</f>
        <v>0.24498979570586288</v>
      </c>
      <c r="P1642" s="8">
        <f t="shared" si="153"/>
        <v>-1.6378244746600779</v>
      </c>
      <c r="Q1642" s="8">
        <f t="shared" si="154"/>
        <v>-1.6378244746600779</v>
      </c>
      <c r="R1642" s="8">
        <f t="shared" si="155"/>
        <v>-1.6378244746600779</v>
      </c>
    </row>
    <row r="1643" spans="1:18" x14ac:dyDescent="0.25">
      <c r="A1643" s="7">
        <f t="shared" si="150"/>
        <v>329</v>
      </c>
      <c r="B1643" s="2">
        <v>45316</v>
      </c>
      <c r="C1643" s="3">
        <v>32.47</v>
      </c>
      <c r="D1643" s="3">
        <v>32.47</v>
      </c>
      <c r="E1643" s="3">
        <v>32.090000000000003</v>
      </c>
      <c r="F1643" s="3">
        <v>32.25</v>
      </c>
      <c r="G1643" s="3">
        <v>2120426</v>
      </c>
      <c r="H1643" s="8">
        <f t="shared" si="151"/>
        <v>-1.6378244746600779</v>
      </c>
      <c r="I1643">
        <f t="shared" si="152"/>
        <v>32.088000000000001</v>
      </c>
      <c r="J1643" s="6" cm="1">
        <f t="array" ref="J1643">_xlfn.STDEV.S(IF($A:$A=A1643, $F:$F))</f>
        <v>0.24498979570586288</v>
      </c>
      <c r="P1643" s="8">
        <f t="shared" si="153"/>
        <v>-1.6378244746600779</v>
      </c>
      <c r="Q1643" s="8">
        <f t="shared" si="154"/>
        <v>-1.6378244746600779</v>
      </c>
      <c r="R1643" s="8">
        <f t="shared" si="155"/>
        <v>-1.6378244746600779</v>
      </c>
    </row>
    <row r="1644" spans="1:18" x14ac:dyDescent="0.25">
      <c r="A1644" s="7">
        <f t="shared" si="150"/>
        <v>329</v>
      </c>
      <c r="B1644" s="2">
        <v>45317</v>
      </c>
      <c r="C1644" s="3">
        <v>32.21</v>
      </c>
      <c r="D1644" s="3">
        <v>32.47</v>
      </c>
      <c r="E1644" s="3">
        <v>32.17</v>
      </c>
      <c r="F1644" s="3">
        <v>32.17</v>
      </c>
      <c r="G1644" s="3">
        <v>2959324</v>
      </c>
      <c r="H1644" s="8">
        <f t="shared" si="151"/>
        <v>-1.6378244746600779</v>
      </c>
      <c r="I1644">
        <f t="shared" si="152"/>
        <v>32.088000000000001</v>
      </c>
      <c r="J1644" s="6" cm="1">
        <f t="array" ref="J1644">_xlfn.STDEV.S(IF($A:$A=A1644, $F:$F))</f>
        <v>0.24498979570586288</v>
      </c>
      <c r="P1644" s="8">
        <f t="shared" si="153"/>
        <v>-1.6378244746600779</v>
      </c>
      <c r="Q1644" s="8">
        <f t="shared" si="154"/>
        <v>-1.6378244746600779</v>
      </c>
      <c r="R1644" s="8">
        <f t="shared" si="155"/>
        <v>-1.6378244746600779</v>
      </c>
    </row>
    <row r="1645" spans="1:18" x14ac:dyDescent="0.25">
      <c r="A1645" s="7">
        <f t="shared" si="150"/>
        <v>329</v>
      </c>
      <c r="B1645" s="2">
        <v>45320</v>
      </c>
      <c r="C1645" s="3">
        <v>32.36</v>
      </c>
      <c r="D1645" s="3">
        <v>32.4</v>
      </c>
      <c r="E1645" s="3">
        <v>31.79</v>
      </c>
      <c r="F1645" s="3">
        <v>31.83</v>
      </c>
      <c r="G1645" s="3">
        <v>3372876</v>
      </c>
      <c r="H1645" s="8">
        <f t="shared" si="151"/>
        <v>-1.6378244746600779</v>
      </c>
      <c r="I1645">
        <f t="shared" si="152"/>
        <v>32.088000000000001</v>
      </c>
      <c r="J1645" s="6" cm="1">
        <f t="array" ref="J1645">_xlfn.STDEV.S(IF($A:$A=A1645, $F:$F))</f>
        <v>0.24498979570586288</v>
      </c>
      <c r="P1645" s="8">
        <f t="shared" si="153"/>
        <v>-1.6378244746600779</v>
      </c>
      <c r="Q1645" s="8">
        <f t="shared" si="154"/>
        <v>-1.6378244746600779</v>
      </c>
      <c r="R1645" s="8">
        <f t="shared" si="155"/>
        <v>-1.6378244746600779</v>
      </c>
    </row>
    <row r="1646" spans="1:18" x14ac:dyDescent="0.25">
      <c r="A1646" s="7">
        <f t="shared" si="150"/>
        <v>329</v>
      </c>
      <c r="B1646" s="2">
        <v>45321</v>
      </c>
      <c r="C1646" s="3">
        <v>31.83</v>
      </c>
      <c r="D1646" s="3">
        <v>31.98</v>
      </c>
      <c r="E1646" s="3">
        <v>31.56</v>
      </c>
      <c r="F1646" s="3">
        <v>31.83</v>
      </c>
      <c r="G1646" s="3">
        <v>3707759</v>
      </c>
      <c r="H1646" s="8">
        <f t="shared" si="151"/>
        <v>-1.6378244746600779</v>
      </c>
      <c r="I1646">
        <f t="shared" si="152"/>
        <v>32.088000000000001</v>
      </c>
      <c r="J1646" s="6" cm="1">
        <f t="array" ref="J1646">_xlfn.STDEV.S(IF($A:$A=A1646, $F:$F))</f>
        <v>0.24498979570586288</v>
      </c>
      <c r="P1646" s="8">
        <f t="shared" si="153"/>
        <v>-1.6378244746600779</v>
      </c>
      <c r="Q1646" s="8">
        <f t="shared" si="154"/>
        <v>-1.6378244746600779</v>
      </c>
      <c r="R1646" s="8">
        <f t="shared" si="155"/>
        <v>-1.6378244746600779</v>
      </c>
    </row>
    <row r="1647" spans="1:18" x14ac:dyDescent="0.25">
      <c r="A1647" s="7">
        <f t="shared" si="150"/>
        <v>330</v>
      </c>
      <c r="B1647" s="2">
        <v>45322</v>
      </c>
      <c r="C1647" s="3">
        <v>32.020000000000003</v>
      </c>
      <c r="D1647" s="3">
        <v>33</v>
      </c>
      <c r="E1647" s="3">
        <v>31.94</v>
      </c>
      <c r="F1647" s="3">
        <v>32.47</v>
      </c>
      <c r="G1647" s="3">
        <v>11022071</v>
      </c>
      <c r="H1647" s="8">
        <f t="shared" si="151"/>
        <v>4.434862950415762</v>
      </c>
      <c r="I1647">
        <f t="shared" si="152"/>
        <v>33.094000000000001</v>
      </c>
      <c r="J1647" s="6" cm="1">
        <f t="array" ref="J1647">_xlfn.STDEV.S(IF($A:$A=A1647, $F:$F))</f>
        <v>0.54765865281213111</v>
      </c>
      <c r="P1647" s="8">
        <f t="shared" si="153"/>
        <v>4.434862950415762</v>
      </c>
      <c r="Q1647" s="8">
        <f t="shared" si="154"/>
        <v>4.434862950415762</v>
      </c>
      <c r="R1647" s="8">
        <f t="shared" si="155"/>
        <v>4.434862950415762</v>
      </c>
    </row>
    <row r="1648" spans="1:18" x14ac:dyDescent="0.25">
      <c r="A1648" s="7">
        <f t="shared" si="150"/>
        <v>330</v>
      </c>
      <c r="B1648" s="2">
        <v>45323</v>
      </c>
      <c r="C1648" s="3">
        <v>32.549999999999997</v>
      </c>
      <c r="D1648" s="3">
        <v>32.74</v>
      </c>
      <c r="E1648" s="3">
        <v>32.4</v>
      </c>
      <c r="F1648" s="3">
        <v>32.74</v>
      </c>
      <c r="G1648" s="3">
        <v>5200968</v>
      </c>
      <c r="H1648" s="8">
        <f t="shared" si="151"/>
        <v>4.434862950415762</v>
      </c>
      <c r="I1648">
        <f t="shared" si="152"/>
        <v>33.094000000000001</v>
      </c>
      <c r="J1648" s="6" cm="1">
        <f t="array" ref="J1648">_xlfn.STDEV.S(IF($A:$A=A1648, $F:$F))</f>
        <v>0.54765865281213111</v>
      </c>
      <c r="P1648" s="8">
        <f t="shared" si="153"/>
        <v>4.434862950415762</v>
      </c>
      <c r="Q1648" s="8">
        <f t="shared" si="154"/>
        <v>4.434862950415762</v>
      </c>
      <c r="R1648" s="8">
        <f t="shared" si="155"/>
        <v>4.434862950415762</v>
      </c>
    </row>
    <row r="1649" spans="1:18" x14ac:dyDescent="0.25">
      <c r="A1649" s="7">
        <f t="shared" si="150"/>
        <v>330</v>
      </c>
      <c r="B1649" s="2">
        <v>45324</v>
      </c>
      <c r="C1649" s="3">
        <v>33.08</v>
      </c>
      <c r="D1649" s="3">
        <v>33.49</v>
      </c>
      <c r="E1649" s="3">
        <v>33.04</v>
      </c>
      <c r="F1649" s="3">
        <v>33.119999999999997</v>
      </c>
      <c r="G1649" s="3">
        <v>9591553</v>
      </c>
      <c r="H1649" s="8">
        <f t="shared" si="151"/>
        <v>4.434862950415762</v>
      </c>
      <c r="I1649">
        <f t="shared" si="152"/>
        <v>33.094000000000001</v>
      </c>
      <c r="J1649" s="6" cm="1">
        <f t="array" ref="J1649">_xlfn.STDEV.S(IF($A:$A=A1649, $F:$F))</f>
        <v>0.54765865281213111</v>
      </c>
      <c r="P1649" s="8">
        <f t="shared" si="153"/>
        <v>4.434862950415762</v>
      </c>
      <c r="Q1649" s="8">
        <f t="shared" si="154"/>
        <v>4.434862950415762</v>
      </c>
      <c r="R1649" s="8">
        <f t="shared" si="155"/>
        <v>4.434862950415762</v>
      </c>
    </row>
    <row r="1650" spans="1:18" x14ac:dyDescent="0.25">
      <c r="A1650" s="7">
        <f t="shared" si="150"/>
        <v>330</v>
      </c>
      <c r="B1650" s="2">
        <v>45327</v>
      </c>
      <c r="C1650" s="3">
        <v>33.31</v>
      </c>
      <c r="D1650" s="3">
        <v>33.46</v>
      </c>
      <c r="E1650" s="3">
        <v>33</v>
      </c>
      <c r="F1650" s="3">
        <v>33.229999999999997</v>
      </c>
      <c r="G1650" s="3">
        <v>5832826</v>
      </c>
      <c r="H1650" s="8">
        <f t="shared" si="151"/>
        <v>4.434862950415762</v>
      </c>
      <c r="I1650">
        <f t="shared" si="152"/>
        <v>33.094000000000001</v>
      </c>
      <c r="J1650" s="6" cm="1">
        <f t="array" ref="J1650">_xlfn.STDEV.S(IF($A:$A=A1650, $F:$F))</f>
        <v>0.54765865281213111</v>
      </c>
      <c r="P1650" s="8">
        <f t="shared" si="153"/>
        <v>4.434862950415762</v>
      </c>
      <c r="Q1650" s="8">
        <f t="shared" si="154"/>
        <v>4.434862950415762</v>
      </c>
      <c r="R1650" s="8">
        <f t="shared" si="155"/>
        <v>4.434862950415762</v>
      </c>
    </row>
    <row r="1651" spans="1:18" x14ac:dyDescent="0.25">
      <c r="A1651" s="7">
        <f t="shared" si="150"/>
        <v>330</v>
      </c>
      <c r="B1651" s="2">
        <v>45328</v>
      </c>
      <c r="C1651" s="3">
        <v>33.42</v>
      </c>
      <c r="D1651" s="3">
        <v>34.4</v>
      </c>
      <c r="E1651" s="3">
        <v>33.340000000000003</v>
      </c>
      <c r="F1651" s="3">
        <v>33.909999999999997</v>
      </c>
      <c r="G1651" s="3">
        <v>7012133</v>
      </c>
      <c r="H1651" s="8">
        <f t="shared" si="151"/>
        <v>4.434862950415762</v>
      </c>
      <c r="I1651">
        <f t="shared" si="152"/>
        <v>33.094000000000001</v>
      </c>
      <c r="J1651" s="6" cm="1">
        <f t="array" ref="J1651">_xlfn.STDEV.S(IF($A:$A=A1651, $F:$F))</f>
        <v>0.54765865281213111</v>
      </c>
      <c r="P1651" s="8">
        <f t="shared" si="153"/>
        <v>4.434862950415762</v>
      </c>
      <c r="Q1651" s="8">
        <f t="shared" si="154"/>
        <v>4.434862950415762</v>
      </c>
      <c r="R1651" s="8">
        <f t="shared" si="155"/>
        <v>4.434862950415762</v>
      </c>
    </row>
    <row r="1652" spans="1:18" x14ac:dyDescent="0.25">
      <c r="A1652" s="7">
        <f t="shared" si="150"/>
        <v>331</v>
      </c>
      <c r="B1652" s="2">
        <v>45329</v>
      </c>
      <c r="C1652" s="3">
        <v>34.06</v>
      </c>
      <c r="D1652" s="3">
        <v>34.4</v>
      </c>
      <c r="E1652" s="3">
        <v>33.869999999999997</v>
      </c>
      <c r="F1652" s="3">
        <v>34.14</v>
      </c>
      <c r="G1652" s="3">
        <v>4952803</v>
      </c>
      <c r="H1652" s="8">
        <f t="shared" si="151"/>
        <v>-0.23432923257175833</v>
      </c>
      <c r="I1652">
        <f t="shared" si="152"/>
        <v>34.1</v>
      </c>
      <c r="J1652" s="6" cm="1">
        <f t="array" ref="J1652">_xlfn.STDEV.S(IF($A:$A=A1652, $F:$F))</f>
        <v>5.6568542494922595E-2</v>
      </c>
      <c r="P1652" s="8">
        <f t="shared" si="153"/>
        <v>-0.23432923257175833</v>
      </c>
      <c r="Q1652" s="8">
        <f t="shared" si="154"/>
        <v>-0.23432923257175833</v>
      </c>
      <c r="R1652" s="8">
        <f t="shared" si="155"/>
        <v>-0.23432923257175833</v>
      </c>
    </row>
    <row r="1653" spans="1:18" x14ac:dyDescent="0.25">
      <c r="A1653" s="7">
        <f t="shared" si="150"/>
        <v>331</v>
      </c>
      <c r="B1653" s="2">
        <v>45337</v>
      </c>
      <c r="C1653" s="3">
        <v>34.14</v>
      </c>
      <c r="D1653" s="3">
        <v>34.549999999999997</v>
      </c>
      <c r="E1653" s="3">
        <v>34.06</v>
      </c>
      <c r="F1653" s="3">
        <v>34.18</v>
      </c>
      <c r="G1653" s="3">
        <v>7330275</v>
      </c>
      <c r="H1653" s="8">
        <f t="shared" si="151"/>
        <v>-0.23432923257175833</v>
      </c>
      <c r="I1653">
        <f t="shared" si="152"/>
        <v>34.1</v>
      </c>
      <c r="J1653" s="6" cm="1">
        <f t="array" ref="J1653">_xlfn.STDEV.S(IF($A:$A=A1653, $F:$F))</f>
        <v>5.6568542494922595E-2</v>
      </c>
      <c r="P1653" s="8">
        <f t="shared" si="153"/>
        <v>-0.23432923257175833</v>
      </c>
      <c r="Q1653" s="8">
        <f t="shared" si="154"/>
        <v>-0.23432923257175833</v>
      </c>
      <c r="R1653" s="8">
        <f t="shared" si="155"/>
        <v>-0.23432923257175833</v>
      </c>
    </row>
    <row r="1654" spans="1:18" x14ac:dyDescent="0.25">
      <c r="A1654" s="7">
        <f t="shared" si="150"/>
        <v>331</v>
      </c>
      <c r="B1654" s="2">
        <v>45338</v>
      </c>
      <c r="C1654" s="3">
        <v>34.21</v>
      </c>
      <c r="D1654" s="3">
        <v>34.4</v>
      </c>
      <c r="E1654" s="3">
        <v>33.909999999999997</v>
      </c>
      <c r="F1654" s="3">
        <v>34.06</v>
      </c>
      <c r="G1654" s="3">
        <v>5960700</v>
      </c>
      <c r="H1654" s="8">
        <f t="shared" si="151"/>
        <v>-0.23432923257175833</v>
      </c>
      <c r="I1654">
        <f t="shared" si="152"/>
        <v>34.1</v>
      </c>
      <c r="J1654" s="6" cm="1">
        <f t="array" ref="J1654">_xlfn.STDEV.S(IF($A:$A=A1654, $F:$F))</f>
        <v>5.6568542494922595E-2</v>
      </c>
      <c r="P1654" s="8">
        <f t="shared" si="153"/>
        <v>-0.23432923257175833</v>
      </c>
      <c r="Q1654" s="8">
        <f t="shared" si="154"/>
        <v>-0.23432923257175833</v>
      </c>
      <c r="R1654" s="8">
        <f t="shared" si="155"/>
        <v>-0.23432923257175833</v>
      </c>
    </row>
    <row r="1655" spans="1:18" x14ac:dyDescent="0.25">
      <c r="A1655" s="7">
        <f t="shared" si="150"/>
        <v>331</v>
      </c>
      <c r="B1655" s="2">
        <v>45341</v>
      </c>
      <c r="C1655" s="3">
        <v>34.06</v>
      </c>
      <c r="D1655" s="3">
        <v>34.14</v>
      </c>
      <c r="E1655" s="3">
        <v>33.380000000000003</v>
      </c>
      <c r="F1655" s="3">
        <v>34.06</v>
      </c>
      <c r="G1655" s="3">
        <v>8328904</v>
      </c>
      <c r="H1655" s="8">
        <f t="shared" si="151"/>
        <v>-0.23432923257175833</v>
      </c>
      <c r="I1655">
        <f t="shared" si="152"/>
        <v>34.1</v>
      </c>
      <c r="J1655" s="6" cm="1">
        <f t="array" ref="J1655">_xlfn.STDEV.S(IF($A:$A=A1655, $F:$F))</f>
        <v>5.6568542494922595E-2</v>
      </c>
      <c r="P1655" s="8">
        <f t="shared" si="153"/>
        <v>-0.23432923257175833</v>
      </c>
      <c r="Q1655" s="8">
        <f t="shared" si="154"/>
        <v>-0.23432923257175833</v>
      </c>
      <c r="R1655" s="8">
        <f t="shared" si="155"/>
        <v>-0.23432923257175833</v>
      </c>
    </row>
    <row r="1656" spans="1:18" x14ac:dyDescent="0.25">
      <c r="A1656" s="7">
        <f t="shared" si="150"/>
        <v>331</v>
      </c>
      <c r="B1656" s="2">
        <v>45342</v>
      </c>
      <c r="C1656" s="3">
        <v>34.33</v>
      </c>
      <c r="D1656" s="3">
        <v>34.78</v>
      </c>
      <c r="E1656" s="3">
        <v>33.99</v>
      </c>
      <c r="F1656" s="3">
        <v>34.06</v>
      </c>
      <c r="G1656" s="3">
        <v>6308059</v>
      </c>
      <c r="H1656" s="8">
        <f t="shared" si="151"/>
        <v>-0.23432923257175833</v>
      </c>
      <c r="I1656">
        <f t="shared" si="152"/>
        <v>34.1</v>
      </c>
      <c r="J1656" s="6" cm="1">
        <f t="array" ref="J1656">_xlfn.STDEV.S(IF($A:$A=A1656, $F:$F))</f>
        <v>5.6568542494922595E-2</v>
      </c>
      <c r="P1656" s="8">
        <f t="shared" si="153"/>
        <v>-0.23432923257175833</v>
      </c>
      <c r="Q1656" s="8">
        <f t="shared" si="154"/>
        <v>-0.23432923257175833</v>
      </c>
      <c r="R1656" s="8">
        <f t="shared" si="155"/>
        <v>-0.23432923257175833</v>
      </c>
    </row>
    <row r="1657" spans="1:18" x14ac:dyDescent="0.25">
      <c r="A1657" s="7">
        <f t="shared" si="150"/>
        <v>332</v>
      </c>
      <c r="B1657" s="2">
        <v>45343</v>
      </c>
      <c r="C1657" s="3">
        <v>34.06</v>
      </c>
      <c r="D1657" s="3">
        <v>34.1</v>
      </c>
      <c r="E1657" s="3">
        <v>33.61</v>
      </c>
      <c r="F1657" s="3">
        <v>33.909999999999997</v>
      </c>
      <c r="G1657" s="3">
        <v>4971652</v>
      </c>
      <c r="H1657" s="8">
        <f t="shared" si="151"/>
        <v>1.4450014744913067</v>
      </c>
      <c r="I1657">
        <f t="shared" si="152"/>
        <v>33.794000000000004</v>
      </c>
      <c r="J1657" s="6" cm="1">
        <f t="array" ref="J1657">_xlfn.STDEV.S(IF($A:$A=A1657, $F:$F))</f>
        <v>0.57916318943800194</v>
      </c>
      <c r="P1657" s="8">
        <f t="shared" si="153"/>
        <v>1.4450014744913067</v>
      </c>
      <c r="Q1657" s="8">
        <f t="shared" si="154"/>
        <v>1.4450014744913067</v>
      </c>
      <c r="R1657" s="8">
        <f t="shared" si="155"/>
        <v>1.4450014744913067</v>
      </c>
    </row>
    <row r="1658" spans="1:18" x14ac:dyDescent="0.25">
      <c r="A1658" s="7">
        <f t="shared" si="150"/>
        <v>332</v>
      </c>
      <c r="B1658" s="2">
        <v>45344</v>
      </c>
      <c r="C1658" s="3">
        <v>33.68</v>
      </c>
      <c r="D1658" s="3">
        <v>33.909999999999997</v>
      </c>
      <c r="E1658" s="3">
        <v>33.46</v>
      </c>
      <c r="F1658" s="3">
        <v>33.49</v>
      </c>
      <c r="G1658" s="3">
        <v>4366272</v>
      </c>
      <c r="H1658" s="8">
        <f t="shared" si="151"/>
        <v>1.4450014744913067</v>
      </c>
      <c r="I1658">
        <f t="shared" si="152"/>
        <v>33.794000000000004</v>
      </c>
      <c r="J1658" s="6" cm="1">
        <f t="array" ref="J1658">_xlfn.STDEV.S(IF($A:$A=A1658, $F:$F))</f>
        <v>0.57916318943800194</v>
      </c>
      <c r="P1658" s="8">
        <f t="shared" si="153"/>
        <v>1.4450014744913067</v>
      </c>
      <c r="Q1658" s="8">
        <f t="shared" si="154"/>
        <v>1.4450014744913067</v>
      </c>
      <c r="R1658" s="8">
        <f t="shared" si="155"/>
        <v>1.4450014744913067</v>
      </c>
    </row>
    <row r="1659" spans="1:18" x14ac:dyDescent="0.25">
      <c r="A1659" s="7">
        <f t="shared" si="150"/>
        <v>332</v>
      </c>
      <c r="B1659" s="2">
        <v>45345</v>
      </c>
      <c r="C1659" s="3">
        <v>33.53</v>
      </c>
      <c r="D1659" s="3">
        <v>33.950000000000003</v>
      </c>
      <c r="E1659" s="3">
        <v>32.96</v>
      </c>
      <c r="F1659" s="3">
        <v>32.96</v>
      </c>
      <c r="G1659" s="3">
        <v>7788275</v>
      </c>
      <c r="H1659" s="8">
        <f t="shared" si="151"/>
        <v>1.4450014744913067</v>
      </c>
      <c r="I1659">
        <f t="shared" si="152"/>
        <v>33.794000000000004</v>
      </c>
      <c r="J1659" s="6" cm="1">
        <f t="array" ref="J1659">_xlfn.STDEV.S(IF($A:$A=A1659, $F:$F))</f>
        <v>0.57916318943800194</v>
      </c>
      <c r="P1659" s="8">
        <f t="shared" si="153"/>
        <v>1.4450014744913067</v>
      </c>
      <c r="Q1659" s="8">
        <f t="shared" si="154"/>
        <v>1.4450014744913067</v>
      </c>
      <c r="R1659" s="8">
        <f t="shared" si="155"/>
        <v>1.4450014744913067</v>
      </c>
    </row>
    <row r="1660" spans="1:18" x14ac:dyDescent="0.25">
      <c r="A1660" s="7">
        <f t="shared" si="150"/>
        <v>332</v>
      </c>
      <c r="B1660" s="2">
        <v>45348</v>
      </c>
      <c r="C1660" s="3">
        <v>32.93</v>
      </c>
      <c r="D1660" s="3">
        <v>34.369999999999997</v>
      </c>
      <c r="E1660" s="3">
        <v>32.78</v>
      </c>
      <c r="F1660" s="3">
        <v>34.21</v>
      </c>
      <c r="G1660" s="3">
        <v>7436847</v>
      </c>
      <c r="H1660" s="8">
        <f t="shared" si="151"/>
        <v>1.4450014744913067</v>
      </c>
      <c r="I1660">
        <f t="shared" si="152"/>
        <v>33.794000000000004</v>
      </c>
      <c r="J1660" s="6" cm="1">
        <f t="array" ref="J1660">_xlfn.STDEV.S(IF($A:$A=A1660, $F:$F))</f>
        <v>0.57916318943800194</v>
      </c>
      <c r="P1660" s="8">
        <f t="shared" si="153"/>
        <v>1.4450014744913067</v>
      </c>
      <c r="Q1660" s="8">
        <f t="shared" si="154"/>
        <v>1.4450014744913067</v>
      </c>
      <c r="R1660" s="8">
        <f t="shared" si="155"/>
        <v>1.4450014744913067</v>
      </c>
    </row>
    <row r="1661" spans="1:18" x14ac:dyDescent="0.25">
      <c r="A1661" s="7">
        <f t="shared" si="150"/>
        <v>332</v>
      </c>
      <c r="B1661" s="2">
        <v>45349</v>
      </c>
      <c r="C1661" s="3">
        <v>34.21</v>
      </c>
      <c r="D1661" s="3">
        <v>34.82</v>
      </c>
      <c r="E1661" s="3">
        <v>34.06</v>
      </c>
      <c r="F1661" s="3">
        <v>34.4</v>
      </c>
      <c r="G1661" s="3">
        <v>6492952</v>
      </c>
      <c r="H1661" s="8">
        <f t="shared" si="151"/>
        <v>1.4450014744913067</v>
      </c>
      <c r="I1661">
        <f t="shared" si="152"/>
        <v>33.794000000000004</v>
      </c>
      <c r="J1661" s="6" cm="1">
        <f t="array" ref="J1661">_xlfn.STDEV.S(IF($A:$A=A1661, $F:$F))</f>
        <v>0.57916318943800194</v>
      </c>
      <c r="P1661" s="8">
        <f t="shared" si="153"/>
        <v>1.4450014744913067</v>
      </c>
      <c r="Q1661" s="8">
        <f t="shared" si="154"/>
        <v>1.4450014744913067</v>
      </c>
      <c r="R1661" s="8">
        <f t="shared" si="155"/>
        <v>1.4450014744913067</v>
      </c>
    </row>
    <row r="1662" spans="1:18" x14ac:dyDescent="0.25">
      <c r="A1662" s="7">
        <f t="shared" si="150"/>
        <v>333</v>
      </c>
      <c r="B1662" s="2">
        <v>45350</v>
      </c>
      <c r="C1662" s="3">
        <v>34.520000000000003</v>
      </c>
      <c r="D1662" s="3">
        <v>34.520000000000003</v>
      </c>
      <c r="E1662" s="3">
        <v>33.950000000000003</v>
      </c>
      <c r="F1662" s="3">
        <v>34.18</v>
      </c>
      <c r="G1662" s="3">
        <v>5345576</v>
      </c>
      <c r="H1662" s="8">
        <f t="shared" si="151"/>
        <v>5.8513750731421883</v>
      </c>
      <c r="I1662">
        <f t="shared" si="152"/>
        <v>35.160000000000004</v>
      </c>
      <c r="J1662" s="6" cm="1">
        <f t="array" ref="J1662">_xlfn.STDEV.S(IF($A:$A=A1662, $F:$F))</f>
        <v>0.80473598154922787</v>
      </c>
      <c r="P1662" s="8">
        <f t="shared" si="153"/>
        <v>5.8513750731421883</v>
      </c>
      <c r="Q1662" s="8">
        <f t="shared" si="154"/>
        <v>5.8513750731421883</v>
      </c>
      <c r="R1662" s="8">
        <f t="shared" si="155"/>
        <v>5.8513750731421883</v>
      </c>
    </row>
    <row r="1663" spans="1:18" x14ac:dyDescent="0.25">
      <c r="A1663" s="7">
        <f t="shared" si="150"/>
        <v>333</v>
      </c>
      <c r="B1663" s="2">
        <v>45351</v>
      </c>
      <c r="C1663" s="3">
        <v>34.44</v>
      </c>
      <c r="D1663" s="3">
        <v>35.08</v>
      </c>
      <c r="E1663" s="3">
        <v>34.25</v>
      </c>
      <c r="F1663" s="3">
        <v>34.520000000000003</v>
      </c>
      <c r="G1663" s="3">
        <v>9426881</v>
      </c>
      <c r="H1663" s="8">
        <f t="shared" si="151"/>
        <v>5.8513750731421883</v>
      </c>
      <c r="I1663">
        <f t="shared" si="152"/>
        <v>35.160000000000004</v>
      </c>
      <c r="J1663" s="6" cm="1">
        <f t="array" ref="J1663">_xlfn.STDEV.S(IF($A:$A=A1663, $F:$F))</f>
        <v>0.80473598154922787</v>
      </c>
      <c r="P1663" s="8">
        <f t="shared" si="153"/>
        <v>5.8513750731421883</v>
      </c>
      <c r="Q1663" s="8">
        <f t="shared" si="154"/>
        <v>5.8513750731421883</v>
      </c>
      <c r="R1663" s="8">
        <f t="shared" si="155"/>
        <v>5.8513750731421883</v>
      </c>
    </row>
    <row r="1664" spans="1:18" x14ac:dyDescent="0.25">
      <c r="A1664" s="7">
        <f t="shared" si="150"/>
        <v>333</v>
      </c>
      <c r="B1664" s="2">
        <v>45352</v>
      </c>
      <c r="C1664" s="3">
        <v>34.9</v>
      </c>
      <c r="D1664" s="3">
        <v>36.07</v>
      </c>
      <c r="E1664" s="3">
        <v>34.82</v>
      </c>
      <c r="F1664" s="3">
        <v>35.46</v>
      </c>
      <c r="G1664" s="3">
        <v>8595104</v>
      </c>
      <c r="H1664" s="8">
        <f t="shared" si="151"/>
        <v>5.8513750731421883</v>
      </c>
      <c r="I1664">
        <f t="shared" si="152"/>
        <v>35.160000000000004</v>
      </c>
      <c r="J1664" s="6" cm="1">
        <f t="array" ref="J1664">_xlfn.STDEV.S(IF($A:$A=A1664, $F:$F))</f>
        <v>0.80473598154922787</v>
      </c>
      <c r="P1664" s="8">
        <f t="shared" si="153"/>
        <v>5.8513750731421883</v>
      </c>
      <c r="Q1664" s="8">
        <f t="shared" si="154"/>
        <v>5.8513750731421883</v>
      </c>
      <c r="R1664" s="8">
        <f t="shared" si="155"/>
        <v>5.8513750731421883</v>
      </c>
    </row>
    <row r="1665" spans="1:18" x14ac:dyDescent="0.25">
      <c r="A1665" s="7">
        <f t="shared" si="150"/>
        <v>333</v>
      </c>
      <c r="B1665" s="2">
        <v>45355</v>
      </c>
      <c r="C1665" s="3">
        <v>35.950000000000003</v>
      </c>
      <c r="D1665" s="3">
        <v>35.950000000000003</v>
      </c>
      <c r="E1665" s="3">
        <v>35.35</v>
      </c>
      <c r="F1665" s="3">
        <v>35.46</v>
      </c>
      <c r="G1665" s="3">
        <v>4884299</v>
      </c>
      <c r="H1665" s="8">
        <f t="shared" si="151"/>
        <v>5.8513750731421883</v>
      </c>
      <c r="I1665">
        <f t="shared" si="152"/>
        <v>35.160000000000004</v>
      </c>
      <c r="J1665" s="6" cm="1">
        <f t="array" ref="J1665">_xlfn.STDEV.S(IF($A:$A=A1665, $F:$F))</f>
        <v>0.80473598154922787</v>
      </c>
      <c r="P1665" s="8">
        <f t="shared" si="153"/>
        <v>5.8513750731421883</v>
      </c>
      <c r="Q1665" s="8">
        <f t="shared" si="154"/>
        <v>5.8513750731421883</v>
      </c>
      <c r="R1665" s="8">
        <f t="shared" si="155"/>
        <v>5.8513750731421883</v>
      </c>
    </row>
    <row r="1666" spans="1:18" x14ac:dyDescent="0.25">
      <c r="A1666" s="7">
        <f t="shared" si="150"/>
        <v>333</v>
      </c>
      <c r="B1666" s="2">
        <v>45356</v>
      </c>
      <c r="C1666" s="3">
        <v>35.46</v>
      </c>
      <c r="D1666" s="3">
        <v>36.18</v>
      </c>
      <c r="E1666" s="3">
        <v>34.97</v>
      </c>
      <c r="F1666" s="3">
        <v>36.18</v>
      </c>
      <c r="G1666" s="3">
        <v>10168897</v>
      </c>
      <c r="H1666" s="8">
        <f t="shared" si="151"/>
        <v>5.8513750731421883</v>
      </c>
      <c r="I1666">
        <f t="shared" si="152"/>
        <v>35.160000000000004</v>
      </c>
      <c r="J1666" s="6" cm="1">
        <f t="array" ref="J1666">_xlfn.STDEV.S(IF($A:$A=A1666, $F:$F))</f>
        <v>0.80473598154922787</v>
      </c>
      <c r="P1666" s="8">
        <f t="shared" si="153"/>
        <v>5.8513750731421883</v>
      </c>
      <c r="Q1666" s="8">
        <f t="shared" si="154"/>
        <v>5.8513750731421883</v>
      </c>
      <c r="R1666" s="8">
        <f t="shared" si="155"/>
        <v>5.8513750731421883</v>
      </c>
    </row>
    <row r="1667" spans="1:18" x14ac:dyDescent="0.25">
      <c r="A1667" s="7">
        <f t="shared" ref="A1667:A1730" si="156">INT((ROW(A1667)-ROW($A$2))/5) + 1</f>
        <v>334</v>
      </c>
      <c r="B1667" s="2">
        <v>45357</v>
      </c>
      <c r="C1667" s="3">
        <v>36.26</v>
      </c>
      <c r="D1667" s="3">
        <v>37.17</v>
      </c>
      <c r="E1667" s="3">
        <v>35.58</v>
      </c>
      <c r="F1667" s="3">
        <v>35.950000000000003</v>
      </c>
      <c r="G1667" s="3">
        <v>9163430</v>
      </c>
      <c r="H1667" s="8">
        <f t="shared" ref="H1667:H1730" si="157">IF(A1667=A1666, H1666, (F1671-F1667)/F1667*100)</f>
        <v>1.6968011126564657</v>
      </c>
      <c r="I1667">
        <f t="shared" ref="I1667:I1730" si="158">AVERAGEIF($A:$A, A1667, $F:$F)</f>
        <v>36.408000000000001</v>
      </c>
      <c r="J1667" s="6" cm="1">
        <f t="array" ref="J1667">_xlfn.STDEV.S(IF($A:$A=A1667, $F:$F))</f>
        <v>0.51833386923873725</v>
      </c>
      <c r="P1667" s="8">
        <f t="shared" ref="P1667:P1730" si="159">IF(A1667=A1666,P1666,(F1671-F1667)/F1667*100)</f>
        <v>1.6968011126564657</v>
      </c>
      <c r="Q1667" s="8">
        <f t="shared" ref="Q1667:Q1730" si="160">IF(A1667=A1666,Q1666,(F1671-F1667)/F1667*100)</f>
        <v>1.6968011126564657</v>
      </c>
      <c r="R1667" s="8">
        <f t="shared" ref="R1667:R1730" si="161">IF(A1667=A1666,R1666,(F1671-F1667)/F1667*100)</f>
        <v>1.6968011126564657</v>
      </c>
    </row>
    <row r="1668" spans="1:18" x14ac:dyDescent="0.25">
      <c r="A1668" s="7">
        <f t="shared" si="156"/>
        <v>334</v>
      </c>
      <c r="B1668" s="2">
        <v>45358</v>
      </c>
      <c r="C1668" s="3">
        <v>35.92</v>
      </c>
      <c r="D1668" s="3">
        <v>38.07</v>
      </c>
      <c r="E1668" s="3">
        <v>35.92</v>
      </c>
      <c r="F1668" s="3">
        <v>37.24</v>
      </c>
      <c r="G1668" s="3">
        <v>15317416</v>
      </c>
      <c r="H1668" s="8">
        <f t="shared" si="157"/>
        <v>1.6968011126564657</v>
      </c>
      <c r="I1668">
        <f t="shared" si="158"/>
        <v>36.408000000000001</v>
      </c>
      <c r="J1668" s="6" cm="1">
        <f t="array" ref="J1668">_xlfn.STDEV.S(IF($A:$A=A1668, $F:$F))</f>
        <v>0.51833386923873725</v>
      </c>
      <c r="P1668" s="8">
        <f t="shared" si="159"/>
        <v>1.6968011126564657</v>
      </c>
      <c r="Q1668" s="8">
        <f t="shared" si="160"/>
        <v>1.6968011126564657</v>
      </c>
      <c r="R1668" s="8">
        <f t="shared" si="161"/>
        <v>1.6968011126564657</v>
      </c>
    </row>
    <row r="1669" spans="1:18" x14ac:dyDescent="0.25">
      <c r="A1669" s="7">
        <f t="shared" si="156"/>
        <v>334</v>
      </c>
      <c r="B1669" s="2">
        <v>45359</v>
      </c>
      <c r="C1669" s="3">
        <v>37.619999999999997</v>
      </c>
      <c r="D1669" s="3">
        <v>37.619999999999997</v>
      </c>
      <c r="E1669" s="3">
        <v>36.22</v>
      </c>
      <c r="F1669" s="3">
        <v>36.22</v>
      </c>
      <c r="G1669" s="3">
        <v>10129721</v>
      </c>
      <c r="H1669" s="8">
        <f t="shared" si="157"/>
        <v>1.6968011126564657</v>
      </c>
      <c r="I1669">
        <f t="shared" si="158"/>
        <v>36.408000000000001</v>
      </c>
      <c r="J1669" s="6" cm="1">
        <f t="array" ref="J1669">_xlfn.STDEV.S(IF($A:$A=A1669, $F:$F))</f>
        <v>0.51833386923873725</v>
      </c>
      <c r="P1669" s="8">
        <f t="shared" si="159"/>
        <v>1.6968011126564657</v>
      </c>
      <c r="Q1669" s="8">
        <f t="shared" si="160"/>
        <v>1.6968011126564657</v>
      </c>
      <c r="R1669" s="8">
        <f t="shared" si="161"/>
        <v>1.6968011126564657</v>
      </c>
    </row>
    <row r="1670" spans="1:18" x14ac:dyDescent="0.25">
      <c r="A1670" s="7">
        <f t="shared" si="156"/>
        <v>334</v>
      </c>
      <c r="B1670" s="2">
        <v>45362</v>
      </c>
      <c r="C1670" s="3">
        <v>36.22</v>
      </c>
      <c r="D1670" s="3">
        <v>36.83</v>
      </c>
      <c r="E1670" s="3">
        <v>35.950000000000003</v>
      </c>
      <c r="F1670" s="3">
        <v>36.07</v>
      </c>
      <c r="G1670" s="3">
        <v>8026447</v>
      </c>
      <c r="H1670" s="8">
        <f t="shared" si="157"/>
        <v>1.6968011126564657</v>
      </c>
      <c r="I1670">
        <f t="shared" si="158"/>
        <v>36.408000000000001</v>
      </c>
      <c r="J1670" s="6" cm="1">
        <f t="array" ref="J1670">_xlfn.STDEV.S(IF($A:$A=A1670, $F:$F))</f>
        <v>0.51833386923873725</v>
      </c>
      <c r="P1670" s="8">
        <f t="shared" si="159"/>
        <v>1.6968011126564657</v>
      </c>
      <c r="Q1670" s="8">
        <f t="shared" si="160"/>
        <v>1.6968011126564657</v>
      </c>
      <c r="R1670" s="8">
        <f t="shared" si="161"/>
        <v>1.6968011126564657</v>
      </c>
    </row>
    <row r="1671" spans="1:18" x14ac:dyDescent="0.25">
      <c r="A1671" s="7">
        <f t="shared" si="156"/>
        <v>334</v>
      </c>
      <c r="B1671" s="2">
        <v>45363</v>
      </c>
      <c r="C1671" s="3">
        <v>36.33</v>
      </c>
      <c r="D1671" s="3">
        <v>36.75</v>
      </c>
      <c r="E1671" s="3">
        <v>36.03</v>
      </c>
      <c r="F1671" s="3">
        <v>36.56</v>
      </c>
      <c r="G1671" s="3">
        <v>7384958</v>
      </c>
      <c r="H1671" s="8">
        <f t="shared" si="157"/>
        <v>1.6968011126564657</v>
      </c>
      <c r="I1671">
        <f t="shared" si="158"/>
        <v>36.408000000000001</v>
      </c>
      <c r="J1671" s="6" cm="1">
        <f t="array" ref="J1671">_xlfn.STDEV.S(IF($A:$A=A1671, $F:$F))</f>
        <v>0.51833386923873725</v>
      </c>
      <c r="P1671" s="8">
        <f t="shared" si="159"/>
        <v>1.6968011126564657</v>
      </c>
      <c r="Q1671" s="8">
        <f t="shared" si="160"/>
        <v>1.6968011126564657</v>
      </c>
      <c r="R1671" s="8">
        <f t="shared" si="161"/>
        <v>1.6968011126564657</v>
      </c>
    </row>
    <row r="1672" spans="1:18" x14ac:dyDescent="0.25">
      <c r="A1672" s="7">
        <f t="shared" si="156"/>
        <v>335</v>
      </c>
      <c r="B1672" s="2">
        <v>45364</v>
      </c>
      <c r="C1672" s="3">
        <v>36.86</v>
      </c>
      <c r="D1672" s="3">
        <v>39.06</v>
      </c>
      <c r="E1672" s="3">
        <v>36.6</v>
      </c>
      <c r="F1672" s="3">
        <v>39.06</v>
      </c>
      <c r="G1672" s="3">
        <v>13480699</v>
      </c>
      <c r="H1672" s="8">
        <f t="shared" si="157"/>
        <v>-1.7409114183307723</v>
      </c>
      <c r="I1672">
        <f t="shared" si="158"/>
        <v>39.345999999999997</v>
      </c>
      <c r="J1672" s="6" cm="1">
        <f t="array" ref="J1672">_xlfn.STDEV.S(IF($A:$A=A1672, $F:$F))</f>
        <v>0.8350029940066066</v>
      </c>
      <c r="P1672" s="8">
        <f t="shared" si="159"/>
        <v>-1.7409114183307723</v>
      </c>
      <c r="Q1672" s="8">
        <f t="shared" si="160"/>
        <v>-1.7409114183307723</v>
      </c>
      <c r="R1672" s="8">
        <f t="shared" si="161"/>
        <v>-1.7409114183307723</v>
      </c>
    </row>
    <row r="1673" spans="1:18" x14ac:dyDescent="0.25">
      <c r="A1673" s="7">
        <f t="shared" si="156"/>
        <v>335</v>
      </c>
      <c r="B1673" s="2">
        <v>45365</v>
      </c>
      <c r="C1673" s="3">
        <v>39.44</v>
      </c>
      <c r="D1673" s="3">
        <v>40.72</v>
      </c>
      <c r="E1673" s="3">
        <v>38.909999999999997</v>
      </c>
      <c r="F1673" s="3">
        <v>39.51</v>
      </c>
      <c r="G1673" s="3">
        <v>10363706</v>
      </c>
      <c r="H1673" s="8">
        <f t="shared" si="157"/>
        <v>-1.7409114183307723</v>
      </c>
      <c r="I1673">
        <f t="shared" si="158"/>
        <v>39.345999999999997</v>
      </c>
      <c r="J1673" s="6" cm="1">
        <f t="array" ref="J1673">_xlfn.STDEV.S(IF($A:$A=A1673, $F:$F))</f>
        <v>0.8350029940066066</v>
      </c>
      <c r="P1673" s="8">
        <f t="shared" si="159"/>
        <v>-1.7409114183307723</v>
      </c>
      <c r="Q1673" s="8">
        <f t="shared" si="160"/>
        <v>-1.7409114183307723</v>
      </c>
      <c r="R1673" s="8">
        <f t="shared" si="161"/>
        <v>-1.7409114183307723</v>
      </c>
    </row>
    <row r="1674" spans="1:18" x14ac:dyDescent="0.25">
      <c r="A1674" s="7">
        <f t="shared" si="156"/>
        <v>335</v>
      </c>
      <c r="B1674" s="2">
        <v>45366</v>
      </c>
      <c r="C1674" s="3">
        <v>39.590000000000003</v>
      </c>
      <c r="D1674" s="3">
        <v>41.63</v>
      </c>
      <c r="E1674" s="3">
        <v>38.979999999999997</v>
      </c>
      <c r="F1674" s="3">
        <v>40.65</v>
      </c>
      <c r="G1674" s="3">
        <v>10210816</v>
      </c>
      <c r="H1674" s="8">
        <f t="shared" si="157"/>
        <v>-1.7409114183307723</v>
      </c>
      <c r="I1674">
        <f t="shared" si="158"/>
        <v>39.345999999999997</v>
      </c>
      <c r="J1674" s="6" cm="1">
        <f t="array" ref="J1674">_xlfn.STDEV.S(IF($A:$A=A1674, $F:$F))</f>
        <v>0.8350029940066066</v>
      </c>
      <c r="P1674" s="8">
        <f t="shared" si="159"/>
        <v>-1.7409114183307723</v>
      </c>
      <c r="Q1674" s="8">
        <f t="shared" si="160"/>
        <v>-1.7409114183307723</v>
      </c>
      <c r="R1674" s="8">
        <f t="shared" si="161"/>
        <v>-1.7409114183307723</v>
      </c>
    </row>
    <row r="1675" spans="1:18" x14ac:dyDescent="0.25">
      <c r="A1675" s="7">
        <f t="shared" si="156"/>
        <v>335</v>
      </c>
      <c r="B1675" s="2">
        <v>45369</v>
      </c>
      <c r="C1675" s="3">
        <v>40.42</v>
      </c>
      <c r="D1675" s="3">
        <v>40.950000000000003</v>
      </c>
      <c r="E1675" s="3">
        <v>37.81</v>
      </c>
      <c r="F1675" s="3">
        <v>39.130000000000003</v>
      </c>
      <c r="G1675" s="3">
        <v>21566784</v>
      </c>
      <c r="H1675" s="8">
        <f t="shared" si="157"/>
        <v>-1.7409114183307723</v>
      </c>
      <c r="I1675">
        <f t="shared" si="158"/>
        <v>39.345999999999997</v>
      </c>
      <c r="J1675" s="6" cm="1">
        <f t="array" ref="J1675">_xlfn.STDEV.S(IF($A:$A=A1675, $F:$F))</f>
        <v>0.8350029940066066</v>
      </c>
      <c r="P1675" s="8">
        <f t="shared" si="159"/>
        <v>-1.7409114183307723</v>
      </c>
      <c r="Q1675" s="8">
        <f t="shared" si="160"/>
        <v>-1.7409114183307723</v>
      </c>
      <c r="R1675" s="8">
        <f t="shared" si="161"/>
        <v>-1.7409114183307723</v>
      </c>
    </row>
    <row r="1676" spans="1:18" x14ac:dyDescent="0.25">
      <c r="A1676" s="7">
        <f t="shared" si="156"/>
        <v>335</v>
      </c>
      <c r="B1676" s="2">
        <v>45370</v>
      </c>
      <c r="C1676" s="3">
        <v>39.51</v>
      </c>
      <c r="D1676" s="3">
        <v>39.74</v>
      </c>
      <c r="E1676" s="3">
        <v>38.380000000000003</v>
      </c>
      <c r="F1676" s="3">
        <v>38.380000000000003</v>
      </c>
      <c r="G1676" s="3">
        <v>5307158</v>
      </c>
      <c r="H1676" s="8">
        <f t="shared" si="157"/>
        <v>-1.7409114183307723</v>
      </c>
      <c r="I1676">
        <f t="shared" si="158"/>
        <v>39.345999999999997</v>
      </c>
      <c r="J1676" s="6" cm="1">
        <f t="array" ref="J1676">_xlfn.STDEV.S(IF($A:$A=A1676, $F:$F))</f>
        <v>0.8350029940066066</v>
      </c>
      <c r="P1676" s="8">
        <f t="shared" si="159"/>
        <v>-1.7409114183307723</v>
      </c>
      <c r="Q1676" s="8">
        <f t="shared" si="160"/>
        <v>-1.7409114183307723</v>
      </c>
      <c r="R1676" s="8">
        <f t="shared" si="161"/>
        <v>-1.7409114183307723</v>
      </c>
    </row>
    <row r="1677" spans="1:18" x14ac:dyDescent="0.25">
      <c r="A1677" s="7">
        <f t="shared" si="156"/>
        <v>336</v>
      </c>
      <c r="B1677" s="2">
        <v>45371</v>
      </c>
      <c r="C1677" s="3">
        <v>38.6</v>
      </c>
      <c r="D1677" s="3">
        <v>40.42</v>
      </c>
      <c r="E1677" s="3">
        <v>38.299999999999997</v>
      </c>
      <c r="F1677" s="3">
        <v>40.270000000000003</v>
      </c>
      <c r="G1677" s="3">
        <v>9869492</v>
      </c>
      <c r="H1677" s="8">
        <f t="shared" si="157"/>
        <v>0</v>
      </c>
      <c r="I1677">
        <f t="shared" si="158"/>
        <v>40.283999999999999</v>
      </c>
      <c r="J1677" s="6" cm="1">
        <f t="array" ref="J1677">_xlfn.STDEV.S(IF($A:$A=A1677, $F:$F))</f>
        <v>0.5769575374323479</v>
      </c>
      <c r="P1677" s="8">
        <f t="shared" si="159"/>
        <v>0</v>
      </c>
      <c r="Q1677" s="8">
        <f t="shared" si="160"/>
        <v>0</v>
      </c>
      <c r="R1677" s="8">
        <f t="shared" si="161"/>
        <v>0</v>
      </c>
    </row>
    <row r="1678" spans="1:18" x14ac:dyDescent="0.25">
      <c r="A1678" s="7">
        <f t="shared" si="156"/>
        <v>336</v>
      </c>
      <c r="B1678" s="2">
        <v>45372</v>
      </c>
      <c r="C1678" s="3">
        <v>41.1</v>
      </c>
      <c r="D1678" s="3">
        <v>41.78</v>
      </c>
      <c r="E1678" s="3">
        <v>40.270000000000003</v>
      </c>
      <c r="F1678" s="3">
        <v>40.869999999999997</v>
      </c>
      <c r="G1678" s="3">
        <v>8242065</v>
      </c>
      <c r="H1678" s="8">
        <f t="shared" si="157"/>
        <v>0</v>
      </c>
      <c r="I1678">
        <f t="shared" si="158"/>
        <v>40.283999999999999</v>
      </c>
      <c r="J1678" s="6" cm="1">
        <f t="array" ref="J1678">_xlfn.STDEV.S(IF($A:$A=A1678, $F:$F))</f>
        <v>0.5769575374323479</v>
      </c>
      <c r="P1678" s="8">
        <f t="shared" si="159"/>
        <v>0</v>
      </c>
      <c r="Q1678" s="8">
        <f t="shared" si="160"/>
        <v>0</v>
      </c>
      <c r="R1678" s="8">
        <f t="shared" si="161"/>
        <v>0</v>
      </c>
    </row>
    <row r="1679" spans="1:18" x14ac:dyDescent="0.25">
      <c r="A1679" s="7">
        <f t="shared" si="156"/>
        <v>336</v>
      </c>
      <c r="B1679" s="2">
        <v>45373</v>
      </c>
      <c r="C1679" s="3">
        <v>40.869999999999997</v>
      </c>
      <c r="D1679" s="3">
        <v>41.63</v>
      </c>
      <c r="E1679" s="3">
        <v>40.42</v>
      </c>
      <c r="F1679" s="3">
        <v>40.65</v>
      </c>
      <c r="G1679" s="3">
        <v>9075746</v>
      </c>
      <c r="H1679" s="8">
        <f t="shared" si="157"/>
        <v>0</v>
      </c>
      <c r="I1679">
        <f t="shared" si="158"/>
        <v>40.283999999999999</v>
      </c>
      <c r="J1679" s="6" cm="1">
        <f t="array" ref="J1679">_xlfn.STDEV.S(IF($A:$A=A1679, $F:$F))</f>
        <v>0.5769575374323479</v>
      </c>
      <c r="P1679" s="8">
        <f t="shared" si="159"/>
        <v>0</v>
      </c>
      <c r="Q1679" s="8">
        <f t="shared" si="160"/>
        <v>0</v>
      </c>
      <c r="R1679" s="8">
        <f t="shared" si="161"/>
        <v>0</v>
      </c>
    </row>
    <row r="1680" spans="1:18" x14ac:dyDescent="0.25">
      <c r="A1680" s="7">
        <f t="shared" si="156"/>
        <v>336</v>
      </c>
      <c r="B1680" s="2">
        <v>45376</v>
      </c>
      <c r="C1680" s="3">
        <v>40.65</v>
      </c>
      <c r="D1680" s="3">
        <v>40.869999999999997</v>
      </c>
      <c r="E1680" s="3">
        <v>39.29</v>
      </c>
      <c r="F1680" s="3">
        <v>39.36</v>
      </c>
      <c r="G1680" s="3">
        <v>8207029</v>
      </c>
      <c r="H1680" s="8">
        <f t="shared" si="157"/>
        <v>0</v>
      </c>
      <c r="I1680">
        <f t="shared" si="158"/>
        <v>40.283999999999999</v>
      </c>
      <c r="J1680" s="6" cm="1">
        <f t="array" ref="J1680">_xlfn.STDEV.S(IF($A:$A=A1680, $F:$F))</f>
        <v>0.5769575374323479</v>
      </c>
      <c r="P1680" s="8">
        <f t="shared" si="159"/>
        <v>0</v>
      </c>
      <c r="Q1680" s="8">
        <f t="shared" si="160"/>
        <v>0</v>
      </c>
      <c r="R1680" s="8">
        <f t="shared" si="161"/>
        <v>0</v>
      </c>
    </row>
    <row r="1681" spans="1:18" x14ac:dyDescent="0.25">
      <c r="A1681" s="7">
        <f t="shared" si="156"/>
        <v>336</v>
      </c>
      <c r="B1681" s="2">
        <v>45377</v>
      </c>
      <c r="C1681" s="3">
        <v>39.36</v>
      </c>
      <c r="D1681" s="3">
        <v>40.270000000000003</v>
      </c>
      <c r="E1681" s="3">
        <v>38.979999999999997</v>
      </c>
      <c r="F1681" s="3">
        <v>40.270000000000003</v>
      </c>
      <c r="G1681" s="3">
        <v>4699741</v>
      </c>
      <c r="H1681" s="8">
        <f t="shared" si="157"/>
        <v>0</v>
      </c>
      <c r="I1681">
        <f t="shared" si="158"/>
        <v>40.283999999999999</v>
      </c>
      <c r="J1681" s="6" cm="1">
        <f t="array" ref="J1681">_xlfn.STDEV.S(IF($A:$A=A1681, $F:$F))</f>
        <v>0.5769575374323479</v>
      </c>
      <c r="P1681" s="8">
        <f t="shared" si="159"/>
        <v>0</v>
      </c>
      <c r="Q1681" s="8">
        <f t="shared" si="160"/>
        <v>0</v>
      </c>
      <c r="R1681" s="8">
        <f t="shared" si="161"/>
        <v>0</v>
      </c>
    </row>
    <row r="1682" spans="1:18" x14ac:dyDescent="0.25">
      <c r="A1682" s="7">
        <f t="shared" si="156"/>
        <v>337</v>
      </c>
      <c r="B1682" s="2">
        <v>45378</v>
      </c>
      <c r="C1682" s="3">
        <v>40.5</v>
      </c>
      <c r="D1682" s="3">
        <v>40.5</v>
      </c>
      <c r="E1682" s="3">
        <v>39.659999999999997</v>
      </c>
      <c r="F1682" s="3">
        <v>39.97</v>
      </c>
      <c r="G1682" s="3">
        <v>4597968</v>
      </c>
      <c r="H1682" s="8">
        <f t="shared" si="157"/>
        <v>1.5011258443832911</v>
      </c>
      <c r="I1682">
        <f t="shared" si="158"/>
        <v>40.495999999999995</v>
      </c>
      <c r="J1682" s="6" cm="1">
        <f t="array" ref="J1682">_xlfn.STDEV.S(IF($A:$A=A1682, $F:$F))</f>
        <v>0.30063266622241847</v>
      </c>
      <c r="P1682" s="8">
        <f t="shared" si="159"/>
        <v>1.5011258443832911</v>
      </c>
      <c r="Q1682" s="8">
        <f t="shared" si="160"/>
        <v>1.5011258443832911</v>
      </c>
      <c r="R1682" s="8">
        <f t="shared" si="161"/>
        <v>1.5011258443832911</v>
      </c>
    </row>
    <row r="1683" spans="1:18" x14ac:dyDescent="0.25">
      <c r="A1683" s="7">
        <f t="shared" si="156"/>
        <v>337</v>
      </c>
      <c r="B1683" s="2">
        <v>45379</v>
      </c>
      <c r="C1683" s="3">
        <v>40.5</v>
      </c>
      <c r="D1683" s="3">
        <v>41.63</v>
      </c>
      <c r="E1683" s="3">
        <v>40.119999999999997</v>
      </c>
      <c r="F1683" s="3">
        <v>40.65</v>
      </c>
      <c r="G1683" s="3">
        <v>9005154</v>
      </c>
      <c r="H1683" s="8">
        <f t="shared" si="157"/>
        <v>1.5011258443832911</v>
      </c>
      <c r="I1683">
        <f t="shared" si="158"/>
        <v>40.495999999999995</v>
      </c>
      <c r="J1683" s="6" cm="1">
        <f t="array" ref="J1683">_xlfn.STDEV.S(IF($A:$A=A1683, $F:$F))</f>
        <v>0.30063266622241847</v>
      </c>
      <c r="P1683" s="8">
        <f t="shared" si="159"/>
        <v>1.5011258443832911</v>
      </c>
      <c r="Q1683" s="8">
        <f t="shared" si="160"/>
        <v>1.5011258443832911</v>
      </c>
      <c r="R1683" s="8">
        <f t="shared" si="161"/>
        <v>1.5011258443832911</v>
      </c>
    </row>
    <row r="1684" spans="1:18" x14ac:dyDescent="0.25">
      <c r="A1684" s="7">
        <f t="shared" si="156"/>
        <v>337</v>
      </c>
      <c r="B1684" s="2">
        <v>45380</v>
      </c>
      <c r="C1684" s="3">
        <v>40.72</v>
      </c>
      <c r="D1684" s="3">
        <v>41.25</v>
      </c>
      <c r="E1684" s="3">
        <v>40.42</v>
      </c>
      <c r="F1684" s="3">
        <v>40.72</v>
      </c>
      <c r="G1684" s="3">
        <v>3794692</v>
      </c>
      <c r="H1684" s="8">
        <f t="shared" si="157"/>
        <v>1.5011258443832911</v>
      </c>
      <c r="I1684">
        <f t="shared" si="158"/>
        <v>40.495999999999995</v>
      </c>
      <c r="J1684" s="6" cm="1">
        <f t="array" ref="J1684">_xlfn.STDEV.S(IF($A:$A=A1684, $F:$F))</f>
        <v>0.30063266622241847</v>
      </c>
      <c r="P1684" s="8">
        <f t="shared" si="159"/>
        <v>1.5011258443832911</v>
      </c>
      <c r="Q1684" s="8">
        <f t="shared" si="160"/>
        <v>1.5011258443832911</v>
      </c>
      <c r="R1684" s="8">
        <f t="shared" si="161"/>
        <v>1.5011258443832911</v>
      </c>
    </row>
    <row r="1685" spans="1:18" x14ac:dyDescent="0.25">
      <c r="A1685" s="7">
        <f t="shared" si="156"/>
        <v>337</v>
      </c>
      <c r="B1685" s="2">
        <v>45383</v>
      </c>
      <c r="C1685" s="3">
        <v>40.42</v>
      </c>
      <c r="D1685" s="3">
        <v>41.18</v>
      </c>
      <c r="E1685" s="3">
        <v>39.82</v>
      </c>
      <c r="F1685" s="3">
        <v>40.57</v>
      </c>
      <c r="G1685" s="3">
        <v>8171396</v>
      </c>
      <c r="H1685" s="8">
        <f t="shared" si="157"/>
        <v>1.5011258443832911</v>
      </c>
      <c r="I1685">
        <f t="shared" si="158"/>
        <v>40.495999999999995</v>
      </c>
      <c r="J1685" s="6" cm="1">
        <f t="array" ref="J1685">_xlfn.STDEV.S(IF($A:$A=A1685, $F:$F))</f>
        <v>0.30063266622241847</v>
      </c>
      <c r="P1685" s="8">
        <f t="shared" si="159"/>
        <v>1.5011258443832911</v>
      </c>
      <c r="Q1685" s="8">
        <f t="shared" si="160"/>
        <v>1.5011258443832911</v>
      </c>
      <c r="R1685" s="8">
        <f t="shared" si="161"/>
        <v>1.5011258443832911</v>
      </c>
    </row>
    <row r="1686" spans="1:18" x14ac:dyDescent="0.25">
      <c r="A1686" s="7">
        <f t="shared" si="156"/>
        <v>337</v>
      </c>
      <c r="B1686" s="2">
        <v>45384</v>
      </c>
      <c r="C1686" s="3">
        <v>40.119999999999997</v>
      </c>
      <c r="D1686" s="3">
        <v>40.57</v>
      </c>
      <c r="E1686" s="3">
        <v>39.36</v>
      </c>
      <c r="F1686" s="3">
        <v>40.57</v>
      </c>
      <c r="G1686" s="3">
        <v>12120018</v>
      </c>
      <c r="H1686" s="8">
        <f t="shared" si="157"/>
        <v>1.5011258443832911</v>
      </c>
      <c r="I1686">
        <f t="shared" si="158"/>
        <v>40.495999999999995</v>
      </c>
      <c r="J1686" s="6" cm="1">
        <f t="array" ref="J1686">_xlfn.STDEV.S(IF($A:$A=A1686, $F:$F))</f>
        <v>0.30063266622241847</v>
      </c>
      <c r="P1686" s="8">
        <f t="shared" si="159"/>
        <v>1.5011258443832911</v>
      </c>
      <c r="Q1686" s="8">
        <f t="shared" si="160"/>
        <v>1.5011258443832911</v>
      </c>
      <c r="R1686" s="8">
        <f t="shared" si="161"/>
        <v>1.5011258443832911</v>
      </c>
    </row>
    <row r="1687" spans="1:18" x14ac:dyDescent="0.25">
      <c r="A1687" s="7">
        <f t="shared" si="156"/>
        <v>338</v>
      </c>
      <c r="B1687" s="2">
        <v>45385</v>
      </c>
      <c r="C1687" s="3">
        <v>40.57</v>
      </c>
      <c r="D1687" s="3">
        <v>41.18</v>
      </c>
      <c r="E1687" s="3">
        <v>39.44</v>
      </c>
      <c r="F1687" s="3">
        <v>39.44</v>
      </c>
      <c r="G1687" s="3">
        <v>8058975</v>
      </c>
      <c r="H1687" s="8">
        <f t="shared" si="157"/>
        <v>-0.96348884381337596</v>
      </c>
      <c r="I1687">
        <f t="shared" si="158"/>
        <v>38.619999999999997</v>
      </c>
      <c r="J1687" s="6" cm="1">
        <f t="array" ref="J1687">_xlfn.STDEV.S(IF($A:$A=A1687, $F:$F))</f>
        <v>0.92379651439048083</v>
      </c>
      <c r="P1687" s="8">
        <f t="shared" si="159"/>
        <v>-0.96348884381337596</v>
      </c>
      <c r="Q1687" s="8">
        <f t="shared" si="160"/>
        <v>-0.96348884381337596</v>
      </c>
      <c r="R1687" s="8">
        <f t="shared" si="161"/>
        <v>-0.96348884381337596</v>
      </c>
    </row>
    <row r="1688" spans="1:18" x14ac:dyDescent="0.25">
      <c r="A1688" s="7">
        <f t="shared" si="156"/>
        <v>338</v>
      </c>
      <c r="B1688" s="2">
        <v>45386</v>
      </c>
      <c r="C1688" s="3">
        <v>39.36</v>
      </c>
      <c r="D1688" s="3">
        <v>39.97</v>
      </c>
      <c r="E1688" s="3">
        <v>39.130000000000003</v>
      </c>
      <c r="F1688" s="3">
        <v>39.36</v>
      </c>
      <c r="G1688" s="3">
        <v>5632395</v>
      </c>
      <c r="H1688" s="8">
        <f t="shared" si="157"/>
        <v>-0.96348884381337596</v>
      </c>
      <c r="I1688">
        <f t="shared" si="158"/>
        <v>38.619999999999997</v>
      </c>
      <c r="J1688" s="6" cm="1">
        <f t="array" ref="J1688">_xlfn.STDEV.S(IF($A:$A=A1688, $F:$F))</f>
        <v>0.92379651439048083</v>
      </c>
      <c r="P1688" s="8">
        <f t="shared" si="159"/>
        <v>-0.96348884381337596</v>
      </c>
      <c r="Q1688" s="8">
        <f t="shared" si="160"/>
        <v>-0.96348884381337596</v>
      </c>
      <c r="R1688" s="8">
        <f t="shared" si="161"/>
        <v>-0.96348884381337596</v>
      </c>
    </row>
    <row r="1689" spans="1:18" x14ac:dyDescent="0.25">
      <c r="A1689" s="7">
        <f t="shared" si="156"/>
        <v>338</v>
      </c>
      <c r="B1689" s="2">
        <v>45387</v>
      </c>
      <c r="C1689" s="3">
        <v>38.979999999999997</v>
      </c>
      <c r="D1689" s="3">
        <v>39.06</v>
      </c>
      <c r="E1689" s="3">
        <v>37.619999999999997</v>
      </c>
      <c r="F1689" s="3">
        <v>37.619999999999997</v>
      </c>
      <c r="G1689" s="3">
        <v>7672788</v>
      </c>
      <c r="H1689" s="8">
        <f t="shared" si="157"/>
        <v>-0.96348884381337596</v>
      </c>
      <c r="I1689">
        <f t="shared" si="158"/>
        <v>38.619999999999997</v>
      </c>
      <c r="J1689" s="6" cm="1">
        <f t="array" ref="J1689">_xlfn.STDEV.S(IF($A:$A=A1689, $F:$F))</f>
        <v>0.92379651439048083</v>
      </c>
      <c r="P1689" s="8">
        <f t="shared" si="159"/>
        <v>-0.96348884381337596</v>
      </c>
      <c r="Q1689" s="8">
        <f t="shared" si="160"/>
        <v>-0.96348884381337596</v>
      </c>
      <c r="R1689" s="8">
        <f t="shared" si="161"/>
        <v>-0.96348884381337596</v>
      </c>
    </row>
    <row r="1690" spans="1:18" x14ac:dyDescent="0.25">
      <c r="A1690" s="7">
        <f t="shared" si="156"/>
        <v>338</v>
      </c>
      <c r="B1690" s="2">
        <v>45390</v>
      </c>
      <c r="C1690" s="3">
        <v>37.659999999999997</v>
      </c>
      <c r="D1690" s="3">
        <v>38.450000000000003</v>
      </c>
      <c r="E1690" s="3">
        <v>37.32</v>
      </c>
      <c r="F1690" s="3">
        <v>37.619999999999997</v>
      </c>
      <c r="G1690" s="3">
        <v>7057501</v>
      </c>
      <c r="H1690" s="8">
        <f t="shared" si="157"/>
        <v>-0.96348884381337596</v>
      </c>
      <c r="I1690">
        <f t="shared" si="158"/>
        <v>38.619999999999997</v>
      </c>
      <c r="J1690" s="6" cm="1">
        <f t="array" ref="J1690">_xlfn.STDEV.S(IF($A:$A=A1690, $F:$F))</f>
        <v>0.92379651439048083</v>
      </c>
      <c r="P1690" s="8">
        <f t="shared" si="159"/>
        <v>-0.96348884381337596</v>
      </c>
      <c r="Q1690" s="8">
        <f t="shared" si="160"/>
        <v>-0.96348884381337596</v>
      </c>
      <c r="R1690" s="8">
        <f t="shared" si="161"/>
        <v>-0.96348884381337596</v>
      </c>
    </row>
    <row r="1691" spans="1:18" x14ac:dyDescent="0.25">
      <c r="A1691" s="7">
        <f t="shared" si="156"/>
        <v>338</v>
      </c>
      <c r="B1691" s="2">
        <v>45391</v>
      </c>
      <c r="C1691" s="3">
        <v>37.85</v>
      </c>
      <c r="D1691" s="3">
        <v>39.06</v>
      </c>
      <c r="E1691" s="3">
        <v>37.81</v>
      </c>
      <c r="F1691" s="3">
        <v>39.06</v>
      </c>
      <c r="G1691" s="3">
        <v>4963622</v>
      </c>
      <c r="H1691" s="8">
        <f t="shared" si="157"/>
        <v>-0.96348884381337596</v>
      </c>
      <c r="I1691">
        <f t="shared" si="158"/>
        <v>38.619999999999997</v>
      </c>
      <c r="J1691" s="6" cm="1">
        <f t="array" ref="J1691">_xlfn.STDEV.S(IF($A:$A=A1691, $F:$F))</f>
        <v>0.92379651439048083</v>
      </c>
      <c r="P1691" s="8">
        <f t="shared" si="159"/>
        <v>-0.96348884381337596</v>
      </c>
      <c r="Q1691" s="8">
        <f t="shared" si="160"/>
        <v>-0.96348884381337596</v>
      </c>
      <c r="R1691" s="8">
        <f t="shared" si="161"/>
        <v>-0.96348884381337596</v>
      </c>
    </row>
    <row r="1692" spans="1:18" x14ac:dyDescent="0.25">
      <c r="A1692" s="7">
        <f t="shared" si="156"/>
        <v>339</v>
      </c>
      <c r="B1692" s="2">
        <v>45392</v>
      </c>
      <c r="C1692" s="3">
        <v>39.130000000000003</v>
      </c>
      <c r="D1692" s="3">
        <v>39.130000000000003</v>
      </c>
      <c r="E1692" s="3">
        <v>38.380000000000003</v>
      </c>
      <c r="F1692" s="3">
        <v>38.450000000000003</v>
      </c>
      <c r="G1692" s="3">
        <v>2763752</v>
      </c>
      <c r="H1692" s="8">
        <f t="shared" si="157"/>
        <v>-5.9037711313394095</v>
      </c>
      <c r="I1692">
        <f t="shared" si="158"/>
        <v>37.876000000000005</v>
      </c>
      <c r="J1692" s="6" cm="1">
        <f t="array" ref="J1692">_xlfn.STDEV.S(IF($A:$A=A1692, $F:$F))</f>
        <v>1.3725632954439659</v>
      </c>
      <c r="P1692" s="8">
        <f t="shared" si="159"/>
        <v>-5.9037711313394095</v>
      </c>
      <c r="Q1692" s="8">
        <f t="shared" si="160"/>
        <v>-5.9037711313394095</v>
      </c>
      <c r="R1692" s="8">
        <f t="shared" si="161"/>
        <v>-5.9037711313394095</v>
      </c>
    </row>
    <row r="1693" spans="1:18" x14ac:dyDescent="0.25">
      <c r="A1693" s="7">
        <f t="shared" si="156"/>
        <v>339</v>
      </c>
      <c r="B1693" s="2">
        <v>45393</v>
      </c>
      <c r="C1693" s="3">
        <v>37.619999999999997</v>
      </c>
      <c r="D1693" s="3">
        <v>38.909999999999997</v>
      </c>
      <c r="E1693" s="3">
        <v>37.619999999999997</v>
      </c>
      <c r="F1693" s="3">
        <v>38.6</v>
      </c>
      <c r="G1693" s="3">
        <v>4485019</v>
      </c>
      <c r="H1693" s="8">
        <f t="shared" si="157"/>
        <v>-5.9037711313394095</v>
      </c>
      <c r="I1693">
        <f t="shared" si="158"/>
        <v>37.876000000000005</v>
      </c>
      <c r="J1693" s="6" cm="1">
        <f t="array" ref="J1693">_xlfn.STDEV.S(IF($A:$A=A1693, $F:$F))</f>
        <v>1.3725632954439659</v>
      </c>
      <c r="P1693" s="8">
        <f t="shared" si="159"/>
        <v>-5.9037711313394095</v>
      </c>
      <c r="Q1693" s="8">
        <f t="shared" si="160"/>
        <v>-5.9037711313394095</v>
      </c>
      <c r="R1693" s="8">
        <f t="shared" si="161"/>
        <v>-5.9037711313394095</v>
      </c>
    </row>
    <row r="1694" spans="1:18" x14ac:dyDescent="0.25">
      <c r="A1694" s="7">
        <f t="shared" si="156"/>
        <v>339</v>
      </c>
      <c r="B1694" s="2">
        <v>45394</v>
      </c>
      <c r="C1694" s="3">
        <v>39.130000000000003</v>
      </c>
      <c r="D1694" s="3">
        <v>39.51</v>
      </c>
      <c r="E1694" s="3">
        <v>38.53</v>
      </c>
      <c r="F1694" s="3">
        <v>39.44</v>
      </c>
      <c r="G1694" s="3">
        <v>4886086</v>
      </c>
      <c r="H1694" s="8">
        <f t="shared" si="157"/>
        <v>-5.9037711313394095</v>
      </c>
      <c r="I1694">
        <f t="shared" si="158"/>
        <v>37.876000000000005</v>
      </c>
      <c r="J1694" s="6" cm="1">
        <f t="array" ref="J1694">_xlfn.STDEV.S(IF($A:$A=A1694, $F:$F))</f>
        <v>1.3725632954439659</v>
      </c>
      <c r="P1694" s="8">
        <f t="shared" si="159"/>
        <v>-5.9037711313394095</v>
      </c>
      <c r="Q1694" s="8">
        <f t="shared" si="160"/>
        <v>-5.9037711313394095</v>
      </c>
      <c r="R1694" s="8">
        <f t="shared" si="161"/>
        <v>-5.9037711313394095</v>
      </c>
    </row>
    <row r="1695" spans="1:18" x14ac:dyDescent="0.25">
      <c r="A1695" s="7">
        <f t="shared" si="156"/>
        <v>339</v>
      </c>
      <c r="B1695" s="2">
        <v>45397</v>
      </c>
      <c r="C1695" s="3">
        <v>39.130000000000003</v>
      </c>
      <c r="D1695" s="3">
        <v>39.659999999999997</v>
      </c>
      <c r="E1695" s="3">
        <v>36.71</v>
      </c>
      <c r="F1695" s="3">
        <v>36.71</v>
      </c>
      <c r="G1695" s="3">
        <v>9038656</v>
      </c>
      <c r="H1695" s="8">
        <f t="shared" si="157"/>
        <v>-5.9037711313394095</v>
      </c>
      <c r="I1695">
        <f t="shared" si="158"/>
        <v>37.876000000000005</v>
      </c>
      <c r="J1695" s="6" cm="1">
        <f t="array" ref="J1695">_xlfn.STDEV.S(IF($A:$A=A1695, $F:$F))</f>
        <v>1.3725632954439659</v>
      </c>
      <c r="P1695" s="8">
        <f t="shared" si="159"/>
        <v>-5.9037711313394095</v>
      </c>
      <c r="Q1695" s="8">
        <f t="shared" si="160"/>
        <v>-5.9037711313394095</v>
      </c>
      <c r="R1695" s="8">
        <f t="shared" si="161"/>
        <v>-5.9037711313394095</v>
      </c>
    </row>
    <row r="1696" spans="1:18" x14ac:dyDescent="0.25">
      <c r="A1696" s="7">
        <f t="shared" si="156"/>
        <v>339</v>
      </c>
      <c r="B1696" s="2">
        <v>45398</v>
      </c>
      <c r="C1696" s="3">
        <v>36.71</v>
      </c>
      <c r="D1696" s="3">
        <v>36.71</v>
      </c>
      <c r="E1696" s="3">
        <v>35.119999999999997</v>
      </c>
      <c r="F1696" s="3">
        <v>36.18</v>
      </c>
      <c r="G1696" s="3">
        <v>9117442</v>
      </c>
      <c r="H1696" s="8">
        <f t="shared" si="157"/>
        <v>-5.9037711313394095</v>
      </c>
      <c r="I1696">
        <f t="shared" si="158"/>
        <v>37.876000000000005</v>
      </c>
      <c r="J1696" s="6" cm="1">
        <f t="array" ref="J1696">_xlfn.STDEV.S(IF($A:$A=A1696, $F:$F))</f>
        <v>1.3725632954439659</v>
      </c>
      <c r="P1696" s="8">
        <f t="shared" si="159"/>
        <v>-5.9037711313394095</v>
      </c>
      <c r="Q1696" s="8">
        <f t="shared" si="160"/>
        <v>-5.9037711313394095</v>
      </c>
      <c r="R1696" s="8">
        <f t="shared" si="161"/>
        <v>-5.9037711313394095</v>
      </c>
    </row>
    <row r="1697" spans="1:18" x14ac:dyDescent="0.25">
      <c r="A1697" s="7">
        <f t="shared" si="156"/>
        <v>340</v>
      </c>
      <c r="B1697" s="2">
        <v>45399</v>
      </c>
      <c r="C1697" s="3">
        <v>36.64</v>
      </c>
      <c r="D1697" s="3">
        <v>36.64</v>
      </c>
      <c r="E1697" s="3">
        <v>34.14</v>
      </c>
      <c r="F1697" s="3">
        <v>34.14</v>
      </c>
      <c r="G1697" s="3">
        <v>6901826</v>
      </c>
      <c r="H1697" s="8">
        <f t="shared" si="157"/>
        <v>5.3016988869361521</v>
      </c>
      <c r="I1697">
        <f t="shared" si="158"/>
        <v>34.879999999999995</v>
      </c>
      <c r="J1697" s="6" cm="1">
        <f t="array" ref="J1697">_xlfn.STDEV.S(IF($A:$A=A1697, $F:$F))</f>
        <v>0.91063164891189807</v>
      </c>
      <c r="P1697" s="8">
        <f t="shared" si="159"/>
        <v>5.3016988869361521</v>
      </c>
      <c r="Q1697" s="8">
        <f t="shared" si="160"/>
        <v>5.3016988869361521</v>
      </c>
      <c r="R1697" s="8">
        <f t="shared" si="161"/>
        <v>5.3016988869361521</v>
      </c>
    </row>
    <row r="1698" spans="1:18" x14ac:dyDescent="0.25">
      <c r="A1698" s="7">
        <f t="shared" si="156"/>
        <v>340</v>
      </c>
      <c r="B1698" s="2">
        <v>45401</v>
      </c>
      <c r="C1698" s="3">
        <v>33.68</v>
      </c>
      <c r="D1698" s="3">
        <v>35.65</v>
      </c>
      <c r="E1698" s="3">
        <v>33.68</v>
      </c>
      <c r="F1698" s="3">
        <v>34.06</v>
      </c>
      <c r="G1698" s="3">
        <v>10388104</v>
      </c>
      <c r="H1698" s="8">
        <f t="shared" si="157"/>
        <v>5.3016988869361521</v>
      </c>
      <c r="I1698">
        <f t="shared" si="158"/>
        <v>34.879999999999995</v>
      </c>
      <c r="J1698" s="6" cm="1">
        <f t="array" ref="J1698">_xlfn.STDEV.S(IF($A:$A=A1698, $F:$F))</f>
        <v>0.91063164891189807</v>
      </c>
      <c r="P1698" s="8">
        <f t="shared" si="159"/>
        <v>5.3016988869361521</v>
      </c>
      <c r="Q1698" s="8">
        <f t="shared" si="160"/>
        <v>5.3016988869361521</v>
      </c>
      <c r="R1698" s="8">
        <f t="shared" si="161"/>
        <v>5.3016988869361521</v>
      </c>
    </row>
    <row r="1699" spans="1:18" x14ac:dyDescent="0.25">
      <c r="A1699" s="7">
        <f t="shared" si="156"/>
        <v>340</v>
      </c>
      <c r="B1699" s="2">
        <v>45404</v>
      </c>
      <c r="C1699" s="3">
        <v>35.200000000000003</v>
      </c>
      <c r="D1699" s="3">
        <v>36.33</v>
      </c>
      <c r="E1699" s="3">
        <v>34.82</v>
      </c>
      <c r="F1699" s="3">
        <v>35.770000000000003</v>
      </c>
      <c r="G1699" s="3">
        <v>5628684</v>
      </c>
      <c r="H1699" s="8">
        <f t="shared" si="157"/>
        <v>5.3016988869361521</v>
      </c>
      <c r="I1699">
        <f t="shared" si="158"/>
        <v>34.879999999999995</v>
      </c>
      <c r="J1699" s="6" cm="1">
        <f t="array" ref="J1699">_xlfn.STDEV.S(IF($A:$A=A1699, $F:$F))</f>
        <v>0.91063164891189807</v>
      </c>
      <c r="P1699" s="8">
        <f t="shared" si="159"/>
        <v>5.3016988869361521</v>
      </c>
      <c r="Q1699" s="8">
        <f t="shared" si="160"/>
        <v>5.3016988869361521</v>
      </c>
      <c r="R1699" s="8">
        <f t="shared" si="161"/>
        <v>5.3016988869361521</v>
      </c>
    </row>
    <row r="1700" spans="1:18" x14ac:dyDescent="0.25">
      <c r="A1700" s="7">
        <f t="shared" si="156"/>
        <v>340</v>
      </c>
      <c r="B1700" s="2">
        <v>45405</v>
      </c>
      <c r="C1700" s="3">
        <v>35.58</v>
      </c>
      <c r="D1700" s="3">
        <v>35.799999999999997</v>
      </c>
      <c r="E1700" s="3">
        <v>34.06</v>
      </c>
      <c r="F1700" s="3">
        <v>34.479999999999997</v>
      </c>
      <c r="G1700" s="3">
        <v>6491108</v>
      </c>
      <c r="H1700" s="8">
        <f t="shared" si="157"/>
        <v>5.3016988869361521</v>
      </c>
      <c r="I1700">
        <f t="shared" si="158"/>
        <v>34.879999999999995</v>
      </c>
      <c r="J1700" s="6" cm="1">
        <f t="array" ref="J1700">_xlfn.STDEV.S(IF($A:$A=A1700, $F:$F))</f>
        <v>0.91063164891189807</v>
      </c>
      <c r="P1700" s="8">
        <f t="shared" si="159"/>
        <v>5.3016988869361521</v>
      </c>
      <c r="Q1700" s="8">
        <f t="shared" si="160"/>
        <v>5.3016988869361521</v>
      </c>
      <c r="R1700" s="8">
        <f t="shared" si="161"/>
        <v>5.3016988869361521</v>
      </c>
    </row>
    <row r="1701" spans="1:18" x14ac:dyDescent="0.25">
      <c r="A1701" s="7">
        <f t="shared" si="156"/>
        <v>340</v>
      </c>
      <c r="B1701" s="2">
        <v>45406</v>
      </c>
      <c r="C1701" s="3">
        <v>35.08</v>
      </c>
      <c r="D1701" s="3">
        <v>36.299999999999997</v>
      </c>
      <c r="E1701" s="3">
        <v>34.97</v>
      </c>
      <c r="F1701" s="3">
        <v>35.950000000000003</v>
      </c>
      <c r="G1701" s="3">
        <v>8142793</v>
      </c>
      <c r="H1701" s="8">
        <f t="shared" si="157"/>
        <v>5.3016988869361521</v>
      </c>
      <c r="I1701">
        <f t="shared" si="158"/>
        <v>34.879999999999995</v>
      </c>
      <c r="J1701" s="6" cm="1">
        <f t="array" ref="J1701">_xlfn.STDEV.S(IF($A:$A=A1701, $F:$F))</f>
        <v>0.91063164891189807</v>
      </c>
      <c r="P1701" s="8">
        <f t="shared" si="159"/>
        <v>5.3016988869361521</v>
      </c>
      <c r="Q1701" s="8">
        <f t="shared" si="160"/>
        <v>5.3016988869361521</v>
      </c>
      <c r="R1701" s="8">
        <f t="shared" si="161"/>
        <v>5.3016988869361521</v>
      </c>
    </row>
    <row r="1702" spans="1:18" x14ac:dyDescent="0.25">
      <c r="A1702" s="7">
        <f t="shared" si="156"/>
        <v>341</v>
      </c>
      <c r="B1702" s="2">
        <v>45407</v>
      </c>
      <c r="C1702" s="3">
        <v>35.880000000000003</v>
      </c>
      <c r="D1702" s="3">
        <v>35.950000000000003</v>
      </c>
      <c r="E1702" s="3">
        <v>35.42</v>
      </c>
      <c r="F1702" s="3">
        <v>35.58</v>
      </c>
      <c r="G1702" s="3">
        <v>3724243</v>
      </c>
      <c r="H1702" s="8">
        <f t="shared" si="157"/>
        <v>3.175941540191126</v>
      </c>
      <c r="I1702">
        <f t="shared" si="158"/>
        <v>35.660000000000004</v>
      </c>
      <c r="J1702" s="6" cm="1">
        <f t="array" ref="J1702">_xlfn.STDEV.S(IF($A:$A=A1702, $F:$F))</f>
        <v>0.62205305239987441</v>
      </c>
      <c r="P1702" s="8">
        <f t="shared" si="159"/>
        <v>3.175941540191126</v>
      </c>
      <c r="Q1702" s="8">
        <f t="shared" si="160"/>
        <v>3.175941540191126</v>
      </c>
      <c r="R1702" s="8">
        <f t="shared" si="161"/>
        <v>3.175941540191126</v>
      </c>
    </row>
    <row r="1703" spans="1:18" x14ac:dyDescent="0.25">
      <c r="A1703" s="7">
        <f t="shared" si="156"/>
        <v>341</v>
      </c>
      <c r="B1703" s="2">
        <v>45408</v>
      </c>
      <c r="C1703" s="3">
        <v>35.200000000000003</v>
      </c>
      <c r="D1703" s="3">
        <v>35.880000000000003</v>
      </c>
      <c r="E1703" s="3">
        <v>34.86</v>
      </c>
      <c r="F1703" s="3">
        <v>35.58</v>
      </c>
      <c r="G1703" s="3">
        <v>4848284</v>
      </c>
      <c r="H1703" s="8">
        <f t="shared" si="157"/>
        <v>3.175941540191126</v>
      </c>
      <c r="I1703">
        <f t="shared" si="158"/>
        <v>35.660000000000004</v>
      </c>
      <c r="J1703" s="6" cm="1">
        <f t="array" ref="J1703">_xlfn.STDEV.S(IF($A:$A=A1703, $F:$F))</f>
        <v>0.62205305239987441</v>
      </c>
      <c r="P1703" s="8">
        <f t="shared" si="159"/>
        <v>3.175941540191126</v>
      </c>
      <c r="Q1703" s="8">
        <f t="shared" si="160"/>
        <v>3.175941540191126</v>
      </c>
      <c r="R1703" s="8">
        <f t="shared" si="161"/>
        <v>3.175941540191126</v>
      </c>
    </row>
    <row r="1704" spans="1:18" x14ac:dyDescent="0.25">
      <c r="A1704" s="7">
        <f t="shared" si="156"/>
        <v>341</v>
      </c>
      <c r="B1704" s="2">
        <v>45414</v>
      </c>
      <c r="C1704" s="3">
        <v>35.58</v>
      </c>
      <c r="D1704" s="3">
        <v>35.61</v>
      </c>
      <c r="E1704" s="3">
        <v>34.590000000000003</v>
      </c>
      <c r="F1704" s="3">
        <v>35.08</v>
      </c>
      <c r="G1704" s="3">
        <v>4283101</v>
      </c>
      <c r="H1704" s="8">
        <f t="shared" si="157"/>
        <v>3.175941540191126</v>
      </c>
      <c r="I1704">
        <f t="shared" si="158"/>
        <v>35.660000000000004</v>
      </c>
      <c r="J1704" s="6" cm="1">
        <f t="array" ref="J1704">_xlfn.STDEV.S(IF($A:$A=A1704, $F:$F))</f>
        <v>0.62205305239987441</v>
      </c>
      <c r="P1704" s="8">
        <f t="shared" si="159"/>
        <v>3.175941540191126</v>
      </c>
      <c r="Q1704" s="8">
        <f t="shared" si="160"/>
        <v>3.175941540191126</v>
      </c>
      <c r="R1704" s="8">
        <f t="shared" si="161"/>
        <v>3.175941540191126</v>
      </c>
    </row>
    <row r="1705" spans="1:18" x14ac:dyDescent="0.25">
      <c r="A1705" s="7">
        <f t="shared" si="156"/>
        <v>341</v>
      </c>
      <c r="B1705" s="2">
        <v>45415</v>
      </c>
      <c r="C1705" s="3">
        <v>35.58</v>
      </c>
      <c r="D1705" s="3">
        <v>36.03</v>
      </c>
      <c r="E1705" s="3">
        <v>35.270000000000003</v>
      </c>
      <c r="F1705" s="3">
        <v>35.35</v>
      </c>
      <c r="G1705" s="3">
        <v>4296361</v>
      </c>
      <c r="H1705" s="8">
        <f t="shared" si="157"/>
        <v>3.175941540191126</v>
      </c>
      <c r="I1705">
        <f t="shared" si="158"/>
        <v>35.660000000000004</v>
      </c>
      <c r="J1705" s="6" cm="1">
        <f t="array" ref="J1705">_xlfn.STDEV.S(IF($A:$A=A1705, $F:$F))</f>
        <v>0.62205305239987441</v>
      </c>
      <c r="P1705" s="8">
        <f t="shared" si="159"/>
        <v>3.175941540191126</v>
      </c>
      <c r="Q1705" s="8">
        <f t="shared" si="160"/>
        <v>3.175941540191126</v>
      </c>
      <c r="R1705" s="8">
        <f t="shared" si="161"/>
        <v>3.175941540191126</v>
      </c>
    </row>
    <row r="1706" spans="1:18" x14ac:dyDescent="0.25">
      <c r="A1706" s="7">
        <f t="shared" si="156"/>
        <v>341</v>
      </c>
      <c r="B1706" s="2">
        <v>45418</v>
      </c>
      <c r="C1706" s="3">
        <v>35.840000000000003</v>
      </c>
      <c r="D1706" s="3">
        <v>37.049999999999997</v>
      </c>
      <c r="E1706" s="3">
        <v>35.69</v>
      </c>
      <c r="F1706" s="3">
        <v>36.71</v>
      </c>
      <c r="G1706" s="3">
        <v>5343123</v>
      </c>
      <c r="H1706" s="8">
        <f t="shared" si="157"/>
        <v>3.175941540191126</v>
      </c>
      <c r="I1706">
        <f t="shared" si="158"/>
        <v>35.660000000000004</v>
      </c>
      <c r="J1706" s="6" cm="1">
        <f t="array" ref="J1706">_xlfn.STDEV.S(IF($A:$A=A1706, $F:$F))</f>
        <v>0.62205305239987441</v>
      </c>
      <c r="P1706" s="8">
        <f t="shared" si="159"/>
        <v>3.175941540191126</v>
      </c>
      <c r="Q1706" s="8">
        <f t="shared" si="160"/>
        <v>3.175941540191126</v>
      </c>
      <c r="R1706" s="8">
        <f t="shared" si="161"/>
        <v>3.175941540191126</v>
      </c>
    </row>
    <row r="1707" spans="1:18" x14ac:dyDescent="0.25">
      <c r="A1707" s="7">
        <f t="shared" si="156"/>
        <v>342</v>
      </c>
      <c r="B1707" s="2">
        <v>45419</v>
      </c>
      <c r="C1707" s="3">
        <v>36.86</v>
      </c>
      <c r="D1707" s="3">
        <v>36.86</v>
      </c>
      <c r="E1707" s="3">
        <v>36.14</v>
      </c>
      <c r="F1707" s="3">
        <v>36.33</v>
      </c>
      <c r="G1707" s="3">
        <v>4332674</v>
      </c>
      <c r="H1707" s="8">
        <f t="shared" si="157"/>
        <v>-0.1926782273603091</v>
      </c>
      <c r="I1707">
        <f t="shared" si="158"/>
        <v>36.353999999999999</v>
      </c>
      <c r="J1707" s="6" cm="1">
        <f t="array" ref="J1707">_xlfn.STDEV.S(IF($A:$A=A1707, $F:$F))</f>
        <v>0.21361179742701533</v>
      </c>
      <c r="P1707" s="8">
        <f t="shared" si="159"/>
        <v>-0.1926782273603091</v>
      </c>
      <c r="Q1707" s="8">
        <f t="shared" si="160"/>
        <v>-0.1926782273603091</v>
      </c>
      <c r="R1707" s="8">
        <f t="shared" si="161"/>
        <v>-0.1926782273603091</v>
      </c>
    </row>
    <row r="1708" spans="1:18" x14ac:dyDescent="0.25">
      <c r="A1708" s="7">
        <f t="shared" si="156"/>
        <v>342</v>
      </c>
      <c r="B1708" s="2">
        <v>45420</v>
      </c>
      <c r="C1708" s="3">
        <v>35.880000000000003</v>
      </c>
      <c r="D1708" s="3">
        <v>37.049999999999997</v>
      </c>
      <c r="E1708" s="3">
        <v>35.880000000000003</v>
      </c>
      <c r="F1708" s="3">
        <v>36.71</v>
      </c>
      <c r="G1708" s="3">
        <v>5318589</v>
      </c>
      <c r="H1708" s="8">
        <f t="shared" si="157"/>
        <v>-0.1926782273603091</v>
      </c>
      <c r="I1708">
        <f t="shared" si="158"/>
        <v>36.353999999999999</v>
      </c>
      <c r="J1708" s="6" cm="1">
        <f t="array" ref="J1708">_xlfn.STDEV.S(IF($A:$A=A1708, $F:$F))</f>
        <v>0.21361179742701533</v>
      </c>
      <c r="P1708" s="8">
        <f t="shared" si="159"/>
        <v>-0.1926782273603091</v>
      </c>
      <c r="Q1708" s="8">
        <f t="shared" si="160"/>
        <v>-0.1926782273603091</v>
      </c>
      <c r="R1708" s="8">
        <f t="shared" si="161"/>
        <v>-0.1926782273603091</v>
      </c>
    </row>
    <row r="1709" spans="1:18" x14ac:dyDescent="0.25">
      <c r="A1709" s="7">
        <f t="shared" si="156"/>
        <v>342</v>
      </c>
      <c r="B1709" s="2">
        <v>45421</v>
      </c>
      <c r="C1709" s="3">
        <v>36.75</v>
      </c>
      <c r="D1709" s="3">
        <v>36.94</v>
      </c>
      <c r="E1709" s="3">
        <v>35.950000000000003</v>
      </c>
      <c r="F1709" s="3">
        <v>36.33</v>
      </c>
      <c r="G1709" s="3">
        <v>5623446</v>
      </c>
      <c r="H1709" s="8">
        <f t="shared" si="157"/>
        <v>-0.1926782273603091</v>
      </c>
      <c r="I1709">
        <f t="shared" si="158"/>
        <v>36.353999999999999</v>
      </c>
      <c r="J1709" s="6" cm="1">
        <f t="array" ref="J1709">_xlfn.STDEV.S(IF($A:$A=A1709, $F:$F))</f>
        <v>0.21361179742701533</v>
      </c>
      <c r="P1709" s="8">
        <f t="shared" si="159"/>
        <v>-0.1926782273603091</v>
      </c>
      <c r="Q1709" s="8">
        <f t="shared" si="160"/>
        <v>-0.1926782273603091</v>
      </c>
      <c r="R1709" s="8">
        <f t="shared" si="161"/>
        <v>-0.1926782273603091</v>
      </c>
    </row>
    <row r="1710" spans="1:18" x14ac:dyDescent="0.25">
      <c r="A1710" s="7">
        <f t="shared" si="156"/>
        <v>342</v>
      </c>
      <c r="B1710" s="2">
        <v>45422</v>
      </c>
      <c r="C1710" s="3">
        <v>36.33</v>
      </c>
      <c r="D1710" s="3">
        <v>36.479999999999997</v>
      </c>
      <c r="E1710" s="3">
        <v>35.799999999999997</v>
      </c>
      <c r="F1710" s="3">
        <v>36.14</v>
      </c>
      <c r="G1710" s="3">
        <v>4185228</v>
      </c>
      <c r="H1710" s="8">
        <f t="shared" si="157"/>
        <v>-0.1926782273603091</v>
      </c>
      <c r="I1710">
        <f t="shared" si="158"/>
        <v>36.353999999999999</v>
      </c>
      <c r="J1710" s="6" cm="1">
        <f t="array" ref="J1710">_xlfn.STDEV.S(IF($A:$A=A1710, $F:$F))</f>
        <v>0.21361179742701533</v>
      </c>
      <c r="P1710" s="8">
        <f t="shared" si="159"/>
        <v>-0.1926782273603091</v>
      </c>
      <c r="Q1710" s="8">
        <f t="shared" si="160"/>
        <v>-0.1926782273603091</v>
      </c>
      <c r="R1710" s="8">
        <f t="shared" si="161"/>
        <v>-0.1926782273603091</v>
      </c>
    </row>
    <row r="1711" spans="1:18" x14ac:dyDescent="0.25">
      <c r="A1711" s="7">
        <f t="shared" si="156"/>
        <v>342</v>
      </c>
      <c r="B1711" s="2">
        <v>45425</v>
      </c>
      <c r="C1711" s="3">
        <v>36.369999999999997</v>
      </c>
      <c r="D1711" s="3">
        <v>36.75</v>
      </c>
      <c r="E1711" s="3">
        <v>35.99</v>
      </c>
      <c r="F1711" s="3">
        <v>36.26</v>
      </c>
      <c r="G1711" s="3">
        <v>3940825</v>
      </c>
      <c r="H1711" s="8">
        <f t="shared" si="157"/>
        <v>-0.1926782273603091</v>
      </c>
      <c r="I1711">
        <f t="shared" si="158"/>
        <v>36.353999999999999</v>
      </c>
      <c r="J1711" s="6" cm="1">
        <f t="array" ref="J1711">_xlfn.STDEV.S(IF($A:$A=A1711, $F:$F))</f>
        <v>0.21361179742701533</v>
      </c>
      <c r="P1711" s="8">
        <f t="shared" si="159"/>
        <v>-0.1926782273603091</v>
      </c>
      <c r="Q1711" s="8">
        <f t="shared" si="160"/>
        <v>-0.1926782273603091</v>
      </c>
      <c r="R1711" s="8">
        <f t="shared" si="161"/>
        <v>-0.1926782273603091</v>
      </c>
    </row>
    <row r="1712" spans="1:18" x14ac:dyDescent="0.25">
      <c r="A1712" s="7">
        <f t="shared" si="156"/>
        <v>343</v>
      </c>
      <c r="B1712" s="2">
        <v>45426</v>
      </c>
      <c r="C1712" s="3">
        <v>36.33</v>
      </c>
      <c r="D1712" s="3">
        <v>36.6</v>
      </c>
      <c r="E1712" s="3">
        <v>36.03</v>
      </c>
      <c r="F1712" s="3">
        <v>36.07</v>
      </c>
      <c r="G1712" s="3">
        <v>3255069</v>
      </c>
      <c r="H1712" s="8">
        <f t="shared" si="157"/>
        <v>5.3507069586914326</v>
      </c>
      <c r="I1712">
        <f t="shared" si="158"/>
        <v>36.992000000000004</v>
      </c>
      <c r="J1712" s="6" cm="1">
        <f t="array" ref="J1712">_xlfn.STDEV.S(IF($A:$A=A1712, $F:$F))</f>
        <v>0.70616570293380876</v>
      </c>
      <c r="P1712" s="8">
        <f t="shared" si="159"/>
        <v>5.3507069586914326</v>
      </c>
      <c r="Q1712" s="8">
        <f t="shared" si="160"/>
        <v>5.3507069586914326</v>
      </c>
      <c r="R1712" s="8">
        <f t="shared" si="161"/>
        <v>5.3507069586914326</v>
      </c>
    </row>
    <row r="1713" spans="1:18" x14ac:dyDescent="0.25">
      <c r="A1713" s="7">
        <f t="shared" si="156"/>
        <v>343</v>
      </c>
      <c r="B1713" s="2">
        <v>45427</v>
      </c>
      <c r="C1713" s="3">
        <v>36.11</v>
      </c>
      <c r="D1713" s="3">
        <v>37.24</v>
      </c>
      <c r="E1713" s="3">
        <v>36.11</v>
      </c>
      <c r="F1713" s="3">
        <v>36.75</v>
      </c>
      <c r="G1713" s="3">
        <v>7973122</v>
      </c>
      <c r="H1713" s="8">
        <f t="shared" si="157"/>
        <v>5.3507069586914326</v>
      </c>
      <c r="I1713">
        <f t="shared" si="158"/>
        <v>36.992000000000004</v>
      </c>
      <c r="J1713" s="6" cm="1">
        <f t="array" ref="J1713">_xlfn.STDEV.S(IF($A:$A=A1713, $F:$F))</f>
        <v>0.70616570293380876</v>
      </c>
      <c r="P1713" s="8">
        <f t="shared" si="159"/>
        <v>5.3507069586914326</v>
      </c>
      <c r="Q1713" s="8">
        <f t="shared" si="160"/>
        <v>5.3507069586914326</v>
      </c>
      <c r="R1713" s="8">
        <f t="shared" si="161"/>
        <v>5.3507069586914326</v>
      </c>
    </row>
    <row r="1714" spans="1:18" x14ac:dyDescent="0.25">
      <c r="A1714" s="7">
        <f t="shared" si="156"/>
        <v>343</v>
      </c>
      <c r="B1714" s="2">
        <v>45428</v>
      </c>
      <c r="C1714" s="3">
        <v>37.32</v>
      </c>
      <c r="D1714" s="3">
        <v>37.36</v>
      </c>
      <c r="E1714" s="3">
        <v>36.86</v>
      </c>
      <c r="F1714" s="3">
        <v>36.9</v>
      </c>
      <c r="G1714" s="3">
        <v>4262256</v>
      </c>
      <c r="H1714" s="8">
        <f t="shared" si="157"/>
        <v>5.3507069586914326</v>
      </c>
      <c r="I1714">
        <f t="shared" si="158"/>
        <v>36.992000000000004</v>
      </c>
      <c r="J1714" s="6" cm="1">
        <f t="array" ref="J1714">_xlfn.STDEV.S(IF($A:$A=A1714, $F:$F))</f>
        <v>0.70616570293380876</v>
      </c>
      <c r="P1714" s="8">
        <f t="shared" si="159"/>
        <v>5.3507069586914326</v>
      </c>
      <c r="Q1714" s="8">
        <f t="shared" si="160"/>
        <v>5.3507069586914326</v>
      </c>
      <c r="R1714" s="8">
        <f t="shared" si="161"/>
        <v>5.3507069586914326</v>
      </c>
    </row>
    <row r="1715" spans="1:18" x14ac:dyDescent="0.25">
      <c r="A1715" s="7">
        <f t="shared" si="156"/>
        <v>343</v>
      </c>
      <c r="B1715" s="2">
        <v>45429</v>
      </c>
      <c r="C1715" s="3">
        <v>36.979999999999997</v>
      </c>
      <c r="D1715" s="3">
        <v>37.700000000000003</v>
      </c>
      <c r="E1715" s="3">
        <v>36.83</v>
      </c>
      <c r="F1715" s="3">
        <v>37.24</v>
      </c>
      <c r="G1715" s="3">
        <v>5005674</v>
      </c>
      <c r="H1715" s="8">
        <f t="shared" si="157"/>
        <v>5.3507069586914326</v>
      </c>
      <c r="I1715">
        <f t="shared" si="158"/>
        <v>36.992000000000004</v>
      </c>
      <c r="J1715" s="6" cm="1">
        <f t="array" ref="J1715">_xlfn.STDEV.S(IF($A:$A=A1715, $F:$F))</f>
        <v>0.70616570293380876</v>
      </c>
      <c r="P1715" s="8">
        <f t="shared" si="159"/>
        <v>5.3507069586914326</v>
      </c>
      <c r="Q1715" s="8">
        <f t="shared" si="160"/>
        <v>5.3507069586914326</v>
      </c>
      <c r="R1715" s="8">
        <f t="shared" si="161"/>
        <v>5.3507069586914326</v>
      </c>
    </row>
    <row r="1716" spans="1:18" x14ac:dyDescent="0.25">
      <c r="A1716" s="7">
        <f t="shared" si="156"/>
        <v>343</v>
      </c>
      <c r="B1716" s="2">
        <v>45432</v>
      </c>
      <c r="C1716" s="3">
        <v>37.54</v>
      </c>
      <c r="D1716" s="3">
        <v>38.450000000000003</v>
      </c>
      <c r="E1716" s="3">
        <v>37.36</v>
      </c>
      <c r="F1716" s="3">
        <v>38</v>
      </c>
      <c r="G1716" s="3">
        <v>9168130</v>
      </c>
      <c r="H1716" s="8">
        <f t="shared" si="157"/>
        <v>5.3507069586914326</v>
      </c>
      <c r="I1716">
        <f t="shared" si="158"/>
        <v>36.992000000000004</v>
      </c>
      <c r="J1716" s="6" cm="1">
        <f t="array" ref="J1716">_xlfn.STDEV.S(IF($A:$A=A1716, $F:$F))</f>
        <v>0.70616570293380876</v>
      </c>
      <c r="P1716" s="8">
        <f t="shared" si="159"/>
        <v>5.3507069586914326</v>
      </c>
      <c r="Q1716" s="8">
        <f t="shared" si="160"/>
        <v>5.3507069586914326</v>
      </c>
      <c r="R1716" s="8">
        <f t="shared" si="161"/>
        <v>5.3507069586914326</v>
      </c>
    </row>
    <row r="1717" spans="1:18" x14ac:dyDescent="0.25">
      <c r="A1717" s="7">
        <f t="shared" si="156"/>
        <v>344</v>
      </c>
      <c r="B1717" s="2">
        <v>45433</v>
      </c>
      <c r="C1717" s="3">
        <v>38</v>
      </c>
      <c r="D1717" s="3">
        <v>38.450000000000003</v>
      </c>
      <c r="E1717" s="3">
        <v>37.54</v>
      </c>
      <c r="F1717" s="3">
        <v>38.450000000000003</v>
      </c>
      <c r="G1717" s="3">
        <v>5081647</v>
      </c>
      <c r="H1717" s="8">
        <f t="shared" si="157"/>
        <v>-6.3979193758127453</v>
      </c>
      <c r="I1717">
        <f t="shared" si="158"/>
        <v>37.287999999999997</v>
      </c>
      <c r="J1717" s="6" cm="1">
        <f t="array" ref="J1717">_xlfn.STDEV.S(IF($A:$A=A1717, $F:$F))</f>
        <v>1.0773671611850821</v>
      </c>
      <c r="P1717" s="8">
        <f t="shared" si="159"/>
        <v>-6.3979193758127453</v>
      </c>
      <c r="Q1717" s="8">
        <f t="shared" si="160"/>
        <v>-6.3979193758127453</v>
      </c>
      <c r="R1717" s="8">
        <f t="shared" si="161"/>
        <v>-6.3979193758127453</v>
      </c>
    </row>
    <row r="1718" spans="1:18" x14ac:dyDescent="0.25">
      <c r="A1718" s="7">
        <f t="shared" si="156"/>
        <v>344</v>
      </c>
      <c r="B1718" s="2">
        <v>45434</v>
      </c>
      <c r="C1718" s="3">
        <v>38.6</v>
      </c>
      <c r="D1718" s="3">
        <v>39.21</v>
      </c>
      <c r="E1718" s="3">
        <v>37.770000000000003</v>
      </c>
      <c r="F1718" s="3">
        <v>37.85</v>
      </c>
      <c r="G1718" s="3">
        <v>8230150</v>
      </c>
      <c r="H1718" s="8">
        <f t="shared" si="157"/>
        <v>-6.3979193758127453</v>
      </c>
      <c r="I1718">
        <f t="shared" si="158"/>
        <v>37.287999999999997</v>
      </c>
      <c r="J1718" s="6" cm="1">
        <f t="array" ref="J1718">_xlfn.STDEV.S(IF($A:$A=A1718, $F:$F))</f>
        <v>1.0773671611850821</v>
      </c>
      <c r="P1718" s="8">
        <f t="shared" si="159"/>
        <v>-6.3979193758127453</v>
      </c>
      <c r="Q1718" s="8">
        <f t="shared" si="160"/>
        <v>-6.3979193758127453</v>
      </c>
      <c r="R1718" s="8">
        <f t="shared" si="161"/>
        <v>-6.3979193758127453</v>
      </c>
    </row>
    <row r="1719" spans="1:18" x14ac:dyDescent="0.25">
      <c r="A1719" s="7">
        <f t="shared" si="156"/>
        <v>344</v>
      </c>
      <c r="B1719" s="2">
        <v>45435</v>
      </c>
      <c r="C1719" s="3">
        <v>37.700000000000003</v>
      </c>
      <c r="D1719" s="3">
        <v>37.92</v>
      </c>
      <c r="E1719" s="3">
        <v>36.409999999999997</v>
      </c>
      <c r="F1719" s="3">
        <v>37.85</v>
      </c>
      <c r="G1719" s="3">
        <v>6340779</v>
      </c>
      <c r="H1719" s="8">
        <f t="shared" si="157"/>
        <v>-6.3979193758127453</v>
      </c>
      <c r="I1719">
        <f t="shared" si="158"/>
        <v>37.287999999999997</v>
      </c>
      <c r="J1719" s="6" cm="1">
        <f t="array" ref="J1719">_xlfn.STDEV.S(IF($A:$A=A1719, $F:$F))</f>
        <v>1.0773671611850821</v>
      </c>
      <c r="P1719" s="8">
        <f t="shared" si="159"/>
        <v>-6.3979193758127453</v>
      </c>
      <c r="Q1719" s="8">
        <f t="shared" si="160"/>
        <v>-6.3979193758127453</v>
      </c>
      <c r="R1719" s="8">
        <f t="shared" si="161"/>
        <v>-6.3979193758127453</v>
      </c>
    </row>
    <row r="1720" spans="1:18" x14ac:dyDescent="0.25">
      <c r="A1720" s="7">
        <f t="shared" si="156"/>
        <v>344</v>
      </c>
      <c r="B1720" s="2">
        <v>45436</v>
      </c>
      <c r="C1720" s="3">
        <v>37.47</v>
      </c>
      <c r="D1720" s="3">
        <v>37.85</v>
      </c>
      <c r="E1720" s="3">
        <v>35.58</v>
      </c>
      <c r="F1720" s="3">
        <v>36.299999999999997</v>
      </c>
      <c r="G1720" s="3">
        <v>9858803</v>
      </c>
      <c r="H1720" s="8">
        <f t="shared" si="157"/>
        <v>-6.3979193758127453</v>
      </c>
      <c r="I1720">
        <f t="shared" si="158"/>
        <v>37.287999999999997</v>
      </c>
      <c r="J1720" s="6" cm="1">
        <f t="array" ref="J1720">_xlfn.STDEV.S(IF($A:$A=A1720, $F:$F))</f>
        <v>1.0773671611850821</v>
      </c>
      <c r="P1720" s="8">
        <f t="shared" si="159"/>
        <v>-6.3979193758127453</v>
      </c>
      <c r="Q1720" s="8">
        <f t="shared" si="160"/>
        <v>-6.3979193758127453</v>
      </c>
      <c r="R1720" s="8">
        <f t="shared" si="161"/>
        <v>-6.3979193758127453</v>
      </c>
    </row>
    <row r="1721" spans="1:18" x14ac:dyDescent="0.25">
      <c r="A1721" s="7">
        <f t="shared" si="156"/>
        <v>344</v>
      </c>
      <c r="B1721" s="2">
        <v>45439</v>
      </c>
      <c r="C1721" s="3">
        <v>36.299999999999997</v>
      </c>
      <c r="D1721" s="3">
        <v>36.67</v>
      </c>
      <c r="E1721" s="3">
        <v>35.880000000000003</v>
      </c>
      <c r="F1721" s="3">
        <v>35.99</v>
      </c>
      <c r="G1721" s="3">
        <v>4767344</v>
      </c>
      <c r="H1721" s="8">
        <f t="shared" si="157"/>
        <v>-6.3979193758127453</v>
      </c>
      <c r="I1721">
        <f t="shared" si="158"/>
        <v>37.287999999999997</v>
      </c>
      <c r="J1721" s="6" cm="1">
        <f t="array" ref="J1721">_xlfn.STDEV.S(IF($A:$A=A1721, $F:$F))</f>
        <v>1.0773671611850821</v>
      </c>
      <c r="P1721" s="8">
        <f t="shared" si="159"/>
        <v>-6.3979193758127453</v>
      </c>
      <c r="Q1721" s="8">
        <f t="shared" si="160"/>
        <v>-6.3979193758127453</v>
      </c>
      <c r="R1721" s="8">
        <f t="shared" si="161"/>
        <v>-6.3979193758127453</v>
      </c>
    </row>
    <row r="1722" spans="1:18" x14ac:dyDescent="0.25">
      <c r="A1722" s="7">
        <f t="shared" si="156"/>
        <v>345</v>
      </c>
      <c r="B1722" s="2">
        <v>45440</v>
      </c>
      <c r="C1722" s="3">
        <v>36.18</v>
      </c>
      <c r="D1722" s="3">
        <v>37.049999999999997</v>
      </c>
      <c r="E1722" s="3">
        <v>36.18</v>
      </c>
      <c r="F1722" s="3">
        <v>36.94</v>
      </c>
      <c r="G1722" s="3">
        <v>6300221</v>
      </c>
      <c r="H1722" s="8">
        <f t="shared" si="157"/>
        <v>-0.62263129399024597</v>
      </c>
      <c r="I1722">
        <f t="shared" si="158"/>
        <v>36.5</v>
      </c>
      <c r="J1722" s="6" cm="1">
        <f t="array" ref="J1722">_xlfn.STDEV.S(IF($A:$A=A1722, $F:$F))</f>
        <v>0.44056781543821244</v>
      </c>
      <c r="P1722" s="8">
        <f t="shared" si="159"/>
        <v>-0.62263129399024597</v>
      </c>
      <c r="Q1722" s="8">
        <f t="shared" si="160"/>
        <v>-0.62263129399024597</v>
      </c>
      <c r="R1722" s="8">
        <f t="shared" si="161"/>
        <v>-0.62263129399024597</v>
      </c>
    </row>
    <row r="1723" spans="1:18" x14ac:dyDescent="0.25">
      <c r="A1723" s="7">
        <f t="shared" si="156"/>
        <v>345</v>
      </c>
      <c r="B1723" s="2">
        <v>45441</v>
      </c>
      <c r="C1723" s="3">
        <v>36.94</v>
      </c>
      <c r="D1723" s="3">
        <v>37.24</v>
      </c>
      <c r="E1723" s="3">
        <v>36.11</v>
      </c>
      <c r="F1723" s="3">
        <v>36.79</v>
      </c>
      <c r="G1723" s="3">
        <v>3827198</v>
      </c>
      <c r="H1723" s="8">
        <f t="shared" si="157"/>
        <v>-0.62263129399024597</v>
      </c>
      <c r="I1723">
        <f t="shared" si="158"/>
        <v>36.5</v>
      </c>
      <c r="J1723" s="6" cm="1">
        <f t="array" ref="J1723">_xlfn.STDEV.S(IF($A:$A=A1723, $F:$F))</f>
        <v>0.44056781543821244</v>
      </c>
      <c r="P1723" s="8">
        <f t="shared" si="159"/>
        <v>-0.62263129399024597</v>
      </c>
      <c r="Q1723" s="8">
        <f t="shared" si="160"/>
        <v>-0.62263129399024597</v>
      </c>
      <c r="R1723" s="8">
        <f t="shared" si="161"/>
        <v>-0.62263129399024597</v>
      </c>
    </row>
    <row r="1724" spans="1:18" x14ac:dyDescent="0.25">
      <c r="A1724" s="7">
        <f t="shared" si="156"/>
        <v>345</v>
      </c>
      <c r="B1724" s="2">
        <v>45442</v>
      </c>
      <c r="C1724" s="3">
        <v>36.18</v>
      </c>
      <c r="D1724" s="3">
        <v>36.479999999999997</v>
      </c>
      <c r="E1724" s="3">
        <v>35.5</v>
      </c>
      <c r="F1724" s="3">
        <v>36.11</v>
      </c>
      <c r="G1724" s="3">
        <v>5532643</v>
      </c>
      <c r="H1724" s="8">
        <f t="shared" si="157"/>
        <v>-0.62263129399024597</v>
      </c>
      <c r="I1724">
        <f t="shared" si="158"/>
        <v>36.5</v>
      </c>
      <c r="J1724" s="6" cm="1">
        <f t="array" ref="J1724">_xlfn.STDEV.S(IF($A:$A=A1724, $F:$F))</f>
        <v>0.44056781543821244</v>
      </c>
      <c r="P1724" s="8">
        <f t="shared" si="159"/>
        <v>-0.62263129399024597</v>
      </c>
      <c r="Q1724" s="8">
        <f t="shared" si="160"/>
        <v>-0.62263129399024597</v>
      </c>
      <c r="R1724" s="8">
        <f t="shared" si="161"/>
        <v>-0.62263129399024597</v>
      </c>
    </row>
    <row r="1725" spans="1:18" x14ac:dyDescent="0.25">
      <c r="A1725" s="7">
        <f t="shared" si="156"/>
        <v>345</v>
      </c>
      <c r="B1725" s="2">
        <v>45443</v>
      </c>
      <c r="C1725" s="3">
        <v>36.18</v>
      </c>
      <c r="D1725" s="3">
        <v>36.520000000000003</v>
      </c>
      <c r="E1725" s="3">
        <v>35.950000000000003</v>
      </c>
      <c r="F1725" s="3">
        <v>35.950000000000003</v>
      </c>
      <c r="G1725" s="3">
        <v>2739686</v>
      </c>
      <c r="H1725" s="8">
        <f t="shared" si="157"/>
        <v>-0.62263129399024597</v>
      </c>
      <c r="I1725">
        <f t="shared" si="158"/>
        <v>36.5</v>
      </c>
      <c r="J1725" s="6" cm="1">
        <f t="array" ref="J1725">_xlfn.STDEV.S(IF($A:$A=A1725, $F:$F))</f>
        <v>0.44056781543821244</v>
      </c>
      <c r="P1725" s="8">
        <f t="shared" si="159"/>
        <v>-0.62263129399024597</v>
      </c>
      <c r="Q1725" s="8">
        <f t="shared" si="160"/>
        <v>-0.62263129399024597</v>
      </c>
      <c r="R1725" s="8">
        <f t="shared" si="161"/>
        <v>-0.62263129399024597</v>
      </c>
    </row>
    <row r="1726" spans="1:18" x14ac:dyDescent="0.25">
      <c r="A1726" s="7">
        <f t="shared" si="156"/>
        <v>345</v>
      </c>
      <c r="B1726" s="2">
        <v>45446</v>
      </c>
      <c r="C1726" s="3">
        <v>36.409999999999997</v>
      </c>
      <c r="D1726" s="3">
        <v>36.9</v>
      </c>
      <c r="E1726" s="3">
        <v>36.33</v>
      </c>
      <c r="F1726" s="3">
        <v>36.71</v>
      </c>
      <c r="G1726" s="3">
        <v>4023940</v>
      </c>
      <c r="H1726" s="8">
        <f t="shared" si="157"/>
        <v>-0.62263129399024597</v>
      </c>
      <c r="I1726">
        <f t="shared" si="158"/>
        <v>36.5</v>
      </c>
      <c r="J1726" s="6" cm="1">
        <f t="array" ref="J1726">_xlfn.STDEV.S(IF($A:$A=A1726, $F:$F))</f>
        <v>0.44056781543821244</v>
      </c>
      <c r="P1726" s="8">
        <f t="shared" si="159"/>
        <v>-0.62263129399024597</v>
      </c>
      <c r="Q1726" s="8">
        <f t="shared" si="160"/>
        <v>-0.62263129399024597</v>
      </c>
      <c r="R1726" s="8">
        <f t="shared" si="161"/>
        <v>-0.62263129399024597</v>
      </c>
    </row>
    <row r="1727" spans="1:18" x14ac:dyDescent="0.25">
      <c r="A1727" s="7">
        <f t="shared" si="156"/>
        <v>346</v>
      </c>
      <c r="B1727" s="2">
        <v>45447</v>
      </c>
      <c r="C1727" s="3">
        <v>36.79</v>
      </c>
      <c r="D1727" s="3">
        <v>37.39</v>
      </c>
      <c r="E1727" s="3">
        <v>36.71</v>
      </c>
      <c r="F1727" s="3">
        <v>37.17</v>
      </c>
      <c r="G1727" s="3">
        <v>3809449</v>
      </c>
      <c r="H1727" s="8">
        <f t="shared" si="157"/>
        <v>-1.0223298358891648</v>
      </c>
      <c r="I1727">
        <f t="shared" si="158"/>
        <v>36.803999999999995</v>
      </c>
      <c r="J1727" s="6" cm="1">
        <f t="array" ref="J1727">_xlfn.STDEV.S(IF($A:$A=A1727, $F:$F))</f>
        <v>0.24724481794367265</v>
      </c>
      <c r="P1727" s="8">
        <f t="shared" si="159"/>
        <v>-1.0223298358891648</v>
      </c>
      <c r="Q1727" s="8">
        <f t="shared" si="160"/>
        <v>-1.0223298358891648</v>
      </c>
      <c r="R1727" s="8">
        <f t="shared" si="161"/>
        <v>-1.0223298358891648</v>
      </c>
    </row>
    <row r="1728" spans="1:18" x14ac:dyDescent="0.25">
      <c r="A1728" s="7">
        <f t="shared" si="156"/>
        <v>346</v>
      </c>
      <c r="B1728" s="2">
        <v>45448</v>
      </c>
      <c r="C1728" s="3">
        <v>37.200000000000003</v>
      </c>
      <c r="D1728" s="3">
        <v>37.619999999999997</v>
      </c>
      <c r="E1728" s="3">
        <v>36.9</v>
      </c>
      <c r="F1728" s="3">
        <v>36.9</v>
      </c>
      <c r="G1728" s="3">
        <v>4280056</v>
      </c>
      <c r="H1728" s="8">
        <f t="shared" si="157"/>
        <v>-1.0223298358891648</v>
      </c>
      <c r="I1728">
        <f t="shared" si="158"/>
        <v>36.803999999999995</v>
      </c>
      <c r="J1728" s="6" cm="1">
        <f t="array" ref="J1728">_xlfn.STDEV.S(IF($A:$A=A1728, $F:$F))</f>
        <v>0.24724481794367265</v>
      </c>
      <c r="P1728" s="8">
        <f t="shared" si="159"/>
        <v>-1.0223298358891648</v>
      </c>
      <c r="Q1728" s="8">
        <f t="shared" si="160"/>
        <v>-1.0223298358891648</v>
      </c>
      <c r="R1728" s="8">
        <f t="shared" si="161"/>
        <v>-1.0223298358891648</v>
      </c>
    </row>
    <row r="1729" spans="1:18" x14ac:dyDescent="0.25">
      <c r="A1729" s="7">
        <f t="shared" si="156"/>
        <v>346</v>
      </c>
      <c r="B1729" s="2">
        <v>45449</v>
      </c>
      <c r="C1729" s="3">
        <v>37.049999999999997</v>
      </c>
      <c r="D1729" s="3">
        <v>37.200000000000003</v>
      </c>
      <c r="E1729" s="3">
        <v>36.33</v>
      </c>
      <c r="F1729" s="3">
        <v>36.56</v>
      </c>
      <c r="G1729" s="3">
        <v>3806880</v>
      </c>
      <c r="H1729" s="8">
        <f t="shared" si="157"/>
        <v>-1.0223298358891648</v>
      </c>
      <c r="I1729">
        <f t="shared" si="158"/>
        <v>36.803999999999995</v>
      </c>
      <c r="J1729" s="6" cm="1">
        <f t="array" ref="J1729">_xlfn.STDEV.S(IF($A:$A=A1729, $F:$F))</f>
        <v>0.24724481794367265</v>
      </c>
      <c r="P1729" s="8">
        <f t="shared" si="159"/>
        <v>-1.0223298358891648</v>
      </c>
      <c r="Q1729" s="8">
        <f t="shared" si="160"/>
        <v>-1.0223298358891648</v>
      </c>
      <c r="R1729" s="8">
        <f t="shared" si="161"/>
        <v>-1.0223298358891648</v>
      </c>
    </row>
    <row r="1730" spans="1:18" x14ac:dyDescent="0.25">
      <c r="A1730" s="7">
        <f t="shared" si="156"/>
        <v>346</v>
      </c>
      <c r="B1730" s="2">
        <v>45450</v>
      </c>
      <c r="C1730" s="3">
        <v>36.86</v>
      </c>
      <c r="D1730" s="3">
        <v>37.130000000000003</v>
      </c>
      <c r="E1730" s="3">
        <v>36.479999999999997</v>
      </c>
      <c r="F1730" s="3">
        <v>36.6</v>
      </c>
      <c r="G1730" s="3">
        <v>2581997</v>
      </c>
      <c r="H1730" s="8">
        <f t="shared" si="157"/>
        <v>-1.0223298358891648</v>
      </c>
      <c r="I1730">
        <f t="shared" si="158"/>
        <v>36.803999999999995</v>
      </c>
      <c r="J1730" s="6" cm="1">
        <f t="array" ref="J1730">_xlfn.STDEV.S(IF($A:$A=A1730, $F:$F))</f>
        <v>0.24724481794367265</v>
      </c>
      <c r="P1730" s="8">
        <f t="shared" si="159"/>
        <v>-1.0223298358891648</v>
      </c>
      <c r="Q1730" s="8">
        <f t="shared" si="160"/>
        <v>-1.0223298358891648</v>
      </c>
      <c r="R1730" s="8">
        <f t="shared" si="161"/>
        <v>-1.0223298358891648</v>
      </c>
    </row>
    <row r="1731" spans="1:18" x14ac:dyDescent="0.25">
      <c r="A1731" s="7">
        <f t="shared" ref="A1731:A1794" si="162">INT((ROW(A1731)-ROW($A$2))/5) + 1</f>
        <v>346</v>
      </c>
      <c r="B1731" s="2">
        <v>45453</v>
      </c>
      <c r="C1731" s="3">
        <v>36.79</v>
      </c>
      <c r="D1731" s="3">
        <v>37.24</v>
      </c>
      <c r="E1731" s="3">
        <v>36.71</v>
      </c>
      <c r="F1731" s="3">
        <v>36.79</v>
      </c>
      <c r="G1731" s="3">
        <v>3795866</v>
      </c>
      <c r="H1731" s="8">
        <f t="shared" ref="H1731:H1794" si="163">IF(A1731=A1730, H1730, (F1735-F1731)/F1731*100)</f>
        <v>-1.0223298358891648</v>
      </c>
      <c r="I1731">
        <f t="shared" ref="I1731:I1794" si="164">AVERAGEIF($A:$A, A1731, $F:$F)</f>
        <v>36.803999999999995</v>
      </c>
      <c r="J1731" s="6" cm="1">
        <f t="array" ref="J1731">_xlfn.STDEV.S(IF($A:$A=A1731, $F:$F))</f>
        <v>0.24724481794367265</v>
      </c>
      <c r="P1731" s="8">
        <f t="shared" ref="P1731:P1794" si="165">IF(A1731=A1730,P1730,(F1735-F1731)/F1731*100)</f>
        <v>-1.0223298358891648</v>
      </c>
      <c r="Q1731" s="8">
        <f t="shared" ref="Q1731:Q1794" si="166">IF(A1731=A1730,Q1730,(F1735-F1731)/F1731*100)</f>
        <v>-1.0223298358891648</v>
      </c>
      <c r="R1731" s="8">
        <f t="shared" ref="R1731:R1794" si="167">IF(A1731=A1730,R1730,(F1735-F1731)/F1731*100)</f>
        <v>-1.0223298358891648</v>
      </c>
    </row>
    <row r="1732" spans="1:18" x14ac:dyDescent="0.25">
      <c r="A1732" s="7">
        <f t="shared" si="162"/>
        <v>347</v>
      </c>
      <c r="B1732" s="2">
        <v>45454</v>
      </c>
      <c r="C1732" s="3">
        <v>36.9</v>
      </c>
      <c r="D1732" s="3">
        <v>38.6</v>
      </c>
      <c r="E1732" s="3">
        <v>36.75</v>
      </c>
      <c r="F1732" s="3">
        <v>38.6</v>
      </c>
      <c r="G1732" s="3">
        <v>13005397</v>
      </c>
      <c r="H1732" s="8">
        <f t="shared" si="163"/>
        <v>-4.5854922279792829</v>
      </c>
      <c r="I1732">
        <f t="shared" si="164"/>
        <v>37.932000000000002</v>
      </c>
      <c r="J1732" s="6" cm="1">
        <f t="array" ref="J1732">_xlfn.STDEV.S(IF($A:$A=A1732, $F:$F))</f>
        <v>0.90220285967181446</v>
      </c>
      <c r="P1732" s="8">
        <f t="shared" si="165"/>
        <v>-4.5854922279792829</v>
      </c>
      <c r="Q1732" s="8">
        <f t="shared" si="166"/>
        <v>-4.5854922279792829</v>
      </c>
      <c r="R1732" s="8">
        <f t="shared" si="167"/>
        <v>-4.5854922279792829</v>
      </c>
    </row>
    <row r="1733" spans="1:18" x14ac:dyDescent="0.25">
      <c r="A1733" s="7">
        <f t="shared" si="162"/>
        <v>347</v>
      </c>
      <c r="B1733" s="2">
        <v>45455</v>
      </c>
      <c r="C1733" s="3">
        <v>38.6</v>
      </c>
      <c r="D1733" s="3">
        <v>38.979999999999997</v>
      </c>
      <c r="E1733" s="3">
        <v>38.229999999999997</v>
      </c>
      <c r="F1733" s="3">
        <v>38.76</v>
      </c>
      <c r="G1733" s="3">
        <v>4319757</v>
      </c>
      <c r="H1733" s="8">
        <f t="shared" si="163"/>
        <v>-4.5854922279792829</v>
      </c>
      <c r="I1733">
        <f t="shared" si="164"/>
        <v>37.932000000000002</v>
      </c>
      <c r="J1733" s="6" cm="1">
        <f t="array" ref="J1733">_xlfn.STDEV.S(IF($A:$A=A1733, $F:$F))</f>
        <v>0.90220285967181446</v>
      </c>
      <c r="P1733" s="8">
        <f t="shared" si="165"/>
        <v>-4.5854922279792829</v>
      </c>
      <c r="Q1733" s="8">
        <f t="shared" si="166"/>
        <v>-4.5854922279792829</v>
      </c>
      <c r="R1733" s="8">
        <f t="shared" si="167"/>
        <v>-4.5854922279792829</v>
      </c>
    </row>
    <row r="1734" spans="1:18" x14ac:dyDescent="0.25">
      <c r="A1734" s="7">
        <f t="shared" si="162"/>
        <v>347</v>
      </c>
      <c r="B1734" s="2">
        <v>45456</v>
      </c>
      <c r="C1734" s="3">
        <v>38.979999999999997</v>
      </c>
      <c r="D1734" s="3">
        <v>38.979999999999997</v>
      </c>
      <c r="E1734" s="3">
        <v>38.380000000000003</v>
      </c>
      <c r="F1734" s="3">
        <v>38.380000000000003</v>
      </c>
      <c r="G1734" s="3">
        <v>5383606</v>
      </c>
      <c r="H1734" s="8">
        <f t="shared" si="163"/>
        <v>-4.5854922279792829</v>
      </c>
      <c r="I1734">
        <f t="shared" si="164"/>
        <v>37.932000000000002</v>
      </c>
      <c r="J1734" s="6" cm="1">
        <f t="array" ref="J1734">_xlfn.STDEV.S(IF($A:$A=A1734, $F:$F))</f>
        <v>0.90220285967181446</v>
      </c>
      <c r="P1734" s="8">
        <f t="shared" si="165"/>
        <v>-4.5854922279792829</v>
      </c>
      <c r="Q1734" s="8">
        <f t="shared" si="166"/>
        <v>-4.5854922279792829</v>
      </c>
      <c r="R1734" s="8">
        <f t="shared" si="167"/>
        <v>-4.5854922279792829</v>
      </c>
    </row>
    <row r="1735" spans="1:18" x14ac:dyDescent="0.25">
      <c r="A1735" s="7">
        <f t="shared" si="162"/>
        <v>347</v>
      </c>
      <c r="B1735" s="2">
        <v>45457</v>
      </c>
      <c r="C1735" s="3">
        <v>38.6</v>
      </c>
      <c r="D1735" s="3">
        <v>39.06</v>
      </c>
      <c r="E1735" s="3">
        <v>37.090000000000003</v>
      </c>
      <c r="F1735" s="3">
        <v>37.090000000000003</v>
      </c>
      <c r="G1735" s="3">
        <v>9750767</v>
      </c>
      <c r="H1735" s="8">
        <f t="shared" si="163"/>
        <v>-4.5854922279792829</v>
      </c>
      <c r="I1735">
        <f t="shared" si="164"/>
        <v>37.932000000000002</v>
      </c>
      <c r="J1735" s="6" cm="1">
        <f t="array" ref="J1735">_xlfn.STDEV.S(IF($A:$A=A1735, $F:$F))</f>
        <v>0.90220285967181446</v>
      </c>
      <c r="P1735" s="8">
        <f t="shared" si="165"/>
        <v>-4.5854922279792829</v>
      </c>
      <c r="Q1735" s="8">
        <f t="shared" si="166"/>
        <v>-4.5854922279792829</v>
      </c>
      <c r="R1735" s="8">
        <f t="shared" si="167"/>
        <v>-4.5854922279792829</v>
      </c>
    </row>
    <row r="1736" spans="1:18" x14ac:dyDescent="0.25">
      <c r="A1736" s="7">
        <f t="shared" si="162"/>
        <v>347</v>
      </c>
      <c r="B1736" s="2">
        <v>45460</v>
      </c>
      <c r="C1736" s="3">
        <v>37.049999999999997</v>
      </c>
      <c r="D1736" s="3">
        <v>37.39</v>
      </c>
      <c r="E1736" s="3">
        <v>36.71</v>
      </c>
      <c r="F1736" s="3">
        <v>36.83</v>
      </c>
      <c r="G1736" s="3">
        <v>4002456</v>
      </c>
      <c r="H1736" s="8">
        <f t="shared" si="163"/>
        <v>-4.5854922279792829</v>
      </c>
      <c r="I1736">
        <f t="shared" si="164"/>
        <v>37.932000000000002</v>
      </c>
      <c r="J1736" s="6" cm="1">
        <f t="array" ref="J1736">_xlfn.STDEV.S(IF($A:$A=A1736, $F:$F))</f>
        <v>0.90220285967181446</v>
      </c>
      <c r="P1736" s="8">
        <f t="shared" si="165"/>
        <v>-4.5854922279792829</v>
      </c>
      <c r="Q1736" s="8">
        <f t="shared" si="166"/>
        <v>-4.5854922279792829</v>
      </c>
      <c r="R1736" s="8">
        <f t="shared" si="167"/>
        <v>-4.5854922279792829</v>
      </c>
    </row>
    <row r="1737" spans="1:18" x14ac:dyDescent="0.25">
      <c r="A1737" s="7">
        <f t="shared" si="162"/>
        <v>348</v>
      </c>
      <c r="B1737" s="2">
        <v>45461</v>
      </c>
      <c r="C1737" s="3">
        <v>37.090000000000003</v>
      </c>
      <c r="D1737" s="3">
        <v>37.39</v>
      </c>
      <c r="E1737" s="3">
        <v>36.79</v>
      </c>
      <c r="F1737" s="3">
        <v>36.79</v>
      </c>
      <c r="G1737" s="3">
        <v>3232447</v>
      </c>
      <c r="H1737" s="8">
        <f t="shared" si="163"/>
        <v>-6.3876053275346596</v>
      </c>
      <c r="I1737">
        <f t="shared" si="164"/>
        <v>36.339999999999996</v>
      </c>
      <c r="J1737" s="6" cm="1">
        <f t="array" ref="J1737">_xlfn.STDEV.S(IF($A:$A=A1737, $F:$F))</f>
        <v>1.0870372578711378</v>
      </c>
      <c r="P1737" s="8">
        <f t="shared" si="165"/>
        <v>-6.3876053275346596</v>
      </c>
      <c r="Q1737" s="8">
        <f t="shared" si="166"/>
        <v>-6.3876053275346596</v>
      </c>
      <c r="R1737" s="8">
        <f t="shared" si="167"/>
        <v>-6.3876053275346596</v>
      </c>
    </row>
    <row r="1738" spans="1:18" x14ac:dyDescent="0.25">
      <c r="A1738" s="7">
        <f t="shared" si="162"/>
        <v>348</v>
      </c>
      <c r="B1738" s="2">
        <v>45462</v>
      </c>
      <c r="C1738" s="3">
        <v>36.86</v>
      </c>
      <c r="D1738" s="3">
        <v>37.619999999999997</v>
      </c>
      <c r="E1738" s="3">
        <v>36.64</v>
      </c>
      <c r="F1738" s="3">
        <v>37.130000000000003</v>
      </c>
      <c r="G1738" s="3">
        <v>4871489</v>
      </c>
      <c r="H1738" s="8">
        <f t="shared" si="163"/>
        <v>-6.3876053275346596</v>
      </c>
      <c r="I1738">
        <f t="shared" si="164"/>
        <v>36.339999999999996</v>
      </c>
      <c r="J1738" s="6" cm="1">
        <f t="array" ref="J1738">_xlfn.STDEV.S(IF($A:$A=A1738, $F:$F))</f>
        <v>1.0870372578711378</v>
      </c>
      <c r="P1738" s="8">
        <f t="shared" si="165"/>
        <v>-6.3876053275346596</v>
      </c>
      <c r="Q1738" s="8">
        <f t="shared" si="166"/>
        <v>-6.3876053275346596</v>
      </c>
      <c r="R1738" s="8">
        <f t="shared" si="167"/>
        <v>-6.3876053275346596</v>
      </c>
    </row>
    <row r="1739" spans="1:18" x14ac:dyDescent="0.25">
      <c r="A1739" s="7">
        <f t="shared" si="162"/>
        <v>348</v>
      </c>
      <c r="B1739" s="2">
        <v>45463</v>
      </c>
      <c r="C1739" s="3">
        <v>37.130000000000003</v>
      </c>
      <c r="D1739" s="3">
        <v>37.39</v>
      </c>
      <c r="E1739" s="3">
        <v>36.56</v>
      </c>
      <c r="F1739" s="3">
        <v>36.86</v>
      </c>
      <c r="G1739" s="3">
        <v>3237713</v>
      </c>
      <c r="H1739" s="8">
        <f t="shared" si="163"/>
        <v>-6.3876053275346596</v>
      </c>
      <c r="I1739">
        <f t="shared" si="164"/>
        <v>36.339999999999996</v>
      </c>
      <c r="J1739" s="6" cm="1">
        <f t="array" ref="J1739">_xlfn.STDEV.S(IF($A:$A=A1739, $F:$F))</f>
        <v>1.0870372578711378</v>
      </c>
      <c r="P1739" s="8">
        <f t="shared" si="165"/>
        <v>-6.3876053275346596</v>
      </c>
      <c r="Q1739" s="8">
        <f t="shared" si="166"/>
        <v>-6.3876053275346596</v>
      </c>
      <c r="R1739" s="8">
        <f t="shared" si="167"/>
        <v>-6.3876053275346596</v>
      </c>
    </row>
    <row r="1740" spans="1:18" x14ac:dyDescent="0.25">
      <c r="A1740" s="7">
        <f t="shared" si="162"/>
        <v>348</v>
      </c>
      <c r="B1740" s="2">
        <v>45464</v>
      </c>
      <c r="C1740" s="3">
        <v>37.090000000000003</v>
      </c>
      <c r="D1740" s="3">
        <v>37.090000000000003</v>
      </c>
      <c r="E1740" s="3">
        <v>36.479999999999997</v>
      </c>
      <c r="F1740" s="3">
        <v>36.479999999999997</v>
      </c>
      <c r="G1740" s="3">
        <v>4413619</v>
      </c>
      <c r="H1740" s="8">
        <f t="shared" si="163"/>
        <v>-6.3876053275346596</v>
      </c>
      <c r="I1740">
        <f t="shared" si="164"/>
        <v>36.339999999999996</v>
      </c>
      <c r="J1740" s="6" cm="1">
        <f t="array" ref="J1740">_xlfn.STDEV.S(IF($A:$A=A1740, $F:$F))</f>
        <v>1.0870372578711378</v>
      </c>
      <c r="P1740" s="8">
        <f t="shared" si="165"/>
        <v>-6.3876053275346596</v>
      </c>
      <c r="Q1740" s="8">
        <f t="shared" si="166"/>
        <v>-6.3876053275346596</v>
      </c>
      <c r="R1740" s="8">
        <f t="shared" si="167"/>
        <v>-6.3876053275346596</v>
      </c>
    </row>
    <row r="1741" spans="1:18" x14ac:dyDescent="0.25">
      <c r="A1741" s="7">
        <f t="shared" si="162"/>
        <v>348</v>
      </c>
      <c r="B1741" s="2">
        <v>45467</v>
      </c>
      <c r="C1741" s="3">
        <v>36.11</v>
      </c>
      <c r="D1741" s="3">
        <v>36.479999999999997</v>
      </c>
      <c r="E1741" s="3">
        <v>34.44</v>
      </c>
      <c r="F1741" s="3">
        <v>34.44</v>
      </c>
      <c r="G1741" s="3">
        <v>11063613</v>
      </c>
      <c r="H1741" s="8">
        <f t="shared" si="163"/>
        <v>-6.3876053275346596</v>
      </c>
      <c r="I1741">
        <f t="shared" si="164"/>
        <v>36.339999999999996</v>
      </c>
      <c r="J1741" s="6" cm="1">
        <f t="array" ref="J1741">_xlfn.STDEV.S(IF($A:$A=A1741, $F:$F))</f>
        <v>1.0870372578711378</v>
      </c>
      <c r="P1741" s="8">
        <f t="shared" si="165"/>
        <v>-6.3876053275346596</v>
      </c>
      <c r="Q1741" s="8">
        <f t="shared" si="166"/>
        <v>-6.3876053275346596</v>
      </c>
      <c r="R1741" s="8">
        <f t="shared" si="167"/>
        <v>-6.3876053275346596</v>
      </c>
    </row>
    <row r="1742" spans="1:18" x14ac:dyDescent="0.25">
      <c r="A1742" s="7">
        <f t="shared" si="162"/>
        <v>349</v>
      </c>
      <c r="B1742" s="2">
        <v>45468</v>
      </c>
      <c r="C1742" s="3">
        <v>34.590000000000003</v>
      </c>
      <c r="D1742" s="3">
        <v>35.35</v>
      </c>
      <c r="E1742" s="3">
        <v>34.479999999999997</v>
      </c>
      <c r="F1742" s="3">
        <v>35.35</v>
      </c>
      <c r="G1742" s="3">
        <v>4328808</v>
      </c>
      <c r="H1742" s="8">
        <f t="shared" si="163"/>
        <v>0.96181046676095139</v>
      </c>
      <c r="I1742">
        <f t="shared" si="164"/>
        <v>35.154000000000003</v>
      </c>
      <c r="J1742" s="6" cm="1">
        <f t="array" ref="J1742">_xlfn.STDEV.S(IF($A:$A=A1742, $F:$F))</f>
        <v>0.36773631857623151</v>
      </c>
      <c r="P1742" s="8">
        <f t="shared" si="165"/>
        <v>0.96181046676095139</v>
      </c>
      <c r="Q1742" s="8">
        <f t="shared" si="166"/>
        <v>0.96181046676095139</v>
      </c>
      <c r="R1742" s="8">
        <f t="shared" si="167"/>
        <v>0.96181046676095139</v>
      </c>
    </row>
    <row r="1743" spans="1:18" x14ac:dyDescent="0.25">
      <c r="A1743" s="7">
        <f t="shared" si="162"/>
        <v>349</v>
      </c>
      <c r="B1743" s="2">
        <v>45469</v>
      </c>
      <c r="C1743" s="3">
        <v>35.270000000000003</v>
      </c>
      <c r="D1743" s="3">
        <v>35.35</v>
      </c>
      <c r="E1743" s="3">
        <v>34.44</v>
      </c>
      <c r="F1743" s="3">
        <v>35.049999999999997</v>
      </c>
      <c r="G1743" s="3">
        <v>2559491</v>
      </c>
      <c r="H1743" s="8">
        <f t="shared" si="163"/>
        <v>0.96181046676095139</v>
      </c>
      <c r="I1743">
        <f t="shared" si="164"/>
        <v>35.154000000000003</v>
      </c>
      <c r="J1743" s="6" cm="1">
        <f t="array" ref="J1743">_xlfn.STDEV.S(IF($A:$A=A1743, $F:$F))</f>
        <v>0.36773631857623151</v>
      </c>
      <c r="P1743" s="8">
        <f t="shared" si="165"/>
        <v>0.96181046676095139</v>
      </c>
      <c r="Q1743" s="8">
        <f t="shared" si="166"/>
        <v>0.96181046676095139</v>
      </c>
      <c r="R1743" s="8">
        <f t="shared" si="167"/>
        <v>0.96181046676095139</v>
      </c>
    </row>
    <row r="1744" spans="1:18" x14ac:dyDescent="0.25">
      <c r="A1744" s="7">
        <f t="shared" si="162"/>
        <v>349</v>
      </c>
      <c r="B1744" s="2">
        <v>45470</v>
      </c>
      <c r="C1744" s="3">
        <v>35.049999999999997</v>
      </c>
      <c r="D1744" s="3">
        <v>35.200000000000003</v>
      </c>
      <c r="E1744" s="3">
        <v>34.74</v>
      </c>
      <c r="F1744" s="3">
        <v>34.78</v>
      </c>
      <c r="G1744" s="3">
        <v>1806652</v>
      </c>
      <c r="H1744" s="8">
        <f t="shared" si="163"/>
        <v>0.96181046676095139</v>
      </c>
      <c r="I1744">
        <f t="shared" si="164"/>
        <v>35.154000000000003</v>
      </c>
      <c r="J1744" s="6" cm="1">
        <f t="array" ref="J1744">_xlfn.STDEV.S(IF($A:$A=A1744, $F:$F))</f>
        <v>0.36773631857623151</v>
      </c>
      <c r="P1744" s="8">
        <f t="shared" si="165"/>
        <v>0.96181046676095139</v>
      </c>
      <c r="Q1744" s="8">
        <f t="shared" si="166"/>
        <v>0.96181046676095139</v>
      </c>
      <c r="R1744" s="8">
        <f t="shared" si="167"/>
        <v>0.96181046676095139</v>
      </c>
    </row>
    <row r="1745" spans="1:18" x14ac:dyDescent="0.25">
      <c r="A1745" s="7">
        <f t="shared" si="162"/>
        <v>349</v>
      </c>
      <c r="B1745" s="2">
        <v>45471</v>
      </c>
      <c r="C1745" s="3">
        <v>34.78</v>
      </c>
      <c r="D1745" s="3">
        <v>35.65</v>
      </c>
      <c r="E1745" s="3">
        <v>34.74</v>
      </c>
      <c r="F1745" s="3">
        <v>34.9</v>
      </c>
      <c r="G1745" s="3">
        <v>3802088</v>
      </c>
      <c r="H1745" s="8">
        <f t="shared" si="163"/>
        <v>0.96181046676095139</v>
      </c>
      <c r="I1745">
        <f t="shared" si="164"/>
        <v>35.154000000000003</v>
      </c>
      <c r="J1745" s="6" cm="1">
        <f t="array" ref="J1745">_xlfn.STDEV.S(IF($A:$A=A1745, $F:$F))</f>
        <v>0.36773631857623151</v>
      </c>
      <c r="P1745" s="8">
        <f t="shared" si="165"/>
        <v>0.96181046676095139</v>
      </c>
      <c r="Q1745" s="8">
        <f t="shared" si="166"/>
        <v>0.96181046676095139</v>
      </c>
      <c r="R1745" s="8">
        <f t="shared" si="167"/>
        <v>0.96181046676095139</v>
      </c>
    </row>
    <row r="1746" spans="1:18" x14ac:dyDescent="0.25">
      <c r="A1746" s="7">
        <f t="shared" si="162"/>
        <v>349</v>
      </c>
      <c r="B1746" s="2">
        <v>45474</v>
      </c>
      <c r="C1746" s="3">
        <v>34.93</v>
      </c>
      <c r="D1746" s="3">
        <v>35.770000000000003</v>
      </c>
      <c r="E1746" s="3">
        <v>34.9</v>
      </c>
      <c r="F1746" s="3">
        <v>35.69</v>
      </c>
      <c r="G1746" s="3">
        <v>2759135</v>
      </c>
      <c r="H1746" s="8">
        <f t="shared" si="163"/>
        <v>0.96181046676095139</v>
      </c>
      <c r="I1746">
        <f t="shared" si="164"/>
        <v>35.154000000000003</v>
      </c>
      <c r="J1746" s="6" cm="1">
        <f t="array" ref="J1746">_xlfn.STDEV.S(IF($A:$A=A1746, $F:$F))</f>
        <v>0.36773631857623151</v>
      </c>
      <c r="P1746" s="8">
        <f t="shared" si="165"/>
        <v>0.96181046676095139</v>
      </c>
      <c r="Q1746" s="8">
        <f t="shared" si="166"/>
        <v>0.96181046676095139</v>
      </c>
      <c r="R1746" s="8">
        <f t="shared" si="167"/>
        <v>0.96181046676095139</v>
      </c>
    </row>
    <row r="1747" spans="1:18" x14ac:dyDescent="0.25">
      <c r="A1747" s="7">
        <f t="shared" si="162"/>
        <v>350</v>
      </c>
      <c r="B1747" s="2">
        <v>45475</v>
      </c>
      <c r="C1747" s="3">
        <v>35.69</v>
      </c>
      <c r="D1747" s="3">
        <v>36.07</v>
      </c>
      <c r="E1747" s="3">
        <v>35.58</v>
      </c>
      <c r="F1747" s="3">
        <v>35.69</v>
      </c>
      <c r="G1747" s="3">
        <v>1924969</v>
      </c>
      <c r="H1747" s="8">
        <f t="shared" si="163"/>
        <v>0.11207621182403797</v>
      </c>
      <c r="I1747">
        <f t="shared" si="164"/>
        <v>35.719999999999992</v>
      </c>
      <c r="J1747" s="6" cm="1">
        <f t="array" ref="J1747">_xlfn.STDEV.S(IF($A:$A=A1747, $F:$F))</f>
        <v>5.5677643628299668E-2</v>
      </c>
      <c r="P1747" s="8">
        <f t="shared" si="165"/>
        <v>0.11207621182403797</v>
      </c>
      <c r="Q1747" s="8">
        <f t="shared" si="166"/>
        <v>0.11207621182403797</v>
      </c>
      <c r="R1747" s="8">
        <f t="shared" si="167"/>
        <v>0.11207621182403797</v>
      </c>
    </row>
    <row r="1748" spans="1:18" x14ac:dyDescent="0.25">
      <c r="A1748" s="7">
        <f t="shared" si="162"/>
        <v>350</v>
      </c>
      <c r="B1748" s="2">
        <v>45476</v>
      </c>
      <c r="C1748" s="3">
        <v>35.840000000000003</v>
      </c>
      <c r="D1748" s="3">
        <v>36.03</v>
      </c>
      <c r="E1748" s="3">
        <v>35.65</v>
      </c>
      <c r="F1748" s="3">
        <v>35.729999999999997</v>
      </c>
      <c r="G1748" s="3">
        <v>2181015</v>
      </c>
      <c r="H1748" s="8">
        <f t="shared" si="163"/>
        <v>0.11207621182403797</v>
      </c>
      <c r="I1748">
        <f t="shared" si="164"/>
        <v>35.719999999999992</v>
      </c>
      <c r="J1748" s="6" cm="1">
        <f t="array" ref="J1748">_xlfn.STDEV.S(IF($A:$A=A1748, $F:$F))</f>
        <v>5.5677643628299668E-2</v>
      </c>
      <c r="P1748" s="8">
        <f t="shared" si="165"/>
        <v>0.11207621182403797</v>
      </c>
      <c r="Q1748" s="8">
        <f t="shared" si="166"/>
        <v>0.11207621182403797</v>
      </c>
      <c r="R1748" s="8">
        <f t="shared" si="167"/>
        <v>0.11207621182403797</v>
      </c>
    </row>
    <row r="1749" spans="1:18" x14ac:dyDescent="0.25">
      <c r="A1749" s="7">
        <f t="shared" si="162"/>
        <v>350</v>
      </c>
      <c r="B1749" s="2">
        <v>45477</v>
      </c>
      <c r="C1749" s="3">
        <v>35.770000000000003</v>
      </c>
      <c r="D1749" s="3">
        <v>36.26</v>
      </c>
      <c r="E1749" s="3">
        <v>35.54</v>
      </c>
      <c r="F1749" s="3">
        <v>35.799999999999997</v>
      </c>
      <c r="G1749" s="3">
        <v>1914724</v>
      </c>
      <c r="H1749" s="8">
        <f t="shared" si="163"/>
        <v>0.11207621182403797</v>
      </c>
      <c r="I1749">
        <f t="shared" si="164"/>
        <v>35.719999999999992</v>
      </c>
      <c r="J1749" s="6" cm="1">
        <f t="array" ref="J1749">_xlfn.STDEV.S(IF($A:$A=A1749, $F:$F))</f>
        <v>5.5677643628299668E-2</v>
      </c>
      <c r="P1749" s="8">
        <f t="shared" si="165"/>
        <v>0.11207621182403797</v>
      </c>
      <c r="Q1749" s="8">
        <f t="shared" si="166"/>
        <v>0.11207621182403797</v>
      </c>
      <c r="R1749" s="8">
        <f t="shared" si="167"/>
        <v>0.11207621182403797</v>
      </c>
    </row>
    <row r="1750" spans="1:18" x14ac:dyDescent="0.25">
      <c r="A1750" s="7">
        <f t="shared" si="162"/>
        <v>350</v>
      </c>
      <c r="B1750" s="2">
        <v>45478</v>
      </c>
      <c r="C1750" s="3">
        <v>35.99</v>
      </c>
      <c r="D1750" s="3">
        <v>36.11</v>
      </c>
      <c r="E1750" s="3">
        <v>35.46</v>
      </c>
      <c r="F1750" s="3">
        <v>35.65</v>
      </c>
      <c r="G1750" s="3">
        <v>1934552</v>
      </c>
      <c r="H1750" s="8">
        <f t="shared" si="163"/>
        <v>0.11207621182403797</v>
      </c>
      <c r="I1750">
        <f t="shared" si="164"/>
        <v>35.719999999999992</v>
      </c>
      <c r="J1750" s="6" cm="1">
        <f t="array" ref="J1750">_xlfn.STDEV.S(IF($A:$A=A1750, $F:$F))</f>
        <v>5.5677643628299668E-2</v>
      </c>
      <c r="P1750" s="8">
        <f t="shared" si="165"/>
        <v>0.11207621182403797</v>
      </c>
      <c r="Q1750" s="8">
        <f t="shared" si="166"/>
        <v>0.11207621182403797</v>
      </c>
      <c r="R1750" s="8">
        <f t="shared" si="167"/>
        <v>0.11207621182403797</v>
      </c>
    </row>
    <row r="1751" spans="1:18" x14ac:dyDescent="0.25">
      <c r="A1751" s="7">
        <f t="shared" si="162"/>
        <v>350</v>
      </c>
      <c r="B1751" s="2">
        <v>45481</v>
      </c>
      <c r="C1751" s="3">
        <v>35.799999999999997</v>
      </c>
      <c r="D1751" s="3">
        <v>36.18</v>
      </c>
      <c r="E1751" s="3">
        <v>35.61</v>
      </c>
      <c r="F1751" s="3">
        <v>35.729999999999997</v>
      </c>
      <c r="G1751" s="3">
        <v>1936946</v>
      </c>
      <c r="H1751" s="8">
        <f t="shared" si="163"/>
        <v>0.11207621182403797</v>
      </c>
      <c r="I1751">
        <f t="shared" si="164"/>
        <v>35.719999999999992</v>
      </c>
      <c r="J1751" s="6" cm="1">
        <f t="array" ref="J1751">_xlfn.STDEV.S(IF($A:$A=A1751, $F:$F))</f>
        <v>5.5677643628299668E-2</v>
      </c>
      <c r="P1751" s="8">
        <f t="shared" si="165"/>
        <v>0.11207621182403797</v>
      </c>
      <c r="Q1751" s="8">
        <f t="shared" si="166"/>
        <v>0.11207621182403797</v>
      </c>
      <c r="R1751" s="8">
        <f t="shared" si="167"/>
        <v>0.11207621182403797</v>
      </c>
    </row>
    <row r="1752" spans="1:18" x14ac:dyDescent="0.25">
      <c r="A1752" s="7">
        <f t="shared" si="162"/>
        <v>351</v>
      </c>
      <c r="B1752" s="2">
        <v>45482</v>
      </c>
      <c r="C1752" s="3">
        <v>35.880000000000003</v>
      </c>
      <c r="D1752" s="3">
        <v>36.450000000000003</v>
      </c>
      <c r="E1752" s="3">
        <v>35.729999999999997</v>
      </c>
      <c r="F1752" s="3">
        <v>36.33</v>
      </c>
      <c r="G1752" s="3">
        <v>4240501</v>
      </c>
      <c r="H1752" s="8">
        <f t="shared" si="163"/>
        <v>0.1101018442058881</v>
      </c>
      <c r="I1752">
        <f t="shared" si="164"/>
        <v>36.204000000000001</v>
      </c>
      <c r="J1752" s="6" cm="1">
        <f t="array" ref="J1752">_xlfn.STDEV.S(IF($A:$A=A1752, $F:$F))</f>
        <v>0.26791789787171788</v>
      </c>
      <c r="P1752" s="8">
        <f t="shared" si="165"/>
        <v>0.1101018442058881</v>
      </c>
      <c r="Q1752" s="8">
        <f t="shared" si="166"/>
        <v>0.1101018442058881</v>
      </c>
      <c r="R1752" s="8">
        <f t="shared" si="167"/>
        <v>0.1101018442058881</v>
      </c>
    </row>
    <row r="1753" spans="1:18" x14ac:dyDescent="0.25">
      <c r="A1753" s="7">
        <f t="shared" si="162"/>
        <v>351</v>
      </c>
      <c r="B1753" s="2">
        <v>45483</v>
      </c>
      <c r="C1753" s="3">
        <v>36.33</v>
      </c>
      <c r="D1753" s="3">
        <v>36.33</v>
      </c>
      <c r="E1753" s="3">
        <v>35.729999999999997</v>
      </c>
      <c r="F1753" s="3">
        <v>35.729999999999997</v>
      </c>
      <c r="G1753" s="3">
        <v>2353652</v>
      </c>
      <c r="H1753" s="8">
        <f t="shared" si="163"/>
        <v>0.1101018442058881</v>
      </c>
      <c r="I1753">
        <f t="shared" si="164"/>
        <v>36.204000000000001</v>
      </c>
      <c r="J1753" s="6" cm="1">
        <f t="array" ref="J1753">_xlfn.STDEV.S(IF($A:$A=A1753, $F:$F))</f>
        <v>0.26791789787171788</v>
      </c>
      <c r="P1753" s="8">
        <f t="shared" si="165"/>
        <v>0.1101018442058881</v>
      </c>
      <c r="Q1753" s="8">
        <f t="shared" si="166"/>
        <v>0.1101018442058881</v>
      </c>
      <c r="R1753" s="8">
        <f t="shared" si="167"/>
        <v>0.1101018442058881</v>
      </c>
    </row>
    <row r="1754" spans="1:18" x14ac:dyDescent="0.25">
      <c r="A1754" s="7">
        <f t="shared" si="162"/>
        <v>351</v>
      </c>
      <c r="B1754" s="2">
        <v>45484</v>
      </c>
      <c r="C1754" s="3">
        <v>36.18</v>
      </c>
      <c r="D1754" s="3">
        <v>36.67</v>
      </c>
      <c r="E1754" s="3">
        <v>35.92</v>
      </c>
      <c r="F1754" s="3">
        <v>36.33</v>
      </c>
      <c r="G1754" s="3">
        <v>4747348</v>
      </c>
      <c r="H1754" s="8">
        <f t="shared" si="163"/>
        <v>0.1101018442058881</v>
      </c>
      <c r="I1754">
        <f t="shared" si="164"/>
        <v>36.204000000000001</v>
      </c>
      <c r="J1754" s="6" cm="1">
        <f t="array" ref="J1754">_xlfn.STDEV.S(IF($A:$A=A1754, $F:$F))</f>
        <v>0.26791789787171788</v>
      </c>
      <c r="P1754" s="8">
        <f t="shared" si="165"/>
        <v>0.1101018442058881</v>
      </c>
      <c r="Q1754" s="8">
        <f t="shared" si="166"/>
        <v>0.1101018442058881</v>
      </c>
      <c r="R1754" s="8">
        <f t="shared" si="167"/>
        <v>0.1101018442058881</v>
      </c>
    </row>
    <row r="1755" spans="1:18" x14ac:dyDescent="0.25">
      <c r="A1755" s="7">
        <f t="shared" si="162"/>
        <v>351</v>
      </c>
      <c r="B1755" s="2">
        <v>45485</v>
      </c>
      <c r="C1755" s="3">
        <v>36.479999999999997</v>
      </c>
      <c r="D1755" s="3">
        <v>36.64</v>
      </c>
      <c r="E1755" s="3">
        <v>36.03</v>
      </c>
      <c r="F1755" s="3">
        <v>36.26</v>
      </c>
      <c r="G1755" s="3">
        <v>2451537</v>
      </c>
      <c r="H1755" s="8">
        <f t="shared" si="163"/>
        <v>0.1101018442058881</v>
      </c>
      <c r="I1755">
        <f t="shared" si="164"/>
        <v>36.204000000000001</v>
      </c>
      <c r="J1755" s="6" cm="1">
        <f t="array" ref="J1755">_xlfn.STDEV.S(IF($A:$A=A1755, $F:$F))</f>
        <v>0.26791789787171788</v>
      </c>
      <c r="P1755" s="8">
        <f t="shared" si="165"/>
        <v>0.1101018442058881</v>
      </c>
      <c r="Q1755" s="8">
        <f t="shared" si="166"/>
        <v>0.1101018442058881</v>
      </c>
      <c r="R1755" s="8">
        <f t="shared" si="167"/>
        <v>0.1101018442058881</v>
      </c>
    </row>
    <row r="1756" spans="1:18" x14ac:dyDescent="0.25">
      <c r="A1756" s="7">
        <f t="shared" si="162"/>
        <v>351</v>
      </c>
      <c r="B1756" s="2">
        <v>45488</v>
      </c>
      <c r="C1756" s="3">
        <v>36.33</v>
      </c>
      <c r="D1756" s="3">
        <v>36.6</v>
      </c>
      <c r="E1756" s="3">
        <v>36.26</v>
      </c>
      <c r="F1756" s="3">
        <v>36.369999999999997</v>
      </c>
      <c r="G1756" s="3">
        <v>1791260</v>
      </c>
      <c r="H1756" s="8">
        <f t="shared" si="163"/>
        <v>0.1101018442058881</v>
      </c>
      <c r="I1756">
        <f t="shared" si="164"/>
        <v>36.204000000000001</v>
      </c>
      <c r="J1756" s="6" cm="1">
        <f t="array" ref="J1756">_xlfn.STDEV.S(IF($A:$A=A1756, $F:$F))</f>
        <v>0.26791789787171788</v>
      </c>
      <c r="P1756" s="8">
        <f t="shared" si="165"/>
        <v>0.1101018442058881</v>
      </c>
      <c r="Q1756" s="8">
        <f t="shared" si="166"/>
        <v>0.1101018442058881</v>
      </c>
      <c r="R1756" s="8">
        <f t="shared" si="167"/>
        <v>0.1101018442058881</v>
      </c>
    </row>
    <row r="1757" spans="1:18" x14ac:dyDescent="0.25">
      <c r="A1757" s="7">
        <f t="shared" si="162"/>
        <v>352</v>
      </c>
      <c r="B1757" s="2">
        <v>45489</v>
      </c>
      <c r="C1757" s="3">
        <v>36.369999999999997</v>
      </c>
      <c r="D1757" s="3">
        <v>36.71</v>
      </c>
      <c r="E1757" s="3">
        <v>36.22</v>
      </c>
      <c r="F1757" s="3">
        <v>36.26</v>
      </c>
      <c r="G1757" s="3">
        <v>3394903</v>
      </c>
      <c r="H1757" s="8">
        <f t="shared" si="163"/>
        <v>-1.1583011583011436</v>
      </c>
      <c r="I1757">
        <f t="shared" si="164"/>
        <v>35.923999999999992</v>
      </c>
      <c r="J1757" s="6" cm="1">
        <f t="array" ref="J1757">_xlfn.STDEV.S(IF($A:$A=A1757, $F:$F))</f>
        <v>0.2836018335624782</v>
      </c>
      <c r="P1757" s="8">
        <f t="shared" si="165"/>
        <v>-1.1583011583011436</v>
      </c>
      <c r="Q1757" s="8">
        <f t="shared" si="166"/>
        <v>-1.1583011583011436</v>
      </c>
      <c r="R1757" s="8">
        <f t="shared" si="167"/>
        <v>-1.1583011583011436</v>
      </c>
    </row>
    <row r="1758" spans="1:18" x14ac:dyDescent="0.25">
      <c r="A1758" s="7">
        <f t="shared" si="162"/>
        <v>352</v>
      </c>
      <c r="B1758" s="2">
        <v>45490</v>
      </c>
      <c r="C1758" s="3">
        <v>36.479999999999997</v>
      </c>
      <c r="D1758" s="3">
        <v>36.64</v>
      </c>
      <c r="E1758" s="3">
        <v>35.119999999999997</v>
      </c>
      <c r="F1758" s="3">
        <v>35.5</v>
      </c>
      <c r="G1758" s="3">
        <v>4294409</v>
      </c>
      <c r="H1758" s="8">
        <f t="shared" si="163"/>
        <v>-1.1583011583011436</v>
      </c>
      <c r="I1758">
        <f t="shared" si="164"/>
        <v>35.923999999999992</v>
      </c>
      <c r="J1758" s="6" cm="1">
        <f t="array" ref="J1758">_xlfn.STDEV.S(IF($A:$A=A1758, $F:$F))</f>
        <v>0.2836018335624782</v>
      </c>
      <c r="P1758" s="8">
        <f t="shared" si="165"/>
        <v>-1.1583011583011436</v>
      </c>
      <c r="Q1758" s="8">
        <f t="shared" si="166"/>
        <v>-1.1583011583011436</v>
      </c>
      <c r="R1758" s="8">
        <f t="shared" si="167"/>
        <v>-1.1583011583011436</v>
      </c>
    </row>
    <row r="1759" spans="1:18" x14ac:dyDescent="0.25">
      <c r="A1759" s="7">
        <f t="shared" si="162"/>
        <v>352</v>
      </c>
      <c r="B1759" s="2">
        <v>45491</v>
      </c>
      <c r="C1759" s="3">
        <v>35.54</v>
      </c>
      <c r="D1759" s="3">
        <v>36.07</v>
      </c>
      <c r="E1759" s="3">
        <v>35.200000000000003</v>
      </c>
      <c r="F1759" s="3">
        <v>36.07</v>
      </c>
      <c r="G1759" s="3">
        <v>2236636</v>
      </c>
      <c r="H1759" s="8">
        <f t="shared" si="163"/>
        <v>-1.1583011583011436</v>
      </c>
      <c r="I1759">
        <f t="shared" si="164"/>
        <v>35.923999999999992</v>
      </c>
      <c r="J1759" s="6" cm="1">
        <f t="array" ref="J1759">_xlfn.STDEV.S(IF($A:$A=A1759, $F:$F))</f>
        <v>0.2836018335624782</v>
      </c>
      <c r="P1759" s="8">
        <f t="shared" si="165"/>
        <v>-1.1583011583011436</v>
      </c>
      <c r="Q1759" s="8">
        <f t="shared" si="166"/>
        <v>-1.1583011583011436</v>
      </c>
      <c r="R1759" s="8">
        <f t="shared" si="167"/>
        <v>-1.1583011583011436</v>
      </c>
    </row>
    <row r="1760" spans="1:18" x14ac:dyDescent="0.25">
      <c r="A1760" s="7">
        <f t="shared" si="162"/>
        <v>352</v>
      </c>
      <c r="B1760" s="2">
        <v>45492</v>
      </c>
      <c r="C1760" s="3">
        <v>35.799999999999997</v>
      </c>
      <c r="D1760" s="3">
        <v>36.33</v>
      </c>
      <c r="E1760" s="3">
        <v>35.729999999999997</v>
      </c>
      <c r="F1760" s="3">
        <v>35.950000000000003</v>
      </c>
      <c r="G1760" s="3">
        <v>3059023</v>
      </c>
      <c r="H1760" s="8">
        <f t="shared" si="163"/>
        <v>-1.1583011583011436</v>
      </c>
      <c r="I1760">
        <f t="shared" si="164"/>
        <v>35.923999999999992</v>
      </c>
      <c r="J1760" s="6" cm="1">
        <f t="array" ref="J1760">_xlfn.STDEV.S(IF($A:$A=A1760, $F:$F))</f>
        <v>0.2836018335624782</v>
      </c>
      <c r="P1760" s="8">
        <f t="shared" si="165"/>
        <v>-1.1583011583011436</v>
      </c>
      <c r="Q1760" s="8">
        <f t="shared" si="166"/>
        <v>-1.1583011583011436</v>
      </c>
      <c r="R1760" s="8">
        <f t="shared" si="167"/>
        <v>-1.1583011583011436</v>
      </c>
    </row>
    <row r="1761" spans="1:18" x14ac:dyDescent="0.25">
      <c r="A1761" s="7">
        <f t="shared" si="162"/>
        <v>352</v>
      </c>
      <c r="B1761" s="2">
        <v>45495</v>
      </c>
      <c r="C1761" s="3">
        <v>36.26</v>
      </c>
      <c r="D1761" s="3">
        <v>36.6</v>
      </c>
      <c r="E1761" s="3">
        <v>35.69</v>
      </c>
      <c r="F1761" s="3">
        <v>35.840000000000003</v>
      </c>
      <c r="G1761" s="3">
        <v>4367812</v>
      </c>
      <c r="H1761" s="8">
        <f t="shared" si="163"/>
        <v>-1.1583011583011436</v>
      </c>
      <c r="I1761">
        <f t="shared" si="164"/>
        <v>35.923999999999992</v>
      </c>
      <c r="J1761" s="6" cm="1">
        <f t="array" ref="J1761">_xlfn.STDEV.S(IF($A:$A=A1761, $F:$F))</f>
        <v>0.2836018335624782</v>
      </c>
      <c r="P1761" s="8">
        <f t="shared" si="165"/>
        <v>-1.1583011583011436</v>
      </c>
      <c r="Q1761" s="8">
        <f t="shared" si="166"/>
        <v>-1.1583011583011436</v>
      </c>
      <c r="R1761" s="8">
        <f t="shared" si="167"/>
        <v>-1.1583011583011436</v>
      </c>
    </row>
    <row r="1762" spans="1:18" x14ac:dyDescent="0.25">
      <c r="A1762" s="7">
        <f t="shared" si="162"/>
        <v>353</v>
      </c>
      <c r="B1762" s="2">
        <v>45496</v>
      </c>
      <c r="C1762" s="3">
        <v>35.950000000000003</v>
      </c>
      <c r="D1762" s="3">
        <v>36.11</v>
      </c>
      <c r="E1762" s="3">
        <v>34.82</v>
      </c>
      <c r="F1762" s="3">
        <v>34.82</v>
      </c>
      <c r="G1762" s="3">
        <v>3377323</v>
      </c>
      <c r="H1762" s="8">
        <f t="shared" si="163"/>
        <v>-1.7518667432510036</v>
      </c>
      <c r="I1762">
        <f t="shared" si="164"/>
        <v>34.159999999999997</v>
      </c>
      <c r="J1762" s="6" cm="1">
        <f t="array" ref="J1762">_xlfn.STDEV.S(IF($A:$A=A1762, $F:$F))</f>
        <v>0.40749233121618483</v>
      </c>
      <c r="P1762" s="8">
        <f t="shared" si="165"/>
        <v>-1.7518667432510036</v>
      </c>
      <c r="Q1762" s="8">
        <f t="shared" si="166"/>
        <v>-1.7518667432510036</v>
      </c>
      <c r="R1762" s="8">
        <f t="shared" si="167"/>
        <v>-1.7518667432510036</v>
      </c>
    </row>
    <row r="1763" spans="1:18" x14ac:dyDescent="0.25">
      <c r="A1763" s="7">
        <f t="shared" si="162"/>
        <v>353</v>
      </c>
      <c r="B1763" s="2">
        <v>45497</v>
      </c>
      <c r="C1763" s="3">
        <v>34.67</v>
      </c>
      <c r="D1763" s="3">
        <v>34.86</v>
      </c>
      <c r="E1763" s="3">
        <v>33.229999999999997</v>
      </c>
      <c r="F1763" s="3">
        <v>33.909999999999997</v>
      </c>
      <c r="G1763" s="3">
        <v>6228530</v>
      </c>
      <c r="H1763" s="8">
        <f t="shared" si="163"/>
        <v>-1.7518667432510036</v>
      </c>
      <c r="I1763">
        <f t="shared" si="164"/>
        <v>34.159999999999997</v>
      </c>
      <c r="J1763" s="6" cm="1">
        <f t="array" ref="J1763">_xlfn.STDEV.S(IF($A:$A=A1763, $F:$F))</f>
        <v>0.40749233121618483</v>
      </c>
      <c r="P1763" s="8">
        <f t="shared" si="165"/>
        <v>-1.7518667432510036</v>
      </c>
      <c r="Q1763" s="8">
        <f t="shared" si="166"/>
        <v>-1.7518667432510036</v>
      </c>
      <c r="R1763" s="8">
        <f t="shared" si="167"/>
        <v>-1.7518667432510036</v>
      </c>
    </row>
    <row r="1764" spans="1:18" x14ac:dyDescent="0.25">
      <c r="A1764" s="7">
        <f t="shared" si="162"/>
        <v>353</v>
      </c>
      <c r="B1764" s="2">
        <v>45498</v>
      </c>
      <c r="C1764" s="3">
        <v>33.909999999999997</v>
      </c>
      <c r="D1764" s="3">
        <v>33.99</v>
      </c>
      <c r="E1764" s="3">
        <v>33.31</v>
      </c>
      <c r="F1764" s="3">
        <v>33.76</v>
      </c>
      <c r="G1764" s="3">
        <v>2235668</v>
      </c>
      <c r="H1764" s="8">
        <f t="shared" si="163"/>
        <v>-1.7518667432510036</v>
      </c>
      <c r="I1764">
        <f t="shared" si="164"/>
        <v>34.159999999999997</v>
      </c>
      <c r="J1764" s="6" cm="1">
        <f t="array" ref="J1764">_xlfn.STDEV.S(IF($A:$A=A1764, $F:$F))</f>
        <v>0.40749233121618483</v>
      </c>
      <c r="P1764" s="8">
        <f t="shared" si="165"/>
        <v>-1.7518667432510036</v>
      </c>
      <c r="Q1764" s="8">
        <f t="shared" si="166"/>
        <v>-1.7518667432510036</v>
      </c>
      <c r="R1764" s="8">
        <f t="shared" si="167"/>
        <v>-1.7518667432510036</v>
      </c>
    </row>
    <row r="1765" spans="1:18" x14ac:dyDescent="0.25">
      <c r="A1765" s="7">
        <f t="shared" si="162"/>
        <v>353</v>
      </c>
      <c r="B1765" s="2">
        <v>45499</v>
      </c>
      <c r="C1765" s="3">
        <v>33.799999999999997</v>
      </c>
      <c r="D1765" s="3">
        <v>34.1</v>
      </c>
      <c r="E1765" s="3">
        <v>33.76</v>
      </c>
      <c r="F1765" s="3">
        <v>34.1</v>
      </c>
      <c r="G1765" s="3">
        <v>1506602</v>
      </c>
      <c r="H1765" s="8">
        <f t="shared" si="163"/>
        <v>-1.7518667432510036</v>
      </c>
      <c r="I1765">
        <f t="shared" si="164"/>
        <v>34.159999999999997</v>
      </c>
      <c r="J1765" s="6" cm="1">
        <f t="array" ref="J1765">_xlfn.STDEV.S(IF($A:$A=A1765, $F:$F))</f>
        <v>0.40749233121618483</v>
      </c>
      <c r="P1765" s="8">
        <f t="shared" si="165"/>
        <v>-1.7518667432510036</v>
      </c>
      <c r="Q1765" s="8">
        <f t="shared" si="166"/>
        <v>-1.7518667432510036</v>
      </c>
      <c r="R1765" s="8">
        <f t="shared" si="167"/>
        <v>-1.7518667432510036</v>
      </c>
    </row>
    <row r="1766" spans="1:18" x14ac:dyDescent="0.25">
      <c r="A1766" s="7">
        <f t="shared" si="162"/>
        <v>353</v>
      </c>
      <c r="B1766" s="2">
        <v>45502</v>
      </c>
      <c r="C1766" s="3">
        <v>34.44</v>
      </c>
      <c r="D1766" s="3">
        <v>34.590000000000003</v>
      </c>
      <c r="E1766" s="3">
        <v>34.21</v>
      </c>
      <c r="F1766" s="3">
        <v>34.21</v>
      </c>
      <c r="G1766" s="3">
        <v>1268037</v>
      </c>
      <c r="H1766" s="8">
        <f t="shared" si="163"/>
        <v>-1.7518667432510036</v>
      </c>
      <c r="I1766">
        <f t="shared" si="164"/>
        <v>34.159999999999997</v>
      </c>
      <c r="J1766" s="6" cm="1">
        <f t="array" ref="J1766">_xlfn.STDEV.S(IF($A:$A=A1766, $F:$F))</f>
        <v>0.40749233121618483</v>
      </c>
      <c r="P1766" s="8">
        <f t="shared" si="165"/>
        <v>-1.7518667432510036</v>
      </c>
      <c r="Q1766" s="8">
        <f t="shared" si="166"/>
        <v>-1.7518667432510036</v>
      </c>
      <c r="R1766" s="8">
        <f t="shared" si="167"/>
        <v>-1.7518667432510036</v>
      </c>
    </row>
    <row r="1767" spans="1:18" x14ac:dyDescent="0.25">
      <c r="A1767" s="7">
        <f t="shared" si="162"/>
        <v>354</v>
      </c>
      <c r="B1767" s="2">
        <v>45503</v>
      </c>
      <c r="C1767" s="3">
        <v>34.18</v>
      </c>
      <c r="D1767" s="3">
        <v>34.4</v>
      </c>
      <c r="E1767" s="3">
        <v>33.68</v>
      </c>
      <c r="F1767" s="3">
        <v>33.68</v>
      </c>
      <c r="G1767" s="3">
        <v>1470814</v>
      </c>
      <c r="H1767" s="8">
        <f t="shared" si="163"/>
        <v>-8.3135391923990518</v>
      </c>
      <c r="I1767">
        <f t="shared" si="164"/>
        <v>32.591999999999999</v>
      </c>
      <c r="J1767" s="6" cm="1">
        <f t="array" ref="J1767">_xlfn.STDEV.S(IF($A:$A=A1767, $F:$F))</f>
        <v>1.2130828496026149</v>
      </c>
      <c r="P1767" s="8">
        <f t="shared" si="165"/>
        <v>-8.3135391923990518</v>
      </c>
      <c r="Q1767" s="8">
        <f t="shared" si="166"/>
        <v>-8.3135391923990518</v>
      </c>
      <c r="R1767" s="11">
        <f t="shared" si="167"/>
        <v>-8.3135391923990518</v>
      </c>
    </row>
    <row r="1768" spans="1:18" x14ac:dyDescent="0.25">
      <c r="A1768" s="7">
        <f t="shared" si="162"/>
        <v>354</v>
      </c>
      <c r="B1768" s="2">
        <v>45504</v>
      </c>
      <c r="C1768" s="3">
        <v>33.799999999999997</v>
      </c>
      <c r="D1768" s="3">
        <v>34.369999999999997</v>
      </c>
      <c r="E1768" s="3">
        <v>33.53</v>
      </c>
      <c r="F1768" s="3">
        <v>33.68</v>
      </c>
      <c r="G1768" s="3">
        <v>1530180</v>
      </c>
      <c r="H1768" s="8">
        <f t="shared" si="163"/>
        <v>-8.3135391923990518</v>
      </c>
      <c r="I1768">
        <f t="shared" si="164"/>
        <v>32.591999999999999</v>
      </c>
      <c r="J1768" s="6" cm="1">
        <f t="array" ref="J1768">_xlfn.STDEV.S(IF($A:$A=A1768, $F:$F))</f>
        <v>1.2130828496026149</v>
      </c>
      <c r="P1768" s="8">
        <f t="shared" si="165"/>
        <v>-8.3135391923990518</v>
      </c>
      <c r="Q1768" s="8">
        <f t="shared" si="166"/>
        <v>-8.3135391923990518</v>
      </c>
      <c r="R1768" s="11">
        <f t="shared" si="167"/>
        <v>-8.3135391923990518</v>
      </c>
    </row>
    <row r="1769" spans="1:18" x14ac:dyDescent="0.25">
      <c r="A1769" s="7">
        <f t="shared" si="162"/>
        <v>354</v>
      </c>
      <c r="B1769" s="2">
        <v>45505</v>
      </c>
      <c r="C1769" s="3">
        <v>33.950000000000003</v>
      </c>
      <c r="D1769" s="3">
        <v>33.950000000000003</v>
      </c>
      <c r="E1769" s="3">
        <v>31.79</v>
      </c>
      <c r="F1769" s="3">
        <v>31.87</v>
      </c>
      <c r="G1769" s="3">
        <v>5980112</v>
      </c>
      <c r="H1769" s="8">
        <f t="shared" si="163"/>
        <v>-8.3135391923990518</v>
      </c>
      <c r="I1769">
        <f t="shared" si="164"/>
        <v>32.591999999999999</v>
      </c>
      <c r="J1769" s="6" cm="1">
        <f t="array" ref="J1769">_xlfn.STDEV.S(IF($A:$A=A1769, $F:$F))</f>
        <v>1.2130828496026149</v>
      </c>
      <c r="P1769" s="8">
        <f t="shared" si="165"/>
        <v>-8.3135391923990518</v>
      </c>
      <c r="Q1769" s="8">
        <f t="shared" si="166"/>
        <v>-8.3135391923990518</v>
      </c>
      <c r="R1769" s="11">
        <f t="shared" si="167"/>
        <v>-8.3135391923990518</v>
      </c>
    </row>
    <row r="1770" spans="1:18" x14ac:dyDescent="0.25">
      <c r="A1770" s="7">
        <f t="shared" si="162"/>
        <v>354</v>
      </c>
      <c r="B1770" s="2">
        <v>45506</v>
      </c>
      <c r="C1770" s="3">
        <v>31.3</v>
      </c>
      <c r="D1770" s="3">
        <v>33.31</v>
      </c>
      <c r="E1770" s="3">
        <v>31.19</v>
      </c>
      <c r="F1770" s="3">
        <v>32.85</v>
      </c>
      <c r="G1770" s="3">
        <v>3361491</v>
      </c>
      <c r="H1770" s="8">
        <f t="shared" si="163"/>
        <v>-8.3135391923990518</v>
      </c>
      <c r="I1770">
        <f t="shared" si="164"/>
        <v>32.591999999999999</v>
      </c>
      <c r="J1770" s="6" cm="1">
        <f t="array" ref="J1770">_xlfn.STDEV.S(IF($A:$A=A1770, $F:$F))</f>
        <v>1.2130828496026149</v>
      </c>
      <c r="P1770" s="8">
        <f t="shared" si="165"/>
        <v>-8.3135391923990518</v>
      </c>
      <c r="Q1770" s="8">
        <f t="shared" si="166"/>
        <v>-8.3135391923990518</v>
      </c>
      <c r="R1770" s="11">
        <f t="shared" si="167"/>
        <v>-8.3135391923990518</v>
      </c>
    </row>
    <row r="1771" spans="1:18" x14ac:dyDescent="0.25">
      <c r="A1771" s="7">
        <f t="shared" si="162"/>
        <v>354</v>
      </c>
      <c r="B1771" s="2">
        <v>45509</v>
      </c>
      <c r="C1771" s="3">
        <v>32.020000000000003</v>
      </c>
      <c r="D1771" s="3">
        <v>32.590000000000003</v>
      </c>
      <c r="E1771" s="3">
        <v>30.88</v>
      </c>
      <c r="F1771" s="3">
        <v>30.88</v>
      </c>
      <c r="G1771" s="3">
        <v>5148984</v>
      </c>
      <c r="H1771" s="8">
        <f t="shared" si="163"/>
        <v>-8.3135391923990518</v>
      </c>
      <c r="I1771">
        <f t="shared" si="164"/>
        <v>32.591999999999999</v>
      </c>
      <c r="J1771" s="6" cm="1">
        <f t="array" ref="J1771">_xlfn.STDEV.S(IF($A:$A=A1771, $F:$F))</f>
        <v>1.2130828496026149</v>
      </c>
      <c r="P1771" s="8">
        <f t="shared" si="165"/>
        <v>-8.3135391923990518</v>
      </c>
      <c r="Q1771" s="8">
        <f t="shared" si="166"/>
        <v>-8.3135391923990518</v>
      </c>
      <c r="R1771" s="11">
        <f t="shared" si="167"/>
        <v>-8.3135391923990518</v>
      </c>
    </row>
    <row r="1772" spans="1:18" x14ac:dyDescent="0.25">
      <c r="A1772" s="7">
        <f t="shared" si="162"/>
        <v>355</v>
      </c>
      <c r="B1772" s="2">
        <v>45510</v>
      </c>
      <c r="C1772" s="3">
        <v>31.72</v>
      </c>
      <c r="D1772" s="3">
        <v>32.85</v>
      </c>
      <c r="E1772" s="3">
        <v>31.03</v>
      </c>
      <c r="F1772" s="3">
        <v>32.549999999999997</v>
      </c>
      <c r="G1772" s="3">
        <v>4594599</v>
      </c>
      <c r="H1772" s="8">
        <f t="shared" si="163"/>
        <v>6.7281105990783558</v>
      </c>
      <c r="I1772">
        <f t="shared" si="164"/>
        <v>33.478000000000002</v>
      </c>
      <c r="J1772" s="6" cm="1">
        <f t="array" ref="J1772">_xlfn.STDEV.S(IF($A:$A=A1772, $F:$F))</f>
        <v>0.97312383590168083</v>
      </c>
      <c r="P1772" s="8">
        <f t="shared" si="165"/>
        <v>6.7281105990783558</v>
      </c>
      <c r="Q1772" s="8">
        <f t="shared" si="166"/>
        <v>6.7281105990783558</v>
      </c>
      <c r="R1772" s="8">
        <f t="shared" si="167"/>
        <v>6.7281105990783558</v>
      </c>
    </row>
    <row r="1773" spans="1:18" x14ac:dyDescent="0.25">
      <c r="A1773" s="7">
        <f t="shared" si="162"/>
        <v>355</v>
      </c>
      <c r="B1773" s="2">
        <v>45511</v>
      </c>
      <c r="C1773" s="3">
        <v>32.700000000000003</v>
      </c>
      <c r="D1773" s="3">
        <v>33.15</v>
      </c>
      <c r="E1773" s="3">
        <v>32.17</v>
      </c>
      <c r="F1773" s="3">
        <v>33</v>
      </c>
      <c r="G1773" s="3">
        <v>1511549</v>
      </c>
      <c r="H1773" s="8">
        <f t="shared" si="163"/>
        <v>6.7281105990783558</v>
      </c>
      <c r="I1773">
        <f t="shared" si="164"/>
        <v>33.478000000000002</v>
      </c>
      <c r="J1773" s="6" cm="1">
        <f t="array" ref="J1773">_xlfn.STDEV.S(IF($A:$A=A1773, $F:$F))</f>
        <v>0.97312383590168083</v>
      </c>
      <c r="P1773" s="8">
        <f t="shared" si="165"/>
        <v>6.7281105990783558</v>
      </c>
      <c r="Q1773" s="8">
        <f t="shared" si="166"/>
        <v>6.7281105990783558</v>
      </c>
      <c r="R1773" s="8">
        <f t="shared" si="167"/>
        <v>6.7281105990783558</v>
      </c>
    </row>
    <row r="1774" spans="1:18" x14ac:dyDescent="0.25">
      <c r="A1774" s="7">
        <f t="shared" si="162"/>
        <v>355</v>
      </c>
      <c r="B1774" s="2">
        <v>45512</v>
      </c>
      <c r="C1774" s="3">
        <v>32.549999999999997</v>
      </c>
      <c r="D1774" s="3">
        <v>33.270000000000003</v>
      </c>
      <c r="E1774" s="3">
        <v>32.36</v>
      </c>
      <c r="F1774" s="3">
        <v>32.81</v>
      </c>
      <c r="G1774" s="3">
        <v>2314524</v>
      </c>
      <c r="H1774" s="8">
        <f t="shared" si="163"/>
        <v>6.7281105990783558</v>
      </c>
      <c r="I1774">
        <f t="shared" si="164"/>
        <v>33.478000000000002</v>
      </c>
      <c r="J1774" s="6" cm="1">
        <f t="array" ref="J1774">_xlfn.STDEV.S(IF($A:$A=A1774, $F:$F))</f>
        <v>0.97312383590168083</v>
      </c>
      <c r="P1774" s="8">
        <f t="shared" si="165"/>
        <v>6.7281105990783558</v>
      </c>
      <c r="Q1774" s="8">
        <f t="shared" si="166"/>
        <v>6.7281105990783558</v>
      </c>
      <c r="R1774" s="8">
        <f t="shared" si="167"/>
        <v>6.7281105990783558</v>
      </c>
    </row>
    <row r="1775" spans="1:18" x14ac:dyDescent="0.25">
      <c r="A1775" s="7">
        <f t="shared" si="162"/>
        <v>355</v>
      </c>
      <c r="B1775" s="2">
        <v>45513</v>
      </c>
      <c r="C1775" s="3">
        <v>33.04</v>
      </c>
      <c r="D1775" s="3">
        <v>34.369999999999997</v>
      </c>
      <c r="E1775" s="3">
        <v>32.81</v>
      </c>
      <c r="F1775" s="3">
        <v>34.29</v>
      </c>
      <c r="G1775" s="3">
        <v>5779083</v>
      </c>
      <c r="H1775" s="8">
        <f t="shared" si="163"/>
        <v>6.7281105990783558</v>
      </c>
      <c r="I1775">
        <f t="shared" si="164"/>
        <v>33.478000000000002</v>
      </c>
      <c r="J1775" s="6" cm="1">
        <f t="array" ref="J1775">_xlfn.STDEV.S(IF($A:$A=A1775, $F:$F))</f>
        <v>0.97312383590168083</v>
      </c>
      <c r="P1775" s="8">
        <f t="shared" si="165"/>
        <v>6.7281105990783558</v>
      </c>
      <c r="Q1775" s="8">
        <f t="shared" si="166"/>
        <v>6.7281105990783558</v>
      </c>
      <c r="R1775" s="8">
        <f t="shared" si="167"/>
        <v>6.7281105990783558</v>
      </c>
    </row>
    <row r="1776" spans="1:18" x14ac:dyDescent="0.25">
      <c r="A1776" s="7">
        <f t="shared" si="162"/>
        <v>355</v>
      </c>
      <c r="B1776" s="2">
        <v>45516</v>
      </c>
      <c r="C1776" s="3">
        <v>34.06</v>
      </c>
      <c r="D1776" s="3">
        <v>34.74</v>
      </c>
      <c r="E1776" s="3">
        <v>33.909999999999997</v>
      </c>
      <c r="F1776" s="3">
        <v>34.74</v>
      </c>
      <c r="G1776" s="3">
        <v>2460370</v>
      </c>
      <c r="H1776" s="8">
        <f t="shared" si="163"/>
        <v>6.7281105990783558</v>
      </c>
      <c r="I1776">
        <f t="shared" si="164"/>
        <v>33.478000000000002</v>
      </c>
      <c r="J1776" s="6" cm="1">
        <f t="array" ref="J1776">_xlfn.STDEV.S(IF($A:$A=A1776, $F:$F))</f>
        <v>0.97312383590168083</v>
      </c>
      <c r="P1776" s="8">
        <f t="shared" si="165"/>
        <v>6.7281105990783558</v>
      </c>
      <c r="Q1776" s="8">
        <f t="shared" si="166"/>
        <v>6.7281105990783558</v>
      </c>
      <c r="R1776" s="8">
        <f t="shared" si="167"/>
        <v>6.7281105990783558</v>
      </c>
    </row>
    <row r="1777" spans="1:18" x14ac:dyDescent="0.25">
      <c r="A1777" s="7">
        <f t="shared" si="162"/>
        <v>356</v>
      </c>
      <c r="B1777" s="2">
        <v>45517</v>
      </c>
      <c r="C1777" s="3">
        <v>34.78</v>
      </c>
      <c r="D1777" s="3">
        <v>34.78</v>
      </c>
      <c r="E1777" s="3">
        <v>33.76</v>
      </c>
      <c r="F1777" s="3">
        <v>34.67</v>
      </c>
      <c r="G1777" s="3">
        <v>3266241</v>
      </c>
      <c r="H1777" s="8">
        <f t="shared" si="163"/>
        <v>1.8748197288722197</v>
      </c>
      <c r="I1777">
        <f t="shared" si="164"/>
        <v>34.770000000000003</v>
      </c>
      <c r="J1777" s="6" cm="1">
        <f t="array" ref="J1777">_xlfn.STDEV.S(IF($A:$A=A1777, $F:$F))</f>
        <v>0.74461399395928818</v>
      </c>
      <c r="P1777" s="8">
        <f t="shared" si="165"/>
        <v>1.8748197288722197</v>
      </c>
      <c r="Q1777" s="8">
        <f t="shared" si="166"/>
        <v>1.8748197288722197</v>
      </c>
      <c r="R1777" s="8">
        <f t="shared" si="167"/>
        <v>1.8748197288722197</v>
      </c>
    </row>
    <row r="1778" spans="1:18" x14ac:dyDescent="0.25">
      <c r="A1778" s="7">
        <f t="shared" si="162"/>
        <v>356</v>
      </c>
      <c r="B1778" s="2">
        <v>45518</v>
      </c>
      <c r="C1778" s="3">
        <v>34.82</v>
      </c>
      <c r="D1778" s="3">
        <v>34.82</v>
      </c>
      <c r="E1778" s="3">
        <v>34.14</v>
      </c>
      <c r="F1778" s="3">
        <v>34.29</v>
      </c>
      <c r="G1778" s="3">
        <v>2362870</v>
      </c>
      <c r="H1778" s="8">
        <f t="shared" si="163"/>
        <v>1.8748197288722197</v>
      </c>
      <c r="I1778">
        <f t="shared" si="164"/>
        <v>34.770000000000003</v>
      </c>
      <c r="J1778" s="6" cm="1">
        <f t="array" ref="J1778">_xlfn.STDEV.S(IF($A:$A=A1778, $F:$F))</f>
        <v>0.74461399395928818</v>
      </c>
      <c r="P1778" s="8">
        <f t="shared" si="165"/>
        <v>1.8748197288722197</v>
      </c>
      <c r="Q1778" s="8">
        <f t="shared" si="166"/>
        <v>1.8748197288722197</v>
      </c>
      <c r="R1778" s="8">
        <f t="shared" si="167"/>
        <v>1.8748197288722197</v>
      </c>
    </row>
    <row r="1779" spans="1:18" x14ac:dyDescent="0.25">
      <c r="A1779" s="7">
        <f t="shared" si="162"/>
        <v>356</v>
      </c>
      <c r="B1779" s="2">
        <v>45519</v>
      </c>
      <c r="C1779" s="3">
        <v>34.36</v>
      </c>
      <c r="D1779" s="3">
        <v>34.56</v>
      </c>
      <c r="E1779" s="3">
        <v>33.68</v>
      </c>
      <c r="F1779" s="3">
        <v>33.869999999999997</v>
      </c>
      <c r="G1779" s="3">
        <v>1587610</v>
      </c>
      <c r="H1779" s="8">
        <f t="shared" si="163"/>
        <v>1.8748197288722197</v>
      </c>
      <c r="I1779">
        <f t="shared" si="164"/>
        <v>34.770000000000003</v>
      </c>
      <c r="J1779" s="6" cm="1">
        <f t="array" ref="J1779">_xlfn.STDEV.S(IF($A:$A=A1779, $F:$F))</f>
        <v>0.74461399395928818</v>
      </c>
      <c r="P1779" s="8">
        <f t="shared" si="165"/>
        <v>1.8748197288722197</v>
      </c>
      <c r="Q1779" s="8">
        <f t="shared" si="166"/>
        <v>1.8748197288722197</v>
      </c>
      <c r="R1779" s="8">
        <f t="shared" si="167"/>
        <v>1.8748197288722197</v>
      </c>
    </row>
    <row r="1780" spans="1:18" x14ac:dyDescent="0.25">
      <c r="A1780" s="7">
        <f t="shared" si="162"/>
        <v>356</v>
      </c>
      <c r="B1780" s="2">
        <v>45520</v>
      </c>
      <c r="C1780" s="3">
        <v>34.06</v>
      </c>
      <c r="D1780" s="3">
        <v>35.82</v>
      </c>
      <c r="E1780" s="3">
        <v>33.979999999999997</v>
      </c>
      <c r="F1780" s="3">
        <v>35.700000000000003</v>
      </c>
      <c r="G1780" s="3">
        <v>6643481</v>
      </c>
      <c r="H1780" s="8">
        <f t="shared" si="163"/>
        <v>1.8748197288722197</v>
      </c>
      <c r="I1780">
        <f t="shared" si="164"/>
        <v>34.770000000000003</v>
      </c>
      <c r="J1780" s="6" cm="1">
        <f t="array" ref="J1780">_xlfn.STDEV.S(IF($A:$A=A1780, $F:$F))</f>
        <v>0.74461399395928818</v>
      </c>
      <c r="P1780" s="8">
        <f t="shared" si="165"/>
        <v>1.8748197288722197</v>
      </c>
      <c r="Q1780" s="8">
        <f t="shared" si="166"/>
        <v>1.8748197288722197</v>
      </c>
      <c r="R1780" s="8">
        <f t="shared" si="167"/>
        <v>1.8748197288722197</v>
      </c>
    </row>
    <row r="1781" spans="1:18" x14ac:dyDescent="0.25">
      <c r="A1781" s="7">
        <f t="shared" si="162"/>
        <v>356</v>
      </c>
      <c r="B1781" s="2">
        <v>45523</v>
      </c>
      <c r="C1781" s="3">
        <v>35.89</v>
      </c>
      <c r="D1781" s="3">
        <v>35.89</v>
      </c>
      <c r="E1781" s="3">
        <v>35.24</v>
      </c>
      <c r="F1781" s="3">
        <v>35.32</v>
      </c>
      <c r="G1781" s="3">
        <v>2344701</v>
      </c>
      <c r="H1781" s="8">
        <f t="shared" si="163"/>
        <v>1.8748197288722197</v>
      </c>
      <c r="I1781">
        <f t="shared" si="164"/>
        <v>34.770000000000003</v>
      </c>
      <c r="J1781" s="6" cm="1">
        <f t="array" ref="J1781">_xlfn.STDEV.S(IF($A:$A=A1781, $F:$F))</f>
        <v>0.74461399395928818</v>
      </c>
      <c r="P1781" s="8">
        <f t="shared" si="165"/>
        <v>1.8748197288722197</v>
      </c>
      <c r="Q1781" s="8">
        <f t="shared" si="166"/>
        <v>1.8748197288722197</v>
      </c>
      <c r="R1781" s="8">
        <f t="shared" si="167"/>
        <v>1.8748197288722197</v>
      </c>
    </row>
    <row r="1782" spans="1:18" x14ac:dyDescent="0.25">
      <c r="A1782" s="7">
        <f t="shared" si="162"/>
        <v>357</v>
      </c>
      <c r="B1782" s="2">
        <v>45524</v>
      </c>
      <c r="C1782" s="3">
        <v>35.32</v>
      </c>
      <c r="D1782" s="3">
        <v>35.89</v>
      </c>
      <c r="E1782" s="3">
        <v>35.01</v>
      </c>
      <c r="F1782" s="3">
        <v>35.51</v>
      </c>
      <c r="G1782" s="3">
        <v>4658652</v>
      </c>
      <c r="H1782" s="8">
        <f t="shared" si="163"/>
        <v>4.3086454519853596</v>
      </c>
      <c r="I1782">
        <f t="shared" si="164"/>
        <v>36.19</v>
      </c>
      <c r="J1782" s="6" cm="1">
        <f t="array" ref="J1782">_xlfn.STDEV.S(IF($A:$A=A1782, $F:$F))</f>
        <v>0.55691112396862807</v>
      </c>
      <c r="P1782" s="8">
        <f t="shared" si="165"/>
        <v>4.3086454519853596</v>
      </c>
      <c r="Q1782" s="8">
        <f t="shared" si="166"/>
        <v>4.3086454519853596</v>
      </c>
      <c r="R1782" s="8">
        <f t="shared" si="167"/>
        <v>4.3086454519853596</v>
      </c>
    </row>
    <row r="1783" spans="1:18" x14ac:dyDescent="0.25">
      <c r="A1783" s="7">
        <f t="shared" si="162"/>
        <v>357</v>
      </c>
      <c r="B1783" s="2">
        <v>45525</v>
      </c>
      <c r="C1783" s="3">
        <v>35.28</v>
      </c>
      <c r="D1783" s="3">
        <v>36.08</v>
      </c>
      <c r="E1783" s="3">
        <v>35.28</v>
      </c>
      <c r="F1783" s="3">
        <v>35.97</v>
      </c>
      <c r="G1783" s="3">
        <v>3562212</v>
      </c>
      <c r="H1783" s="8">
        <f t="shared" si="163"/>
        <v>4.3086454519853596</v>
      </c>
      <c r="I1783">
        <f t="shared" si="164"/>
        <v>36.19</v>
      </c>
      <c r="J1783" s="6" cm="1">
        <f t="array" ref="J1783">_xlfn.STDEV.S(IF($A:$A=A1783, $F:$F))</f>
        <v>0.55691112396862807</v>
      </c>
      <c r="P1783" s="8">
        <f t="shared" si="165"/>
        <v>4.3086454519853596</v>
      </c>
      <c r="Q1783" s="8">
        <f t="shared" si="166"/>
        <v>4.3086454519853596</v>
      </c>
      <c r="R1783" s="8">
        <f t="shared" si="167"/>
        <v>4.3086454519853596</v>
      </c>
    </row>
    <row r="1784" spans="1:18" x14ac:dyDescent="0.25">
      <c r="A1784" s="7">
        <f t="shared" si="162"/>
        <v>357</v>
      </c>
      <c r="B1784" s="2">
        <v>45526</v>
      </c>
      <c r="C1784" s="3">
        <v>36.04</v>
      </c>
      <c r="D1784" s="3">
        <v>36.159999999999997</v>
      </c>
      <c r="E1784" s="3">
        <v>35.78</v>
      </c>
      <c r="F1784" s="3">
        <v>36.159999999999997</v>
      </c>
      <c r="G1784" s="3">
        <v>2953864</v>
      </c>
      <c r="H1784" s="8">
        <f t="shared" si="163"/>
        <v>4.3086454519853596</v>
      </c>
      <c r="I1784">
        <f t="shared" si="164"/>
        <v>36.19</v>
      </c>
      <c r="J1784" s="6" cm="1">
        <f t="array" ref="J1784">_xlfn.STDEV.S(IF($A:$A=A1784, $F:$F))</f>
        <v>0.55691112396862807</v>
      </c>
      <c r="P1784" s="8">
        <f t="shared" si="165"/>
        <v>4.3086454519853596</v>
      </c>
      <c r="Q1784" s="8">
        <f t="shared" si="166"/>
        <v>4.3086454519853596</v>
      </c>
      <c r="R1784" s="8">
        <f t="shared" si="167"/>
        <v>4.3086454519853596</v>
      </c>
    </row>
    <row r="1785" spans="1:18" x14ac:dyDescent="0.25">
      <c r="A1785" s="7">
        <f t="shared" si="162"/>
        <v>357</v>
      </c>
      <c r="B1785" s="2">
        <v>45527</v>
      </c>
      <c r="C1785" s="3">
        <v>36.159999999999997</v>
      </c>
      <c r="D1785" s="3">
        <v>36.659999999999997</v>
      </c>
      <c r="E1785" s="3">
        <v>35.700000000000003</v>
      </c>
      <c r="F1785" s="3">
        <v>36.270000000000003</v>
      </c>
      <c r="G1785" s="3">
        <v>3549123</v>
      </c>
      <c r="H1785" s="8">
        <f t="shared" si="163"/>
        <v>4.3086454519853596</v>
      </c>
      <c r="I1785">
        <f t="shared" si="164"/>
        <v>36.19</v>
      </c>
      <c r="J1785" s="6" cm="1">
        <f t="array" ref="J1785">_xlfn.STDEV.S(IF($A:$A=A1785, $F:$F))</f>
        <v>0.55691112396862807</v>
      </c>
      <c r="P1785" s="8">
        <f t="shared" si="165"/>
        <v>4.3086454519853596</v>
      </c>
      <c r="Q1785" s="8">
        <f t="shared" si="166"/>
        <v>4.3086454519853596</v>
      </c>
      <c r="R1785" s="8">
        <f t="shared" si="167"/>
        <v>4.3086454519853596</v>
      </c>
    </row>
    <row r="1786" spans="1:18" x14ac:dyDescent="0.25">
      <c r="A1786" s="7">
        <f t="shared" si="162"/>
        <v>357</v>
      </c>
      <c r="B1786" s="2">
        <v>45530</v>
      </c>
      <c r="C1786" s="3">
        <v>36.659999999999997</v>
      </c>
      <c r="D1786" s="3">
        <v>37.270000000000003</v>
      </c>
      <c r="E1786" s="3">
        <v>36.270000000000003</v>
      </c>
      <c r="F1786" s="3">
        <v>37.04</v>
      </c>
      <c r="G1786" s="3">
        <v>7161910</v>
      </c>
      <c r="H1786" s="8">
        <f t="shared" si="163"/>
        <v>4.3086454519853596</v>
      </c>
      <c r="I1786">
        <f t="shared" si="164"/>
        <v>36.19</v>
      </c>
      <c r="J1786" s="6" cm="1">
        <f t="array" ref="J1786">_xlfn.STDEV.S(IF($A:$A=A1786, $F:$F))</f>
        <v>0.55691112396862807</v>
      </c>
      <c r="P1786" s="8">
        <f t="shared" si="165"/>
        <v>4.3086454519853596</v>
      </c>
      <c r="Q1786" s="8">
        <f t="shared" si="166"/>
        <v>4.3086454519853596</v>
      </c>
      <c r="R1786" s="8">
        <f t="shared" si="167"/>
        <v>4.3086454519853596</v>
      </c>
    </row>
    <row r="1787" spans="1:18" x14ac:dyDescent="0.25">
      <c r="A1787" s="7">
        <f t="shared" si="162"/>
        <v>358</v>
      </c>
      <c r="B1787" s="2">
        <v>45531</v>
      </c>
      <c r="C1787" s="3">
        <v>36.659999999999997</v>
      </c>
      <c r="D1787" s="3">
        <v>37.19</v>
      </c>
      <c r="E1787" s="3">
        <v>36.5</v>
      </c>
      <c r="F1787" s="3">
        <v>36.69</v>
      </c>
      <c r="G1787" s="3">
        <v>3496473</v>
      </c>
      <c r="H1787" s="8">
        <f t="shared" si="163"/>
        <v>-4.4698828018533678</v>
      </c>
      <c r="I1787">
        <f t="shared" si="164"/>
        <v>35.799999999999997</v>
      </c>
      <c r="J1787" s="6" cm="1">
        <f t="array" ref="J1787">_xlfn.STDEV.S(IF($A:$A=A1787, $F:$F))</f>
        <v>0.71658914309386534</v>
      </c>
      <c r="P1787" s="8">
        <f t="shared" si="165"/>
        <v>-4.4698828018533678</v>
      </c>
      <c r="Q1787" s="8">
        <f t="shared" si="166"/>
        <v>-4.4698828018533678</v>
      </c>
      <c r="R1787" s="8">
        <f t="shared" si="167"/>
        <v>-4.4698828018533678</v>
      </c>
    </row>
    <row r="1788" spans="1:18" x14ac:dyDescent="0.25">
      <c r="A1788" s="7">
        <f t="shared" si="162"/>
        <v>358</v>
      </c>
      <c r="B1788" s="2">
        <v>45532</v>
      </c>
      <c r="C1788" s="3">
        <v>36.619999999999997</v>
      </c>
      <c r="D1788" s="3">
        <v>36.770000000000003</v>
      </c>
      <c r="E1788" s="3">
        <v>35.89</v>
      </c>
      <c r="F1788" s="3">
        <v>36.43</v>
      </c>
      <c r="G1788" s="3">
        <v>5982982</v>
      </c>
      <c r="H1788" s="8">
        <f t="shared" si="163"/>
        <v>-4.4698828018533678</v>
      </c>
      <c r="I1788">
        <f t="shared" si="164"/>
        <v>35.799999999999997</v>
      </c>
      <c r="J1788" s="6" cm="1">
        <f t="array" ref="J1788">_xlfn.STDEV.S(IF($A:$A=A1788, $F:$F))</f>
        <v>0.71658914309386534</v>
      </c>
      <c r="P1788" s="8">
        <f t="shared" si="165"/>
        <v>-4.4698828018533678</v>
      </c>
      <c r="Q1788" s="8">
        <f t="shared" si="166"/>
        <v>-4.4698828018533678</v>
      </c>
      <c r="R1788" s="8">
        <f t="shared" si="167"/>
        <v>-4.4698828018533678</v>
      </c>
    </row>
    <row r="1789" spans="1:18" x14ac:dyDescent="0.25">
      <c r="A1789" s="7">
        <f t="shared" si="162"/>
        <v>358</v>
      </c>
      <c r="B1789" s="2">
        <v>45533</v>
      </c>
      <c r="C1789" s="3">
        <v>36.5</v>
      </c>
      <c r="D1789" s="3">
        <v>36.69</v>
      </c>
      <c r="E1789" s="3">
        <v>35.28</v>
      </c>
      <c r="F1789" s="3">
        <v>35.36</v>
      </c>
      <c r="G1789" s="3">
        <v>9625431</v>
      </c>
      <c r="H1789" s="8">
        <f t="shared" si="163"/>
        <v>-4.4698828018533678</v>
      </c>
      <c r="I1789">
        <f t="shared" si="164"/>
        <v>35.799999999999997</v>
      </c>
      <c r="J1789" s="6" cm="1">
        <f t="array" ref="J1789">_xlfn.STDEV.S(IF($A:$A=A1789, $F:$F))</f>
        <v>0.71658914309386534</v>
      </c>
      <c r="P1789" s="8">
        <f t="shared" si="165"/>
        <v>-4.4698828018533678</v>
      </c>
      <c r="Q1789" s="8">
        <f t="shared" si="166"/>
        <v>-4.4698828018533678</v>
      </c>
      <c r="R1789" s="8">
        <f t="shared" si="167"/>
        <v>-4.4698828018533678</v>
      </c>
    </row>
    <row r="1790" spans="1:18" x14ac:dyDescent="0.25">
      <c r="A1790" s="7">
        <f t="shared" si="162"/>
        <v>358</v>
      </c>
      <c r="B1790" s="2">
        <v>45534</v>
      </c>
      <c r="C1790" s="3">
        <v>35.36</v>
      </c>
      <c r="D1790" s="3">
        <v>35.590000000000003</v>
      </c>
      <c r="E1790" s="3">
        <v>34.979999999999997</v>
      </c>
      <c r="F1790" s="3">
        <v>35.47</v>
      </c>
      <c r="G1790" s="3">
        <v>6324168</v>
      </c>
      <c r="H1790" s="8">
        <f t="shared" si="163"/>
        <v>-4.4698828018533678</v>
      </c>
      <c r="I1790">
        <f t="shared" si="164"/>
        <v>35.799999999999997</v>
      </c>
      <c r="J1790" s="6" cm="1">
        <f t="array" ref="J1790">_xlfn.STDEV.S(IF($A:$A=A1790, $F:$F))</f>
        <v>0.71658914309386534</v>
      </c>
      <c r="P1790" s="8">
        <f t="shared" si="165"/>
        <v>-4.4698828018533678</v>
      </c>
      <c r="Q1790" s="8">
        <f t="shared" si="166"/>
        <v>-4.4698828018533678</v>
      </c>
      <c r="R1790" s="8">
        <f t="shared" si="167"/>
        <v>-4.4698828018533678</v>
      </c>
    </row>
    <row r="1791" spans="1:18" x14ac:dyDescent="0.25">
      <c r="A1791" s="7">
        <f t="shared" si="162"/>
        <v>358</v>
      </c>
      <c r="B1791" s="2">
        <v>45539</v>
      </c>
      <c r="C1791" s="3">
        <v>35.049999999999997</v>
      </c>
      <c r="D1791" s="3">
        <v>35.4</v>
      </c>
      <c r="E1791" s="3">
        <v>34.9</v>
      </c>
      <c r="F1791" s="3">
        <v>35.049999999999997</v>
      </c>
      <c r="G1791" s="3">
        <v>3841070</v>
      </c>
      <c r="H1791" s="8">
        <f t="shared" si="163"/>
        <v>-4.4698828018533678</v>
      </c>
      <c r="I1791">
        <f t="shared" si="164"/>
        <v>35.799999999999997</v>
      </c>
      <c r="J1791" s="6" cm="1">
        <f t="array" ref="J1791">_xlfn.STDEV.S(IF($A:$A=A1791, $F:$F))</f>
        <v>0.71658914309386534</v>
      </c>
      <c r="P1791" s="8">
        <f t="shared" si="165"/>
        <v>-4.4698828018533678</v>
      </c>
      <c r="Q1791" s="8">
        <f t="shared" si="166"/>
        <v>-4.4698828018533678</v>
      </c>
      <c r="R1791" s="8">
        <f t="shared" si="167"/>
        <v>-4.4698828018533678</v>
      </c>
    </row>
    <row r="1792" spans="1:18" x14ac:dyDescent="0.25">
      <c r="A1792" s="7">
        <f t="shared" si="162"/>
        <v>359</v>
      </c>
      <c r="B1792" s="2">
        <v>45540</v>
      </c>
      <c r="C1792" s="3">
        <v>35.090000000000003</v>
      </c>
      <c r="D1792" s="3">
        <v>35.47</v>
      </c>
      <c r="E1792" s="3">
        <v>34.25</v>
      </c>
      <c r="F1792" s="3">
        <v>34.36</v>
      </c>
      <c r="G1792" s="3">
        <v>7443191</v>
      </c>
      <c r="H1792" s="8">
        <f t="shared" si="163"/>
        <v>-2.6484284051222251</v>
      </c>
      <c r="I1792">
        <f t="shared" si="164"/>
        <v>34.112000000000002</v>
      </c>
      <c r="J1792" s="6" cm="1">
        <f t="array" ref="J1792">_xlfn.STDEV.S(IF($A:$A=A1792, $F:$F))</f>
        <v>0.51402334577332087</v>
      </c>
      <c r="P1792" s="8">
        <f t="shared" si="165"/>
        <v>-2.6484284051222251</v>
      </c>
      <c r="Q1792" s="8">
        <f t="shared" si="166"/>
        <v>-2.6484284051222251</v>
      </c>
      <c r="R1792" s="8">
        <f t="shared" si="167"/>
        <v>-2.6484284051222251</v>
      </c>
    </row>
    <row r="1793" spans="1:18" x14ac:dyDescent="0.25">
      <c r="A1793" s="7">
        <f t="shared" si="162"/>
        <v>359</v>
      </c>
      <c r="B1793" s="2">
        <v>45541</v>
      </c>
      <c r="C1793" s="3">
        <v>34.29</v>
      </c>
      <c r="D1793" s="3">
        <v>34.75</v>
      </c>
      <c r="E1793" s="3">
        <v>33.979999999999997</v>
      </c>
      <c r="F1793" s="3">
        <v>34.75</v>
      </c>
      <c r="G1793" s="3">
        <v>3655435</v>
      </c>
      <c r="H1793" s="8">
        <f t="shared" si="163"/>
        <v>-2.6484284051222251</v>
      </c>
      <c r="I1793">
        <f t="shared" si="164"/>
        <v>34.112000000000002</v>
      </c>
      <c r="J1793" s="6" cm="1">
        <f t="array" ref="J1793">_xlfn.STDEV.S(IF($A:$A=A1793, $F:$F))</f>
        <v>0.51402334577332087</v>
      </c>
      <c r="P1793" s="8">
        <f t="shared" si="165"/>
        <v>-2.6484284051222251</v>
      </c>
      <c r="Q1793" s="8">
        <f t="shared" si="166"/>
        <v>-2.6484284051222251</v>
      </c>
      <c r="R1793" s="8">
        <f t="shared" si="167"/>
        <v>-2.6484284051222251</v>
      </c>
    </row>
    <row r="1794" spans="1:18" x14ac:dyDescent="0.25">
      <c r="A1794" s="7">
        <f t="shared" si="162"/>
        <v>359</v>
      </c>
      <c r="B1794" s="2">
        <v>45544</v>
      </c>
      <c r="C1794" s="3">
        <v>34.71</v>
      </c>
      <c r="D1794" s="3">
        <v>34.75</v>
      </c>
      <c r="E1794" s="3">
        <v>34.21</v>
      </c>
      <c r="F1794" s="3">
        <v>34.25</v>
      </c>
      <c r="G1794" s="3">
        <v>2501798</v>
      </c>
      <c r="H1794" s="8">
        <f t="shared" si="163"/>
        <v>-2.6484284051222251</v>
      </c>
      <c r="I1794">
        <f t="shared" si="164"/>
        <v>34.112000000000002</v>
      </c>
      <c r="J1794" s="6" cm="1">
        <f t="array" ref="J1794">_xlfn.STDEV.S(IF($A:$A=A1794, $F:$F))</f>
        <v>0.51402334577332087</v>
      </c>
      <c r="P1794" s="8">
        <f t="shared" si="165"/>
        <v>-2.6484284051222251</v>
      </c>
      <c r="Q1794" s="8">
        <f t="shared" si="166"/>
        <v>-2.6484284051222251</v>
      </c>
      <c r="R1794" s="8">
        <f t="shared" si="167"/>
        <v>-2.6484284051222251</v>
      </c>
    </row>
    <row r="1795" spans="1:18" x14ac:dyDescent="0.25">
      <c r="A1795" s="7">
        <f t="shared" ref="A1795:A1858" si="168">INT((ROW(A1795)-ROW($A$2))/5) + 1</f>
        <v>359</v>
      </c>
      <c r="B1795" s="2">
        <v>45545</v>
      </c>
      <c r="C1795" s="3">
        <v>34.479999999999997</v>
      </c>
      <c r="D1795" s="3">
        <v>34.520000000000003</v>
      </c>
      <c r="E1795" s="3">
        <v>33.75</v>
      </c>
      <c r="F1795" s="3">
        <v>33.75</v>
      </c>
      <c r="G1795" s="3">
        <v>4565552</v>
      </c>
      <c r="H1795" s="8">
        <f t="shared" ref="H1795:H1858" si="169">IF(A1795=A1794, H1794, (F1799-F1795)/F1795*100)</f>
        <v>-2.6484284051222251</v>
      </c>
      <c r="I1795">
        <f t="shared" ref="I1795:I1858" si="170">AVERAGEIF($A:$A, A1795, $F:$F)</f>
        <v>34.112000000000002</v>
      </c>
      <c r="J1795" s="6" cm="1">
        <f t="array" ref="J1795">_xlfn.STDEV.S(IF($A:$A=A1795, $F:$F))</f>
        <v>0.51402334577332087</v>
      </c>
      <c r="P1795" s="8">
        <f t="shared" ref="P1795:P1858" si="171">IF(A1795=A1794,P1794,(F1799-F1795)/F1795*100)</f>
        <v>-2.6484284051222251</v>
      </c>
      <c r="Q1795" s="8">
        <f t="shared" ref="Q1795:Q1858" si="172">IF(A1795=A1794,Q1794,(F1799-F1795)/F1795*100)</f>
        <v>-2.6484284051222251</v>
      </c>
      <c r="R1795" s="8">
        <f t="shared" ref="R1795:R1858" si="173">IF(A1795=A1794,R1794,(F1799-F1795)/F1795*100)</f>
        <v>-2.6484284051222251</v>
      </c>
    </row>
    <row r="1796" spans="1:18" x14ac:dyDescent="0.25">
      <c r="A1796" s="7">
        <f t="shared" si="168"/>
        <v>359</v>
      </c>
      <c r="B1796" s="2">
        <v>45546</v>
      </c>
      <c r="C1796" s="3">
        <v>33.83</v>
      </c>
      <c r="D1796" s="3">
        <v>33.83</v>
      </c>
      <c r="E1796" s="3">
        <v>33.409999999999997</v>
      </c>
      <c r="F1796" s="3">
        <v>33.450000000000003</v>
      </c>
      <c r="G1796" s="3">
        <v>6399940</v>
      </c>
      <c r="H1796" s="8">
        <f t="shared" si="169"/>
        <v>-2.6484284051222251</v>
      </c>
      <c r="I1796">
        <f t="shared" si="170"/>
        <v>34.112000000000002</v>
      </c>
      <c r="J1796" s="6" cm="1">
        <f t="array" ref="J1796">_xlfn.STDEV.S(IF($A:$A=A1796, $F:$F))</f>
        <v>0.51402334577332087</v>
      </c>
      <c r="P1796" s="8">
        <f t="shared" si="171"/>
        <v>-2.6484284051222251</v>
      </c>
      <c r="Q1796" s="8">
        <f t="shared" si="172"/>
        <v>-2.6484284051222251</v>
      </c>
      <c r="R1796" s="8">
        <f t="shared" si="173"/>
        <v>-2.6484284051222251</v>
      </c>
    </row>
    <row r="1797" spans="1:18" x14ac:dyDescent="0.25">
      <c r="A1797" s="7">
        <f t="shared" si="168"/>
        <v>360</v>
      </c>
      <c r="B1797" s="2">
        <v>45547</v>
      </c>
      <c r="C1797" s="3">
        <v>34.200000000000003</v>
      </c>
      <c r="D1797" s="3">
        <v>34.75</v>
      </c>
      <c r="E1797" s="3">
        <v>33.159999999999997</v>
      </c>
      <c r="F1797" s="3">
        <v>33.159999999999997</v>
      </c>
      <c r="G1797" s="3">
        <v>6133538</v>
      </c>
      <c r="H1797" s="8">
        <f t="shared" si="169"/>
        <v>3.2870928829915664</v>
      </c>
      <c r="I1797">
        <f t="shared" si="170"/>
        <v>33.347999999999999</v>
      </c>
      <c r="J1797" s="6" cm="1">
        <f t="array" ref="J1797">_xlfn.STDEV.S(IF($A:$A=A1797, $F:$F))</f>
        <v>0.76666159418611712</v>
      </c>
      <c r="P1797" s="8">
        <f t="shared" si="171"/>
        <v>3.2870928829915664</v>
      </c>
      <c r="Q1797" s="8">
        <f t="shared" si="172"/>
        <v>3.2870928829915664</v>
      </c>
      <c r="R1797" s="8">
        <f t="shared" si="173"/>
        <v>3.2870928829915664</v>
      </c>
    </row>
    <row r="1798" spans="1:18" x14ac:dyDescent="0.25">
      <c r="A1798" s="7">
        <f t="shared" si="168"/>
        <v>360</v>
      </c>
      <c r="B1798" s="2">
        <v>45548</v>
      </c>
      <c r="C1798" s="3">
        <v>33.31</v>
      </c>
      <c r="D1798" s="3">
        <v>33.76</v>
      </c>
      <c r="E1798" s="3">
        <v>32.96</v>
      </c>
      <c r="F1798" s="3">
        <v>33.159999999999997</v>
      </c>
      <c r="G1798" s="3">
        <v>6401466</v>
      </c>
      <c r="H1798" s="8">
        <f t="shared" si="169"/>
        <v>3.2870928829915664</v>
      </c>
      <c r="I1798">
        <f t="shared" si="170"/>
        <v>33.347999999999999</v>
      </c>
      <c r="J1798" s="6" cm="1">
        <f t="array" ref="J1798">_xlfn.STDEV.S(IF($A:$A=A1798, $F:$F))</f>
        <v>0.76666159418611712</v>
      </c>
      <c r="P1798" s="8">
        <f t="shared" si="171"/>
        <v>3.2870928829915664</v>
      </c>
      <c r="Q1798" s="8">
        <f t="shared" si="172"/>
        <v>3.2870928829915664</v>
      </c>
      <c r="R1798" s="8">
        <f t="shared" si="173"/>
        <v>3.2870928829915664</v>
      </c>
    </row>
    <row r="1799" spans="1:18" x14ac:dyDescent="0.25">
      <c r="A1799" s="7">
        <f t="shared" si="168"/>
        <v>360</v>
      </c>
      <c r="B1799" s="2">
        <v>45551</v>
      </c>
      <c r="C1799" s="3">
        <v>33.46</v>
      </c>
      <c r="D1799" s="3">
        <v>33.46</v>
      </c>
      <c r="E1799" s="3">
        <v>32.270000000000003</v>
      </c>
      <c r="F1799" s="3">
        <v>32.270000000000003</v>
      </c>
      <c r="G1799" s="3">
        <v>5211457</v>
      </c>
      <c r="H1799" s="8">
        <f t="shared" si="169"/>
        <v>3.2870928829915664</v>
      </c>
      <c r="I1799">
        <f t="shared" si="170"/>
        <v>33.347999999999999</v>
      </c>
      <c r="J1799" s="6" cm="1">
        <f t="array" ref="J1799">_xlfn.STDEV.S(IF($A:$A=A1799, $F:$F))</f>
        <v>0.76666159418611712</v>
      </c>
      <c r="P1799" s="8">
        <f t="shared" si="171"/>
        <v>3.2870928829915664</v>
      </c>
      <c r="Q1799" s="8">
        <f t="shared" si="172"/>
        <v>3.2870928829915664</v>
      </c>
      <c r="R1799" s="8">
        <f t="shared" si="173"/>
        <v>3.2870928829915664</v>
      </c>
    </row>
    <row r="1800" spans="1:18" x14ac:dyDescent="0.25">
      <c r="A1800" s="7">
        <f t="shared" si="168"/>
        <v>360</v>
      </c>
      <c r="B1800" s="2">
        <v>45552</v>
      </c>
      <c r="C1800" s="3">
        <v>32.369999999999997</v>
      </c>
      <c r="D1800" s="3">
        <v>33.9</v>
      </c>
      <c r="E1800" s="3">
        <v>32.32</v>
      </c>
      <c r="F1800" s="3">
        <v>33.9</v>
      </c>
      <c r="G1800" s="3">
        <v>6257713</v>
      </c>
      <c r="H1800" s="8">
        <f t="shared" si="169"/>
        <v>3.2870928829915664</v>
      </c>
      <c r="I1800">
        <f t="shared" si="170"/>
        <v>33.347999999999999</v>
      </c>
      <c r="J1800" s="6" cm="1">
        <f t="array" ref="J1800">_xlfn.STDEV.S(IF($A:$A=A1800, $F:$F))</f>
        <v>0.76666159418611712</v>
      </c>
      <c r="P1800" s="8">
        <f t="shared" si="171"/>
        <v>3.2870928829915664</v>
      </c>
      <c r="Q1800" s="8">
        <f t="shared" si="172"/>
        <v>3.2870928829915664</v>
      </c>
      <c r="R1800" s="8">
        <f t="shared" si="173"/>
        <v>3.2870928829915664</v>
      </c>
    </row>
    <row r="1801" spans="1:18" x14ac:dyDescent="0.25">
      <c r="A1801" s="7">
        <f t="shared" si="168"/>
        <v>360</v>
      </c>
      <c r="B1801" s="2">
        <v>45553</v>
      </c>
      <c r="C1801" s="3">
        <v>33.950000000000003</v>
      </c>
      <c r="D1801" s="3">
        <v>34.700000000000003</v>
      </c>
      <c r="E1801" s="3">
        <v>33.85</v>
      </c>
      <c r="F1801" s="3">
        <v>34.25</v>
      </c>
      <c r="G1801" s="3">
        <v>9739414</v>
      </c>
      <c r="H1801" s="8">
        <f t="shared" si="169"/>
        <v>3.2870928829915664</v>
      </c>
      <c r="I1801">
        <f t="shared" si="170"/>
        <v>33.347999999999999</v>
      </c>
      <c r="J1801" s="6" cm="1">
        <f t="array" ref="J1801">_xlfn.STDEV.S(IF($A:$A=A1801, $F:$F))</f>
        <v>0.76666159418611712</v>
      </c>
      <c r="P1801" s="8">
        <f t="shared" si="171"/>
        <v>3.2870928829915664</v>
      </c>
      <c r="Q1801" s="8">
        <f t="shared" si="172"/>
        <v>3.2870928829915664</v>
      </c>
      <c r="R1801" s="8">
        <f t="shared" si="173"/>
        <v>3.2870928829915664</v>
      </c>
    </row>
    <row r="1802" spans="1:18" x14ac:dyDescent="0.25">
      <c r="A1802" s="7">
        <f t="shared" si="168"/>
        <v>361</v>
      </c>
      <c r="B1802" s="2">
        <v>45554</v>
      </c>
      <c r="C1802" s="3">
        <v>34.450000000000003</v>
      </c>
      <c r="D1802" s="3">
        <v>34.6</v>
      </c>
      <c r="E1802" s="3">
        <v>34.15</v>
      </c>
      <c r="F1802" s="3">
        <v>34.35</v>
      </c>
      <c r="G1802" s="3">
        <v>6423924</v>
      </c>
      <c r="H1802" s="8">
        <f t="shared" si="169"/>
        <v>2.882096069869001</v>
      </c>
      <c r="I1802">
        <f t="shared" si="170"/>
        <v>34.428000000000004</v>
      </c>
      <c r="J1802" s="6" cm="1">
        <f t="array" ref="J1802">_xlfn.STDEV.S(IF($A:$A=A1802, $F:$F))</f>
        <v>0.53143202763853148</v>
      </c>
      <c r="P1802" s="8">
        <f t="shared" si="171"/>
        <v>2.882096069869001</v>
      </c>
      <c r="Q1802" s="8">
        <f t="shared" si="172"/>
        <v>2.882096069869001</v>
      </c>
      <c r="R1802" s="8">
        <f t="shared" si="173"/>
        <v>2.882096069869001</v>
      </c>
    </row>
    <row r="1803" spans="1:18" x14ac:dyDescent="0.25">
      <c r="A1803" s="7">
        <f t="shared" si="168"/>
        <v>361</v>
      </c>
      <c r="B1803" s="2">
        <v>45555</v>
      </c>
      <c r="C1803" s="3">
        <v>34.75</v>
      </c>
      <c r="D1803" s="3">
        <v>34.799999999999997</v>
      </c>
      <c r="E1803" s="3">
        <v>34.1</v>
      </c>
      <c r="F1803" s="3">
        <v>34.25</v>
      </c>
      <c r="G1803" s="3">
        <v>7245718</v>
      </c>
      <c r="H1803" s="8">
        <f t="shared" si="169"/>
        <v>2.882096069869001</v>
      </c>
      <c r="I1803">
        <f t="shared" si="170"/>
        <v>34.428000000000004</v>
      </c>
      <c r="J1803" s="6" cm="1">
        <f t="array" ref="J1803">_xlfn.STDEV.S(IF($A:$A=A1803, $F:$F))</f>
        <v>0.53143202763853148</v>
      </c>
      <c r="P1803" s="8">
        <f t="shared" si="171"/>
        <v>2.882096069869001</v>
      </c>
      <c r="Q1803" s="8">
        <f t="shared" si="172"/>
        <v>2.882096069869001</v>
      </c>
      <c r="R1803" s="8">
        <f t="shared" si="173"/>
        <v>2.882096069869001</v>
      </c>
    </row>
    <row r="1804" spans="1:18" x14ac:dyDescent="0.25">
      <c r="A1804" s="7">
        <f t="shared" si="168"/>
        <v>361</v>
      </c>
      <c r="B1804" s="2">
        <v>45558</v>
      </c>
      <c r="C1804" s="3">
        <v>34.35</v>
      </c>
      <c r="D1804" s="3">
        <v>34.35</v>
      </c>
      <c r="E1804" s="3">
        <v>33.9</v>
      </c>
      <c r="F1804" s="3">
        <v>33.950000000000003</v>
      </c>
      <c r="G1804" s="3">
        <v>6686129</v>
      </c>
      <c r="H1804" s="8">
        <f t="shared" si="169"/>
        <v>2.882096069869001</v>
      </c>
      <c r="I1804">
        <f t="shared" si="170"/>
        <v>34.428000000000004</v>
      </c>
      <c r="J1804" s="6" cm="1">
        <f t="array" ref="J1804">_xlfn.STDEV.S(IF($A:$A=A1804, $F:$F))</f>
        <v>0.53143202763853148</v>
      </c>
      <c r="P1804" s="8">
        <f t="shared" si="171"/>
        <v>2.882096069869001</v>
      </c>
      <c r="Q1804" s="8">
        <f t="shared" si="172"/>
        <v>2.882096069869001</v>
      </c>
      <c r="R1804" s="8">
        <f t="shared" si="173"/>
        <v>2.882096069869001</v>
      </c>
    </row>
    <row r="1805" spans="1:18" x14ac:dyDescent="0.25">
      <c r="A1805" s="7">
        <f t="shared" si="168"/>
        <v>361</v>
      </c>
      <c r="B1805" s="2">
        <v>45559</v>
      </c>
      <c r="C1805" s="3">
        <v>34</v>
      </c>
      <c r="D1805" s="3">
        <v>34.25</v>
      </c>
      <c r="E1805" s="3">
        <v>33.76</v>
      </c>
      <c r="F1805" s="3">
        <v>34.25</v>
      </c>
      <c r="G1805" s="3">
        <v>5748881</v>
      </c>
      <c r="H1805" s="8">
        <f t="shared" si="169"/>
        <v>2.882096069869001</v>
      </c>
      <c r="I1805">
        <f t="shared" si="170"/>
        <v>34.428000000000004</v>
      </c>
      <c r="J1805" s="6" cm="1">
        <f t="array" ref="J1805">_xlfn.STDEV.S(IF($A:$A=A1805, $F:$F))</f>
        <v>0.53143202763853148</v>
      </c>
      <c r="P1805" s="8">
        <f t="shared" si="171"/>
        <v>2.882096069869001</v>
      </c>
      <c r="Q1805" s="8">
        <f t="shared" si="172"/>
        <v>2.882096069869001</v>
      </c>
      <c r="R1805" s="8">
        <f t="shared" si="173"/>
        <v>2.882096069869001</v>
      </c>
    </row>
    <row r="1806" spans="1:18" x14ac:dyDescent="0.25">
      <c r="A1806" s="7">
        <f t="shared" si="168"/>
        <v>361</v>
      </c>
      <c r="B1806" s="2">
        <v>45560</v>
      </c>
      <c r="C1806" s="3">
        <v>34.4</v>
      </c>
      <c r="D1806" s="3">
        <v>35.49</v>
      </c>
      <c r="E1806" s="3">
        <v>34.35</v>
      </c>
      <c r="F1806" s="3">
        <v>35.340000000000003</v>
      </c>
      <c r="G1806" s="3">
        <v>15818723</v>
      </c>
      <c r="H1806" s="8">
        <f t="shared" si="169"/>
        <v>2.882096069869001</v>
      </c>
      <c r="I1806">
        <f t="shared" si="170"/>
        <v>34.428000000000004</v>
      </c>
      <c r="J1806" s="6" cm="1">
        <f t="array" ref="J1806">_xlfn.STDEV.S(IF($A:$A=A1806, $F:$F))</f>
        <v>0.53143202763853148</v>
      </c>
      <c r="P1806" s="8">
        <f t="shared" si="171"/>
        <v>2.882096069869001</v>
      </c>
      <c r="Q1806" s="8">
        <f t="shared" si="172"/>
        <v>2.882096069869001</v>
      </c>
      <c r="R1806" s="8">
        <f t="shared" si="173"/>
        <v>2.882096069869001</v>
      </c>
    </row>
    <row r="1807" spans="1:18" x14ac:dyDescent="0.25">
      <c r="A1807" s="7">
        <f t="shared" si="168"/>
        <v>362</v>
      </c>
      <c r="B1807" s="2">
        <v>45561</v>
      </c>
      <c r="C1807" s="3">
        <v>35.44</v>
      </c>
      <c r="D1807" s="3">
        <v>36.04</v>
      </c>
      <c r="E1807" s="3">
        <v>35.24</v>
      </c>
      <c r="F1807" s="3">
        <v>35.89</v>
      </c>
      <c r="G1807" s="3">
        <v>12839409</v>
      </c>
      <c r="H1807" s="8">
        <f t="shared" si="169"/>
        <v>0.69657286152131515</v>
      </c>
      <c r="I1807">
        <f t="shared" si="170"/>
        <v>36.070000000000007</v>
      </c>
      <c r="J1807" s="6" cm="1">
        <f t="array" ref="J1807">_xlfn.STDEV.S(IF($A:$A=A1807, $F:$F))</f>
        <v>0.31144823004794808</v>
      </c>
      <c r="P1807" s="8">
        <f t="shared" si="171"/>
        <v>0.69657286152131515</v>
      </c>
      <c r="Q1807" s="8">
        <f t="shared" si="172"/>
        <v>0.69657286152131515</v>
      </c>
      <c r="R1807" s="8">
        <f t="shared" si="173"/>
        <v>0.69657286152131515</v>
      </c>
    </row>
    <row r="1808" spans="1:18" x14ac:dyDescent="0.25">
      <c r="A1808" s="7">
        <f t="shared" si="168"/>
        <v>362</v>
      </c>
      <c r="B1808" s="2">
        <v>45562</v>
      </c>
      <c r="C1808" s="3">
        <v>35.74</v>
      </c>
      <c r="D1808" s="3">
        <v>36.04</v>
      </c>
      <c r="E1808" s="3">
        <v>35.44</v>
      </c>
      <c r="F1808" s="3">
        <v>35.64</v>
      </c>
      <c r="G1808" s="3">
        <v>9824733</v>
      </c>
      <c r="H1808" s="8">
        <f t="shared" si="169"/>
        <v>0.69657286152131515</v>
      </c>
      <c r="I1808">
        <f t="shared" si="170"/>
        <v>36.070000000000007</v>
      </c>
      <c r="J1808" s="6" cm="1">
        <f t="array" ref="J1808">_xlfn.STDEV.S(IF($A:$A=A1808, $F:$F))</f>
        <v>0.31144823004794808</v>
      </c>
      <c r="P1808" s="8">
        <f t="shared" si="171"/>
        <v>0.69657286152131515</v>
      </c>
      <c r="Q1808" s="8">
        <f t="shared" si="172"/>
        <v>0.69657286152131515</v>
      </c>
      <c r="R1808" s="8">
        <f t="shared" si="173"/>
        <v>0.69657286152131515</v>
      </c>
    </row>
    <row r="1809" spans="1:18" x14ac:dyDescent="0.25">
      <c r="A1809" s="7">
        <f t="shared" si="168"/>
        <v>362</v>
      </c>
      <c r="B1809" s="2">
        <v>45565</v>
      </c>
      <c r="C1809" s="3">
        <v>35.590000000000003</v>
      </c>
      <c r="D1809" s="3">
        <v>36.880000000000003</v>
      </c>
      <c r="E1809" s="3">
        <v>35.44</v>
      </c>
      <c r="F1809" s="3">
        <v>36.44</v>
      </c>
      <c r="G1809" s="3">
        <v>11156143</v>
      </c>
      <c r="H1809" s="8">
        <f t="shared" si="169"/>
        <v>0.69657286152131515</v>
      </c>
      <c r="I1809">
        <f t="shared" si="170"/>
        <v>36.070000000000007</v>
      </c>
      <c r="J1809" s="6" cm="1">
        <f t="array" ref="J1809">_xlfn.STDEV.S(IF($A:$A=A1809, $F:$F))</f>
        <v>0.31144823004794808</v>
      </c>
      <c r="P1809" s="8">
        <f t="shared" si="171"/>
        <v>0.69657286152131515</v>
      </c>
      <c r="Q1809" s="8">
        <f t="shared" si="172"/>
        <v>0.69657286152131515</v>
      </c>
      <c r="R1809" s="8">
        <f t="shared" si="173"/>
        <v>0.69657286152131515</v>
      </c>
    </row>
    <row r="1810" spans="1:18" x14ac:dyDescent="0.25">
      <c r="A1810" s="7">
        <f t="shared" si="168"/>
        <v>362</v>
      </c>
      <c r="B1810" s="2">
        <v>45566</v>
      </c>
      <c r="C1810" s="3">
        <v>36.58</v>
      </c>
      <c r="D1810" s="3">
        <v>37.18</v>
      </c>
      <c r="E1810" s="3">
        <v>36.24</v>
      </c>
      <c r="F1810" s="3">
        <v>36.24</v>
      </c>
      <c r="G1810" s="3">
        <v>9566099</v>
      </c>
      <c r="H1810" s="8">
        <f t="shared" si="169"/>
        <v>0.69657286152131515</v>
      </c>
      <c r="I1810">
        <f t="shared" si="170"/>
        <v>36.070000000000007</v>
      </c>
      <c r="J1810" s="6" cm="1">
        <f t="array" ref="J1810">_xlfn.STDEV.S(IF($A:$A=A1810, $F:$F))</f>
        <v>0.31144823004794808</v>
      </c>
      <c r="P1810" s="8">
        <f t="shared" si="171"/>
        <v>0.69657286152131515</v>
      </c>
      <c r="Q1810" s="8">
        <f t="shared" si="172"/>
        <v>0.69657286152131515</v>
      </c>
      <c r="R1810" s="8">
        <f t="shared" si="173"/>
        <v>0.69657286152131515</v>
      </c>
    </row>
    <row r="1811" spans="1:18" x14ac:dyDescent="0.25">
      <c r="A1811" s="7">
        <f t="shared" si="168"/>
        <v>362</v>
      </c>
      <c r="B1811" s="2">
        <v>45567</v>
      </c>
      <c r="C1811" s="3">
        <v>36.04</v>
      </c>
      <c r="D1811" s="3">
        <v>36.58</v>
      </c>
      <c r="E1811" s="3">
        <v>35.99</v>
      </c>
      <c r="F1811" s="3">
        <v>36.14</v>
      </c>
      <c r="G1811" s="3">
        <v>8095217</v>
      </c>
      <c r="H1811" s="8">
        <f t="shared" si="169"/>
        <v>0.69657286152131515</v>
      </c>
      <c r="I1811">
        <f t="shared" si="170"/>
        <v>36.070000000000007</v>
      </c>
      <c r="J1811" s="6" cm="1">
        <f t="array" ref="J1811">_xlfn.STDEV.S(IF($A:$A=A1811, $F:$F))</f>
        <v>0.31144823004794808</v>
      </c>
      <c r="P1811" s="8">
        <f t="shared" si="171"/>
        <v>0.69657286152131515</v>
      </c>
      <c r="Q1811" s="8">
        <f t="shared" si="172"/>
        <v>0.69657286152131515</v>
      </c>
      <c r="R1811" s="8">
        <f t="shared" si="173"/>
        <v>0.69657286152131515</v>
      </c>
    </row>
    <row r="1812" spans="1:18" x14ac:dyDescent="0.25">
      <c r="A1812" s="7">
        <f t="shared" si="168"/>
        <v>363</v>
      </c>
      <c r="B1812" s="2">
        <v>45568</v>
      </c>
      <c r="C1812" s="3">
        <v>36.24</v>
      </c>
      <c r="D1812" s="3">
        <v>36.58</v>
      </c>
      <c r="E1812" s="3">
        <v>35.840000000000003</v>
      </c>
      <c r="F1812" s="3">
        <v>36.29</v>
      </c>
      <c r="G1812" s="3">
        <v>9082285</v>
      </c>
      <c r="H1812" s="8">
        <f t="shared" si="169"/>
        <v>2.3146872416643798</v>
      </c>
      <c r="I1812">
        <f t="shared" si="170"/>
        <v>36.753999999999998</v>
      </c>
      <c r="J1812" s="6" cm="1">
        <f t="array" ref="J1812">_xlfn.STDEV.S(IF($A:$A=A1812, $F:$F))</f>
        <v>0.58058591095547574</v>
      </c>
      <c r="P1812" s="8">
        <f t="shared" si="171"/>
        <v>2.3146872416643798</v>
      </c>
      <c r="Q1812" s="8">
        <f t="shared" si="172"/>
        <v>2.3146872416643798</v>
      </c>
      <c r="R1812" s="8">
        <f t="shared" si="173"/>
        <v>2.3146872416643798</v>
      </c>
    </row>
    <row r="1813" spans="1:18" x14ac:dyDescent="0.25">
      <c r="A1813" s="7">
        <f t="shared" si="168"/>
        <v>363</v>
      </c>
      <c r="B1813" s="2">
        <v>45569</v>
      </c>
      <c r="C1813" s="3">
        <v>36.29</v>
      </c>
      <c r="D1813" s="3">
        <v>36.49</v>
      </c>
      <c r="E1813" s="3">
        <v>35.94</v>
      </c>
      <c r="F1813" s="3">
        <v>35.99</v>
      </c>
      <c r="G1813" s="3">
        <v>5936459</v>
      </c>
      <c r="H1813" s="8">
        <f t="shared" si="169"/>
        <v>2.3146872416643798</v>
      </c>
      <c r="I1813">
        <f t="shared" si="170"/>
        <v>36.753999999999998</v>
      </c>
      <c r="J1813" s="6" cm="1">
        <f t="array" ref="J1813">_xlfn.STDEV.S(IF($A:$A=A1813, $F:$F))</f>
        <v>0.58058591095547574</v>
      </c>
      <c r="P1813" s="8">
        <f t="shared" si="171"/>
        <v>2.3146872416643798</v>
      </c>
      <c r="Q1813" s="8">
        <f t="shared" si="172"/>
        <v>2.3146872416643798</v>
      </c>
      <c r="R1813" s="8">
        <f t="shared" si="173"/>
        <v>2.3146872416643798</v>
      </c>
    </row>
    <row r="1814" spans="1:18" x14ac:dyDescent="0.25">
      <c r="A1814" s="7">
        <f t="shared" si="168"/>
        <v>363</v>
      </c>
      <c r="B1814" s="2">
        <v>45572</v>
      </c>
      <c r="C1814" s="3">
        <v>36.19</v>
      </c>
      <c r="D1814" s="3">
        <v>37.33</v>
      </c>
      <c r="E1814" s="3">
        <v>35.840000000000003</v>
      </c>
      <c r="F1814" s="3">
        <v>37.33</v>
      </c>
      <c r="G1814" s="3">
        <v>9270949</v>
      </c>
      <c r="H1814" s="8">
        <f t="shared" si="169"/>
        <v>2.3146872416643798</v>
      </c>
      <c r="I1814">
        <f t="shared" si="170"/>
        <v>36.753999999999998</v>
      </c>
      <c r="J1814" s="6" cm="1">
        <f t="array" ref="J1814">_xlfn.STDEV.S(IF($A:$A=A1814, $F:$F))</f>
        <v>0.58058591095547574</v>
      </c>
      <c r="P1814" s="8">
        <f t="shared" si="171"/>
        <v>2.3146872416643798</v>
      </c>
      <c r="Q1814" s="8">
        <f t="shared" si="172"/>
        <v>2.3146872416643798</v>
      </c>
      <c r="R1814" s="8">
        <f t="shared" si="173"/>
        <v>2.3146872416643798</v>
      </c>
    </row>
    <row r="1815" spans="1:18" x14ac:dyDescent="0.25">
      <c r="A1815" s="7">
        <f t="shared" si="168"/>
        <v>363</v>
      </c>
      <c r="B1815" s="2">
        <v>45573</v>
      </c>
      <c r="C1815" s="3">
        <v>37.630000000000003</v>
      </c>
      <c r="D1815" s="3">
        <v>38.119999999999997</v>
      </c>
      <c r="E1815" s="3">
        <v>36.979999999999997</v>
      </c>
      <c r="F1815" s="3">
        <v>37.03</v>
      </c>
      <c r="G1815" s="3">
        <v>13372186</v>
      </c>
      <c r="H1815" s="8">
        <f t="shared" si="169"/>
        <v>2.3146872416643798</v>
      </c>
      <c r="I1815">
        <f t="shared" si="170"/>
        <v>36.753999999999998</v>
      </c>
      <c r="J1815" s="6" cm="1">
        <f t="array" ref="J1815">_xlfn.STDEV.S(IF($A:$A=A1815, $F:$F))</f>
        <v>0.58058591095547574</v>
      </c>
      <c r="P1815" s="8">
        <f t="shared" si="171"/>
        <v>2.3146872416643798</v>
      </c>
      <c r="Q1815" s="8">
        <f t="shared" si="172"/>
        <v>2.3146872416643798</v>
      </c>
      <c r="R1815" s="8">
        <f t="shared" si="173"/>
        <v>2.3146872416643798</v>
      </c>
    </row>
    <row r="1816" spans="1:18" x14ac:dyDescent="0.25">
      <c r="A1816" s="7">
        <f t="shared" si="168"/>
        <v>363</v>
      </c>
      <c r="B1816" s="2">
        <v>45574</v>
      </c>
      <c r="C1816" s="3">
        <v>36.93</v>
      </c>
      <c r="D1816" s="3">
        <v>37.479999999999997</v>
      </c>
      <c r="E1816" s="3">
        <v>36.880000000000003</v>
      </c>
      <c r="F1816" s="3">
        <v>37.130000000000003</v>
      </c>
      <c r="G1816" s="3">
        <v>7246975</v>
      </c>
      <c r="H1816" s="8">
        <f t="shared" si="169"/>
        <v>2.3146872416643798</v>
      </c>
      <c r="I1816">
        <f t="shared" si="170"/>
        <v>36.753999999999998</v>
      </c>
      <c r="J1816" s="6" cm="1">
        <f t="array" ref="J1816">_xlfn.STDEV.S(IF($A:$A=A1816, $F:$F))</f>
        <v>0.58058591095547574</v>
      </c>
      <c r="P1816" s="8">
        <f t="shared" si="171"/>
        <v>2.3146872416643798</v>
      </c>
      <c r="Q1816" s="8">
        <f t="shared" si="172"/>
        <v>2.3146872416643798</v>
      </c>
      <c r="R1816" s="8">
        <f t="shared" si="173"/>
        <v>2.3146872416643798</v>
      </c>
    </row>
    <row r="1817" spans="1:18" x14ac:dyDescent="0.25">
      <c r="A1817" s="7">
        <f t="shared" si="168"/>
        <v>364</v>
      </c>
      <c r="B1817" s="2">
        <v>45575</v>
      </c>
      <c r="C1817" s="3">
        <v>37.630000000000003</v>
      </c>
      <c r="D1817" s="3">
        <v>37.630000000000003</v>
      </c>
      <c r="E1817" s="3">
        <v>36.14</v>
      </c>
      <c r="F1817" s="3">
        <v>36.14</v>
      </c>
      <c r="G1817" s="3">
        <v>11324849</v>
      </c>
      <c r="H1817" s="8">
        <f t="shared" si="169"/>
        <v>-1.7985611510791328</v>
      </c>
      <c r="I1817">
        <f t="shared" si="170"/>
        <v>36.078000000000003</v>
      </c>
      <c r="J1817" s="6" cm="1">
        <f t="array" ref="J1817">_xlfn.STDEV.S(IF($A:$A=A1817, $F:$F))</f>
        <v>0.46013041629520457</v>
      </c>
      <c r="P1817" s="8">
        <f t="shared" si="171"/>
        <v>-1.7985611510791328</v>
      </c>
      <c r="Q1817" s="8">
        <f t="shared" si="172"/>
        <v>-1.7985611510791328</v>
      </c>
      <c r="R1817" s="8">
        <f t="shared" si="173"/>
        <v>-1.7985611510791328</v>
      </c>
    </row>
    <row r="1818" spans="1:18" x14ac:dyDescent="0.25">
      <c r="A1818" s="7">
        <f t="shared" si="168"/>
        <v>364</v>
      </c>
      <c r="B1818" s="2">
        <v>45576</v>
      </c>
      <c r="C1818" s="3">
        <v>36.19</v>
      </c>
      <c r="D1818" s="3">
        <v>36.630000000000003</v>
      </c>
      <c r="E1818" s="3">
        <v>36.14</v>
      </c>
      <c r="F1818" s="3">
        <v>36.58</v>
      </c>
      <c r="G1818" s="3">
        <v>4114257</v>
      </c>
      <c r="H1818" s="8">
        <f t="shared" si="169"/>
        <v>-1.7985611510791328</v>
      </c>
      <c r="I1818">
        <f t="shared" si="170"/>
        <v>36.078000000000003</v>
      </c>
      <c r="J1818" s="6" cm="1">
        <f t="array" ref="J1818">_xlfn.STDEV.S(IF($A:$A=A1818, $F:$F))</f>
        <v>0.46013041629520457</v>
      </c>
      <c r="P1818" s="8">
        <f t="shared" si="171"/>
        <v>-1.7985611510791328</v>
      </c>
      <c r="Q1818" s="8">
        <f t="shared" si="172"/>
        <v>-1.7985611510791328</v>
      </c>
      <c r="R1818" s="8">
        <f t="shared" si="173"/>
        <v>-1.7985611510791328</v>
      </c>
    </row>
    <row r="1819" spans="1:18" x14ac:dyDescent="0.25">
      <c r="A1819" s="7">
        <f t="shared" si="168"/>
        <v>364</v>
      </c>
      <c r="B1819" s="2">
        <v>45579</v>
      </c>
      <c r="C1819" s="3">
        <v>36.729999999999997</v>
      </c>
      <c r="D1819" s="3">
        <v>37.08</v>
      </c>
      <c r="E1819" s="3">
        <v>36.44</v>
      </c>
      <c r="F1819" s="3">
        <v>36.44</v>
      </c>
      <c r="G1819" s="3">
        <v>4220111</v>
      </c>
      <c r="H1819" s="8">
        <f t="shared" si="169"/>
        <v>-1.7985611510791328</v>
      </c>
      <c r="I1819">
        <f t="shared" si="170"/>
        <v>36.078000000000003</v>
      </c>
      <c r="J1819" s="6" cm="1">
        <f t="array" ref="J1819">_xlfn.STDEV.S(IF($A:$A=A1819, $F:$F))</f>
        <v>0.46013041629520457</v>
      </c>
      <c r="P1819" s="8">
        <f t="shared" si="171"/>
        <v>-1.7985611510791328</v>
      </c>
      <c r="Q1819" s="8">
        <f t="shared" si="172"/>
        <v>-1.7985611510791328</v>
      </c>
      <c r="R1819" s="8">
        <f t="shared" si="173"/>
        <v>-1.7985611510791328</v>
      </c>
    </row>
    <row r="1820" spans="1:18" x14ac:dyDescent="0.25">
      <c r="A1820" s="7">
        <f t="shared" si="168"/>
        <v>364</v>
      </c>
      <c r="B1820" s="2">
        <v>45580</v>
      </c>
      <c r="C1820" s="3">
        <v>36.44</v>
      </c>
      <c r="D1820" s="3">
        <v>36.83</v>
      </c>
      <c r="E1820" s="3">
        <v>35.74</v>
      </c>
      <c r="F1820" s="3">
        <v>35.74</v>
      </c>
      <c r="G1820" s="3">
        <v>6790701</v>
      </c>
      <c r="H1820" s="8">
        <f t="shared" si="169"/>
        <v>-1.7985611510791328</v>
      </c>
      <c r="I1820">
        <f t="shared" si="170"/>
        <v>36.078000000000003</v>
      </c>
      <c r="J1820" s="6" cm="1">
        <f t="array" ref="J1820">_xlfn.STDEV.S(IF($A:$A=A1820, $F:$F))</f>
        <v>0.46013041629520457</v>
      </c>
      <c r="P1820" s="8">
        <f t="shared" si="171"/>
        <v>-1.7985611510791328</v>
      </c>
      <c r="Q1820" s="8">
        <f t="shared" si="172"/>
        <v>-1.7985611510791328</v>
      </c>
      <c r="R1820" s="8">
        <f t="shared" si="173"/>
        <v>-1.7985611510791328</v>
      </c>
    </row>
    <row r="1821" spans="1:18" x14ac:dyDescent="0.25">
      <c r="A1821" s="7">
        <f t="shared" si="168"/>
        <v>364</v>
      </c>
      <c r="B1821" s="2">
        <v>45581</v>
      </c>
      <c r="C1821" s="3">
        <v>35.54</v>
      </c>
      <c r="D1821" s="3">
        <v>35.840000000000003</v>
      </c>
      <c r="E1821" s="3">
        <v>35.39</v>
      </c>
      <c r="F1821" s="3">
        <v>35.49</v>
      </c>
      <c r="G1821" s="3">
        <v>4731528</v>
      </c>
      <c r="H1821" s="8">
        <f t="shared" si="169"/>
        <v>-1.7985611510791328</v>
      </c>
      <c r="I1821">
        <f t="shared" si="170"/>
        <v>36.078000000000003</v>
      </c>
      <c r="J1821" s="6" cm="1">
        <f t="array" ref="J1821">_xlfn.STDEV.S(IF($A:$A=A1821, $F:$F))</f>
        <v>0.46013041629520457</v>
      </c>
      <c r="P1821" s="8">
        <f t="shared" si="171"/>
        <v>-1.7985611510791328</v>
      </c>
      <c r="Q1821" s="8">
        <f t="shared" si="172"/>
        <v>-1.7985611510791328</v>
      </c>
      <c r="R1821" s="8">
        <f t="shared" si="173"/>
        <v>-1.7985611510791328</v>
      </c>
    </row>
    <row r="1822" spans="1:18" x14ac:dyDescent="0.25">
      <c r="A1822" s="7">
        <f t="shared" si="168"/>
        <v>365</v>
      </c>
      <c r="B1822" s="2">
        <v>45582</v>
      </c>
      <c r="C1822" s="3">
        <v>35.74</v>
      </c>
      <c r="D1822" s="3">
        <v>36.54</v>
      </c>
      <c r="E1822" s="3">
        <v>35.29</v>
      </c>
      <c r="F1822" s="3">
        <v>36.44</v>
      </c>
      <c r="G1822" s="3">
        <v>6921441</v>
      </c>
      <c r="H1822" s="8">
        <f t="shared" si="169"/>
        <v>-3.677277716794721</v>
      </c>
      <c r="I1822">
        <f t="shared" si="170"/>
        <v>35.582000000000001</v>
      </c>
      <c r="J1822" s="6" cm="1">
        <f t="array" ref="J1822">_xlfn.STDEV.S(IF($A:$A=A1822, $F:$F))</f>
        <v>0.55840845265808714</v>
      </c>
      <c r="P1822" s="8">
        <f t="shared" si="171"/>
        <v>-3.677277716794721</v>
      </c>
      <c r="Q1822" s="8">
        <f t="shared" si="172"/>
        <v>-3.677277716794721</v>
      </c>
      <c r="R1822" s="8">
        <f t="shared" si="173"/>
        <v>-3.677277716794721</v>
      </c>
    </row>
    <row r="1823" spans="1:18" x14ac:dyDescent="0.25">
      <c r="A1823" s="7">
        <f t="shared" si="168"/>
        <v>365</v>
      </c>
      <c r="B1823" s="2">
        <v>45583</v>
      </c>
      <c r="C1823" s="3">
        <v>36.340000000000003</v>
      </c>
      <c r="D1823" s="3">
        <v>36.54</v>
      </c>
      <c r="E1823" s="3">
        <v>35.840000000000003</v>
      </c>
      <c r="F1823" s="3">
        <v>35.840000000000003</v>
      </c>
      <c r="G1823" s="3">
        <v>8706334</v>
      </c>
      <c r="H1823" s="8">
        <f t="shared" si="169"/>
        <v>-3.677277716794721</v>
      </c>
      <c r="I1823">
        <f t="shared" si="170"/>
        <v>35.582000000000001</v>
      </c>
      <c r="J1823" s="6" cm="1">
        <f t="array" ref="J1823">_xlfn.STDEV.S(IF($A:$A=A1823, $F:$F))</f>
        <v>0.55840845265808714</v>
      </c>
      <c r="P1823" s="8">
        <f t="shared" si="171"/>
        <v>-3.677277716794721</v>
      </c>
      <c r="Q1823" s="8">
        <f t="shared" si="172"/>
        <v>-3.677277716794721</v>
      </c>
      <c r="R1823" s="8">
        <f t="shared" si="173"/>
        <v>-3.677277716794721</v>
      </c>
    </row>
    <row r="1824" spans="1:18" x14ac:dyDescent="0.25">
      <c r="A1824" s="7">
        <f t="shared" si="168"/>
        <v>365</v>
      </c>
      <c r="B1824" s="2">
        <v>45586</v>
      </c>
      <c r="C1824" s="3">
        <v>35.840000000000003</v>
      </c>
      <c r="D1824" s="3">
        <v>36.14</v>
      </c>
      <c r="E1824" s="3">
        <v>35.340000000000003</v>
      </c>
      <c r="F1824" s="3">
        <v>35.340000000000003</v>
      </c>
      <c r="G1824" s="3">
        <v>8352016</v>
      </c>
      <c r="H1824" s="8">
        <f t="shared" si="169"/>
        <v>-3.677277716794721</v>
      </c>
      <c r="I1824">
        <f t="shared" si="170"/>
        <v>35.582000000000001</v>
      </c>
      <c r="J1824" s="6" cm="1">
        <f t="array" ref="J1824">_xlfn.STDEV.S(IF($A:$A=A1824, $F:$F))</f>
        <v>0.55840845265808714</v>
      </c>
      <c r="P1824" s="8">
        <f t="shared" si="171"/>
        <v>-3.677277716794721</v>
      </c>
      <c r="Q1824" s="8">
        <f t="shared" si="172"/>
        <v>-3.677277716794721</v>
      </c>
      <c r="R1824" s="8">
        <f t="shared" si="173"/>
        <v>-3.677277716794721</v>
      </c>
    </row>
    <row r="1825" spans="1:18" x14ac:dyDescent="0.25">
      <c r="A1825" s="7">
        <f t="shared" si="168"/>
        <v>365</v>
      </c>
      <c r="B1825" s="2">
        <v>45587</v>
      </c>
      <c r="C1825" s="3">
        <v>35.340000000000003</v>
      </c>
      <c r="D1825" s="3">
        <v>35.69</v>
      </c>
      <c r="E1825" s="3">
        <v>34.75</v>
      </c>
      <c r="F1825" s="3">
        <v>35.19</v>
      </c>
      <c r="G1825" s="3">
        <v>8711215</v>
      </c>
      <c r="H1825" s="8">
        <f t="shared" si="169"/>
        <v>-3.677277716794721</v>
      </c>
      <c r="I1825">
        <f t="shared" si="170"/>
        <v>35.582000000000001</v>
      </c>
      <c r="J1825" s="6" cm="1">
        <f t="array" ref="J1825">_xlfn.STDEV.S(IF($A:$A=A1825, $F:$F))</f>
        <v>0.55840845265808714</v>
      </c>
      <c r="P1825" s="8">
        <f t="shared" si="171"/>
        <v>-3.677277716794721</v>
      </c>
      <c r="Q1825" s="8">
        <f t="shared" si="172"/>
        <v>-3.677277716794721</v>
      </c>
      <c r="R1825" s="8">
        <f t="shared" si="173"/>
        <v>-3.677277716794721</v>
      </c>
    </row>
    <row r="1826" spans="1:18" x14ac:dyDescent="0.25">
      <c r="A1826" s="7">
        <f t="shared" si="168"/>
        <v>365</v>
      </c>
      <c r="B1826" s="2">
        <v>45588</v>
      </c>
      <c r="C1826" s="3">
        <v>35.19</v>
      </c>
      <c r="D1826" s="3">
        <v>35.39</v>
      </c>
      <c r="E1826" s="3">
        <v>34.9</v>
      </c>
      <c r="F1826" s="3">
        <v>35.1</v>
      </c>
      <c r="G1826" s="3">
        <v>6169441</v>
      </c>
      <c r="H1826" s="8">
        <f t="shared" si="169"/>
        <v>-3.677277716794721</v>
      </c>
      <c r="I1826">
        <f t="shared" si="170"/>
        <v>35.582000000000001</v>
      </c>
      <c r="J1826" s="6" cm="1">
        <f t="array" ref="J1826">_xlfn.STDEV.S(IF($A:$A=A1826, $F:$F))</f>
        <v>0.55840845265808714</v>
      </c>
      <c r="P1826" s="8">
        <f t="shared" si="171"/>
        <v>-3.677277716794721</v>
      </c>
      <c r="Q1826" s="8">
        <f t="shared" si="172"/>
        <v>-3.677277716794721</v>
      </c>
      <c r="R1826" s="8">
        <f t="shared" si="173"/>
        <v>-3.677277716794721</v>
      </c>
    </row>
    <row r="1827" spans="1:18" x14ac:dyDescent="0.25">
      <c r="A1827" s="7">
        <f t="shared" si="168"/>
        <v>366</v>
      </c>
      <c r="B1827" s="2">
        <v>45589</v>
      </c>
      <c r="C1827" s="3">
        <v>35.29</v>
      </c>
      <c r="D1827" s="3">
        <v>35.49</v>
      </c>
      <c r="E1827" s="3">
        <v>34.25</v>
      </c>
      <c r="F1827" s="3">
        <v>34.25</v>
      </c>
      <c r="G1827" s="3">
        <v>9737046</v>
      </c>
      <c r="H1827" s="8">
        <f t="shared" si="169"/>
        <v>-0.4379562043795579</v>
      </c>
      <c r="I1827">
        <f t="shared" si="170"/>
        <v>34.28</v>
      </c>
      <c r="J1827" s="6" cm="1">
        <f t="array" ref="J1827">_xlfn.STDEV.S(IF($A:$A=A1827, $F:$F))</f>
        <v>0.12549900398011016</v>
      </c>
      <c r="P1827" s="8">
        <f t="shared" si="171"/>
        <v>-0.4379562043795579</v>
      </c>
      <c r="Q1827" s="8">
        <f t="shared" si="172"/>
        <v>-0.4379562043795579</v>
      </c>
      <c r="R1827" s="8">
        <f t="shared" si="173"/>
        <v>-0.4379562043795579</v>
      </c>
    </row>
    <row r="1828" spans="1:18" x14ac:dyDescent="0.25">
      <c r="A1828" s="7">
        <f t="shared" si="168"/>
        <v>366</v>
      </c>
      <c r="B1828" s="2">
        <v>45590</v>
      </c>
      <c r="C1828" s="3">
        <v>34.25</v>
      </c>
      <c r="D1828" s="3">
        <v>34.4</v>
      </c>
      <c r="E1828" s="3">
        <v>33.85</v>
      </c>
      <c r="F1828" s="3">
        <v>34.25</v>
      </c>
      <c r="G1828" s="3">
        <v>8169524</v>
      </c>
      <c r="H1828" s="8">
        <f t="shared" si="169"/>
        <v>-0.4379562043795579</v>
      </c>
      <c r="I1828">
        <f t="shared" si="170"/>
        <v>34.28</v>
      </c>
      <c r="J1828" s="6" cm="1">
        <f t="array" ref="J1828">_xlfn.STDEV.S(IF($A:$A=A1828, $F:$F))</f>
        <v>0.12549900398011016</v>
      </c>
      <c r="P1828" s="8">
        <f t="shared" si="171"/>
        <v>-0.4379562043795579</v>
      </c>
      <c r="Q1828" s="8">
        <f t="shared" si="172"/>
        <v>-0.4379562043795579</v>
      </c>
      <c r="R1828" s="8">
        <f t="shared" si="173"/>
        <v>-0.4379562043795579</v>
      </c>
    </row>
    <row r="1829" spans="1:18" x14ac:dyDescent="0.25">
      <c r="A1829" s="7">
        <f t="shared" si="168"/>
        <v>366</v>
      </c>
      <c r="B1829" s="2">
        <v>45593</v>
      </c>
      <c r="C1829" s="3">
        <v>34.5</v>
      </c>
      <c r="D1829" s="3">
        <v>34.85</v>
      </c>
      <c r="E1829" s="3">
        <v>34.35</v>
      </c>
      <c r="F1829" s="3">
        <v>34.4</v>
      </c>
      <c r="G1829" s="3">
        <v>4314720</v>
      </c>
      <c r="H1829" s="8">
        <f t="shared" si="169"/>
        <v>-0.4379562043795579</v>
      </c>
      <c r="I1829">
        <f t="shared" si="170"/>
        <v>34.28</v>
      </c>
      <c r="J1829" s="6" cm="1">
        <f t="array" ref="J1829">_xlfn.STDEV.S(IF($A:$A=A1829, $F:$F))</f>
        <v>0.12549900398011016</v>
      </c>
      <c r="P1829" s="8">
        <f t="shared" si="171"/>
        <v>-0.4379562043795579</v>
      </c>
      <c r="Q1829" s="8">
        <f t="shared" si="172"/>
        <v>-0.4379562043795579</v>
      </c>
      <c r="R1829" s="8">
        <f t="shared" si="173"/>
        <v>-0.4379562043795579</v>
      </c>
    </row>
    <row r="1830" spans="1:18" x14ac:dyDescent="0.25">
      <c r="A1830" s="7">
        <f t="shared" si="168"/>
        <v>366</v>
      </c>
      <c r="B1830" s="2">
        <v>45594</v>
      </c>
      <c r="C1830" s="3">
        <v>34.65</v>
      </c>
      <c r="D1830" s="3">
        <v>34.700000000000003</v>
      </c>
      <c r="E1830" s="3">
        <v>34.299999999999997</v>
      </c>
      <c r="F1830" s="3">
        <v>34.4</v>
      </c>
      <c r="G1830" s="3">
        <v>5385060</v>
      </c>
      <c r="H1830" s="8">
        <f t="shared" si="169"/>
        <v>-0.4379562043795579</v>
      </c>
      <c r="I1830">
        <f t="shared" si="170"/>
        <v>34.28</v>
      </c>
      <c r="J1830" s="6" cm="1">
        <f t="array" ref="J1830">_xlfn.STDEV.S(IF($A:$A=A1830, $F:$F))</f>
        <v>0.12549900398011016</v>
      </c>
      <c r="P1830" s="8">
        <f t="shared" si="171"/>
        <v>-0.4379562043795579</v>
      </c>
      <c r="Q1830" s="8">
        <f t="shared" si="172"/>
        <v>-0.4379562043795579</v>
      </c>
      <c r="R1830" s="8">
        <f t="shared" si="173"/>
        <v>-0.4379562043795579</v>
      </c>
    </row>
    <row r="1831" spans="1:18" x14ac:dyDescent="0.25">
      <c r="A1831" s="7">
        <f t="shared" si="168"/>
        <v>366</v>
      </c>
      <c r="B1831" s="2">
        <v>45595</v>
      </c>
      <c r="C1831" s="3">
        <v>34.4</v>
      </c>
      <c r="D1831" s="3">
        <v>34.549999999999997</v>
      </c>
      <c r="E1831" s="3">
        <v>34</v>
      </c>
      <c r="F1831" s="3">
        <v>34.1</v>
      </c>
      <c r="G1831" s="3">
        <v>4445853</v>
      </c>
      <c r="H1831" s="8">
        <f t="shared" si="169"/>
        <v>-0.4379562043795579</v>
      </c>
      <c r="I1831">
        <f t="shared" si="170"/>
        <v>34.28</v>
      </c>
      <c r="J1831" s="6" cm="1">
        <f t="array" ref="J1831">_xlfn.STDEV.S(IF($A:$A=A1831, $F:$F))</f>
        <v>0.12549900398011016</v>
      </c>
      <c r="P1831" s="8">
        <f t="shared" si="171"/>
        <v>-0.4379562043795579</v>
      </c>
      <c r="Q1831" s="8">
        <f t="shared" si="172"/>
        <v>-0.4379562043795579</v>
      </c>
      <c r="R1831" s="8">
        <f t="shared" si="173"/>
        <v>-0.4379562043795579</v>
      </c>
    </row>
    <row r="1832" spans="1:18" x14ac:dyDescent="0.25">
      <c r="A1832" s="7">
        <f t="shared" si="168"/>
        <v>367</v>
      </c>
      <c r="B1832" s="2">
        <v>45596</v>
      </c>
      <c r="C1832" s="3">
        <v>34.1</v>
      </c>
      <c r="D1832" s="3">
        <v>34.700000000000003</v>
      </c>
      <c r="E1832" s="3">
        <v>34.049999999999997</v>
      </c>
      <c r="F1832" s="3">
        <v>34.4</v>
      </c>
      <c r="G1832" s="3">
        <v>6898834</v>
      </c>
      <c r="H1832" s="8">
        <f t="shared" si="169"/>
        <v>0.87209302325582638</v>
      </c>
      <c r="I1832">
        <f t="shared" si="170"/>
        <v>34.152000000000001</v>
      </c>
      <c r="J1832" s="6" cm="1">
        <f t="array" ref="J1832">_xlfn.STDEV.S(IF($A:$A=A1832, $F:$F))</f>
        <v>0.41685728972875263</v>
      </c>
      <c r="P1832" s="8">
        <f t="shared" si="171"/>
        <v>0.87209302325582638</v>
      </c>
      <c r="Q1832" s="8">
        <f t="shared" si="172"/>
        <v>0.87209302325582638</v>
      </c>
      <c r="R1832" s="8">
        <f t="shared" si="173"/>
        <v>0.87209302325582638</v>
      </c>
    </row>
    <row r="1833" spans="1:18" x14ac:dyDescent="0.25">
      <c r="A1833" s="7">
        <f t="shared" si="168"/>
        <v>367</v>
      </c>
      <c r="B1833" s="2">
        <v>45597</v>
      </c>
      <c r="C1833" s="3">
        <v>34.299999999999997</v>
      </c>
      <c r="D1833" s="3">
        <v>34.450000000000003</v>
      </c>
      <c r="E1833" s="3">
        <v>33.56</v>
      </c>
      <c r="F1833" s="3">
        <v>33.659999999999997</v>
      </c>
      <c r="G1833" s="3">
        <v>8180793</v>
      </c>
      <c r="H1833" s="8">
        <f t="shared" si="169"/>
        <v>0.87209302325582638</v>
      </c>
      <c r="I1833">
        <f t="shared" si="170"/>
        <v>34.152000000000001</v>
      </c>
      <c r="J1833" s="6" cm="1">
        <f t="array" ref="J1833">_xlfn.STDEV.S(IF($A:$A=A1833, $F:$F))</f>
        <v>0.41685728972875263</v>
      </c>
      <c r="P1833" s="8">
        <f t="shared" si="171"/>
        <v>0.87209302325582638</v>
      </c>
      <c r="Q1833" s="8">
        <f t="shared" si="172"/>
        <v>0.87209302325582638</v>
      </c>
      <c r="R1833" s="8">
        <f t="shared" si="173"/>
        <v>0.87209302325582638</v>
      </c>
    </row>
    <row r="1834" spans="1:18" x14ac:dyDescent="0.25">
      <c r="A1834" s="7">
        <f t="shared" si="168"/>
        <v>367</v>
      </c>
      <c r="B1834" s="2">
        <v>45600</v>
      </c>
      <c r="C1834" s="3">
        <v>33.659999999999997</v>
      </c>
      <c r="D1834" s="3">
        <v>34.6</v>
      </c>
      <c r="E1834" s="3">
        <v>33.36</v>
      </c>
      <c r="F1834" s="3">
        <v>34.15</v>
      </c>
      <c r="G1834" s="3">
        <v>7333677</v>
      </c>
      <c r="H1834" s="8">
        <f t="shared" si="169"/>
        <v>0.87209302325582638</v>
      </c>
      <c r="I1834">
        <f t="shared" si="170"/>
        <v>34.152000000000001</v>
      </c>
      <c r="J1834" s="6" cm="1">
        <f t="array" ref="J1834">_xlfn.STDEV.S(IF($A:$A=A1834, $F:$F))</f>
        <v>0.41685728972875263</v>
      </c>
      <c r="P1834" s="8">
        <f t="shared" si="171"/>
        <v>0.87209302325582638</v>
      </c>
      <c r="Q1834" s="8">
        <f t="shared" si="172"/>
        <v>0.87209302325582638</v>
      </c>
      <c r="R1834" s="8">
        <f t="shared" si="173"/>
        <v>0.87209302325582638</v>
      </c>
    </row>
    <row r="1835" spans="1:18" x14ac:dyDescent="0.25">
      <c r="A1835" s="7">
        <f t="shared" si="168"/>
        <v>367</v>
      </c>
      <c r="B1835" s="2">
        <v>45601</v>
      </c>
      <c r="C1835" s="3">
        <v>34.35</v>
      </c>
      <c r="D1835" s="3">
        <v>34.4</v>
      </c>
      <c r="E1835" s="3">
        <v>33.85</v>
      </c>
      <c r="F1835" s="3">
        <v>33.85</v>
      </c>
      <c r="G1835" s="3">
        <v>3679974</v>
      </c>
      <c r="H1835" s="8">
        <f t="shared" si="169"/>
        <v>0.87209302325582638</v>
      </c>
      <c r="I1835">
        <f t="shared" si="170"/>
        <v>34.152000000000001</v>
      </c>
      <c r="J1835" s="6" cm="1">
        <f t="array" ref="J1835">_xlfn.STDEV.S(IF($A:$A=A1835, $F:$F))</f>
        <v>0.41685728972875263</v>
      </c>
      <c r="P1835" s="8">
        <f t="shared" si="171"/>
        <v>0.87209302325582638</v>
      </c>
      <c r="Q1835" s="8">
        <f t="shared" si="172"/>
        <v>0.87209302325582638</v>
      </c>
      <c r="R1835" s="8">
        <f t="shared" si="173"/>
        <v>0.87209302325582638</v>
      </c>
    </row>
    <row r="1836" spans="1:18" x14ac:dyDescent="0.25">
      <c r="A1836" s="7">
        <f t="shared" si="168"/>
        <v>367</v>
      </c>
      <c r="B1836" s="2">
        <v>45602</v>
      </c>
      <c r="C1836" s="3">
        <v>34.200000000000003</v>
      </c>
      <c r="D1836" s="3">
        <v>34.700000000000003</v>
      </c>
      <c r="E1836" s="3">
        <v>34.1</v>
      </c>
      <c r="F1836" s="3">
        <v>34.700000000000003</v>
      </c>
      <c r="G1836" s="3">
        <v>6929572</v>
      </c>
      <c r="H1836" s="8">
        <f t="shared" si="169"/>
        <v>0.87209302325582638</v>
      </c>
      <c r="I1836">
        <f t="shared" si="170"/>
        <v>34.152000000000001</v>
      </c>
      <c r="J1836" s="6" cm="1">
        <f t="array" ref="J1836">_xlfn.STDEV.S(IF($A:$A=A1836, $F:$F))</f>
        <v>0.41685728972875263</v>
      </c>
      <c r="P1836" s="8">
        <f t="shared" si="171"/>
        <v>0.87209302325582638</v>
      </c>
      <c r="Q1836" s="8">
        <f t="shared" si="172"/>
        <v>0.87209302325582638</v>
      </c>
      <c r="R1836" s="8">
        <f t="shared" si="173"/>
        <v>0.87209302325582638</v>
      </c>
    </row>
    <row r="1837" spans="1:18" x14ac:dyDescent="0.25">
      <c r="A1837" s="7">
        <f t="shared" si="168"/>
        <v>368</v>
      </c>
      <c r="B1837" s="2">
        <v>45603</v>
      </c>
      <c r="C1837" s="3">
        <v>34.9</v>
      </c>
      <c r="D1837" s="3">
        <v>34.9</v>
      </c>
      <c r="E1837" s="3">
        <v>34.4</v>
      </c>
      <c r="F1837" s="3">
        <v>34.4</v>
      </c>
      <c r="G1837" s="3">
        <v>5610296</v>
      </c>
      <c r="H1837" s="8">
        <f t="shared" si="169"/>
        <v>-0.14534883720929406</v>
      </c>
      <c r="I1837">
        <f t="shared" si="170"/>
        <v>34.380000000000003</v>
      </c>
      <c r="J1837" s="6" cm="1">
        <f t="array" ref="J1837">_xlfn.STDEV.S(IF($A:$A=A1837, $F:$F))</f>
        <v>9.0829510622924478E-2</v>
      </c>
      <c r="P1837" s="8">
        <f t="shared" si="171"/>
        <v>-0.14534883720929406</v>
      </c>
      <c r="Q1837" s="8">
        <f t="shared" si="172"/>
        <v>-0.14534883720929406</v>
      </c>
      <c r="R1837" s="8">
        <f t="shared" si="173"/>
        <v>-0.14534883720929406</v>
      </c>
    </row>
    <row r="1838" spans="1:18" x14ac:dyDescent="0.25">
      <c r="A1838" s="7">
        <f t="shared" si="168"/>
        <v>368</v>
      </c>
      <c r="B1838" s="2">
        <v>45604</v>
      </c>
      <c r="C1838" s="3">
        <v>34.549999999999997</v>
      </c>
      <c r="D1838" s="3">
        <v>34.700000000000003</v>
      </c>
      <c r="E1838" s="3">
        <v>34.200000000000003</v>
      </c>
      <c r="F1838" s="3">
        <v>34.25</v>
      </c>
      <c r="G1838" s="3">
        <v>5821666</v>
      </c>
      <c r="H1838" s="8">
        <f t="shared" si="169"/>
        <v>-0.14534883720929406</v>
      </c>
      <c r="I1838">
        <f t="shared" si="170"/>
        <v>34.380000000000003</v>
      </c>
      <c r="J1838" s="6" cm="1">
        <f t="array" ref="J1838">_xlfn.STDEV.S(IF($A:$A=A1838, $F:$F))</f>
        <v>9.0829510622924478E-2</v>
      </c>
      <c r="P1838" s="8">
        <f t="shared" si="171"/>
        <v>-0.14534883720929406</v>
      </c>
      <c r="Q1838" s="8">
        <f t="shared" si="172"/>
        <v>-0.14534883720929406</v>
      </c>
      <c r="R1838" s="8">
        <f t="shared" si="173"/>
        <v>-0.14534883720929406</v>
      </c>
    </row>
    <row r="1839" spans="1:18" x14ac:dyDescent="0.25">
      <c r="A1839" s="7">
        <f t="shared" si="168"/>
        <v>368</v>
      </c>
      <c r="B1839" s="2">
        <v>45607</v>
      </c>
      <c r="C1839" s="3">
        <v>34.200000000000003</v>
      </c>
      <c r="D1839" s="3">
        <v>34.450000000000003</v>
      </c>
      <c r="E1839" s="3">
        <v>33.85</v>
      </c>
      <c r="F1839" s="3">
        <v>34.4</v>
      </c>
      <c r="G1839" s="3">
        <v>6808874</v>
      </c>
      <c r="H1839" s="8">
        <f t="shared" si="169"/>
        <v>-0.14534883720929406</v>
      </c>
      <c r="I1839">
        <f t="shared" si="170"/>
        <v>34.380000000000003</v>
      </c>
      <c r="J1839" s="6" cm="1">
        <f t="array" ref="J1839">_xlfn.STDEV.S(IF($A:$A=A1839, $F:$F))</f>
        <v>9.0829510622924478E-2</v>
      </c>
      <c r="P1839" s="8">
        <f t="shared" si="171"/>
        <v>-0.14534883720929406</v>
      </c>
      <c r="Q1839" s="8">
        <f t="shared" si="172"/>
        <v>-0.14534883720929406</v>
      </c>
      <c r="R1839" s="8">
        <f t="shared" si="173"/>
        <v>-0.14534883720929406</v>
      </c>
    </row>
    <row r="1840" spans="1:18" x14ac:dyDescent="0.25">
      <c r="A1840" s="7">
        <f t="shared" si="168"/>
        <v>368</v>
      </c>
      <c r="B1840" s="2">
        <v>45608</v>
      </c>
      <c r="C1840" s="3">
        <v>34.65</v>
      </c>
      <c r="D1840" s="3">
        <v>35.340000000000003</v>
      </c>
      <c r="E1840" s="3">
        <v>34.450000000000003</v>
      </c>
      <c r="F1840" s="3">
        <v>34.5</v>
      </c>
      <c r="G1840" s="3">
        <v>11472315</v>
      </c>
      <c r="H1840" s="8">
        <f t="shared" si="169"/>
        <v>-0.14534883720929406</v>
      </c>
      <c r="I1840">
        <f t="shared" si="170"/>
        <v>34.380000000000003</v>
      </c>
      <c r="J1840" s="6" cm="1">
        <f t="array" ref="J1840">_xlfn.STDEV.S(IF($A:$A=A1840, $F:$F))</f>
        <v>9.0829510622924478E-2</v>
      </c>
      <c r="P1840" s="8">
        <f t="shared" si="171"/>
        <v>-0.14534883720929406</v>
      </c>
      <c r="Q1840" s="8">
        <f t="shared" si="172"/>
        <v>-0.14534883720929406</v>
      </c>
      <c r="R1840" s="8">
        <f t="shared" si="173"/>
        <v>-0.14534883720929406</v>
      </c>
    </row>
    <row r="1841" spans="1:18" x14ac:dyDescent="0.25">
      <c r="A1841" s="7">
        <f t="shared" si="168"/>
        <v>368</v>
      </c>
      <c r="B1841" s="2">
        <v>45609</v>
      </c>
      <c r="C1841" s="3">
        <v>34.4</v>
      </c>
      <c r="D1841" s="3">
        <v>34.799999999999997</v>
      </c>
      <c r="E1841" s="3">
        <v>33.9</v>
      </c>
      <c r="F1841" s="3">
        <v>34.35</v>
      </c>
      <c r="G1841" s="3">
        <v>6303024</v>
      </c>
      <c r="H1841" s="8">
        <f t="shared" si="169"/>
        <v>-0.14534883720929406</v>
      </c>
      <c r="I1841">
        <f t="shared" si="170"/>
        <v>34.380000000000003</v>
      </c>
      <c r="J1841" s="6" cm="1">
        <f t="array" ref="J1841">_xlfn.STDEV.S(IF($A:$A=A1841, $F:$F))</f>
        <v>9.0829510622924478E-2</v>
      </c>
      <c r="P1841" s="8">
        <f t="shared" si="171"/>
        <v>-0.14534883720929406</v>
      </c>
      <c r="Q1841" s="8">
        <f t="shared" si="172"/>
        <v>-0.14534883720929406</v>
      </c>
      <c r="R1841" s="8">
        <f t="shared" si="173"/>
        <v>-0.14534883720929406</v>
      </c>
    </row>
    <row r="1842" spans="1:18" x14ac:dyDescent="0.25">
      <c r="A1842" s="7">
        <f t="shared" si="168"/>
        <v>369</v>
      </c>
      <c r="B1842" s="2">
        <v>45610</v>
      </c>
      <c r="C1842" s="3">
        <v>34.299999999999997</v>
      </c>
      <c r="D1842" s="3">
        <v>34.5</v>
      </c>
      <c r="E1842" s="3">
        <v>32.56</v>
      </c>
      <c r="F1842" s="3">
        <v>32.71</v>
      </c>
      <c r="G1842" s="3">
        <v>12279535</v>
      </c>
      <c r="H1842" s="8">
        <f t="shared" si="169"/>
        <v>-0.76429226536227457</v>
      </c>
      <c r="I1842">
        <f t="shared" si="170"/>
        <v>32.404000000000003</v>
      </c>
      <c r="J1842" s="6" cm="1">
        <f t="array" ref="J1842">_xlfn.STDEV.S(IF($A:$A=A1842, $F:$F))</f>
        <v>0.34731829781916063</v>
      </c>
      <c r="P1842" s="8">
        <f t="shared" si="171"/>
        <v>-0.76429226536227457</v>
      </c>
      <c r="Q1842" s="8">
        <f t="shared" si="172"/>
        <v>-0.76429226536227457</v>
      </c>
      <c r="R1842" s="8">
        <f t="shared" si="173"/>
        <v>-0.76429226536227457</v>
      </c>
    </row>
    <row r="1843" spans="1:18" x14ac:dyDescent="0.25">
      <c r="A1843" s="7">
        <f t="shared" si="168"/>
        <v>369</v>
      </c>
      <c r="B1843" s="2">
        <v>45611</v>
      </c>
      <c r="C1843" s="3">
        <v>32.56</v>
      </c>
      <c r="D1843" s="3">
        <v>33.159999999999997</v>
      </c>
      <c r="E1843" s="3">
        <v>31.82</v>
      </c>
      <c r="F1843" s="3">
        <v>32.07</v>
      </c>
      <c r="G1843" s="3">
        <v>10878268</v>
      </c>
      <c r="H1843" s="8">
        <f t="shared" si="169"/>
        <v>-0.76429226536227457</v>
      </c>
      <c r="I1843">
        <f t="shared" si="170"/>
        <v>32.404000000000003</v>
      </c>
      <c r="J1843" s="6" cm="1">
        <f t="array" ref="J1843">_xlfn.STDEV.S(IF($A:$A=A1843, $F:$F))</f>
        <v>0.34731829781916063</v>
      </c>
      <c r="P1843" s="8">
        <f t="shared" si="171"/>
        <v>-0.76429226536227457</v>
      </c>
      <c r="Q1843" s="8">
        <f t="shared" si="172"/>
        <v>-0.76429226536227457</v>
      </c>
      <c r="R1843" s="8">
        <f t="shared" si="173"/>
        <v>-0.76429226536227457</v>
      </c>
    </row>
    <row r="1844" spans="1:18" x14ac:dyDescent="0.25">
      <c r="A1844" s="7">
        <f t="shared" si="168"/>
        <v>369</v>
      </c>
      <c r="B1844" s="2">
        <v>45614</v>
      </c>
      <c r="C1844" s="3">
        <v>32.07</v>
      </c>
      <c r="D1844" s="3">
        <v>33.21</v>
      </c>
      <c r="E1844" s="3">
        <v>32.07</v>
      </c>
      <c r="F1844" s="3">
        <v>32.76</v>
      </c>
      <c r="G1844" s="3">
        <v>6119445</v>
      </c>
      <c r="H1844" s="8">
        <f t="shared" si="169"/>
        <v>-0.76429226536227457</v>
      </c>
      <c r="I1844">
        <f t="shared" si="170"/>
        <v>32.404000000000003</v>
      </c>
      <c r="J1844" s="6" cm="1">
        <f t="array" ref="J1844">_xlfn.STDEV.S(IF($A:$A=A1844, $F:$F))</f>
        <v>0.34731829781916063</v>
      </c>
      <c r="P1844" s="8">
        <f t="shared" si="171"/>
        <v>-0.76429226536227457</v>
      </c>
      <c r="Q1844" s="8">
        <f t="shared" si="172"/>
        <v>-0.76429226536227457</v>
      </c>
      <c r="R1844" s="8">
        <f t="shared" si="173"/>
        <v>-0.76429226536227457</v>
      </c>
    </row>
    <row r="1845" spans="1:18" x14ac:dyDescent="0.25">
      <c r="A1845" s="7">
        <f t="shared" si="168"/>
        <v>369</v>
      </c>
      <c r="B1845" s="2">
        <v>45615</v>
      </c>
      <c r="C1845" s="3">
        <v>32.86</v>
      </c>
      <c r="D1845" s="3">
        <v>32.909999999999997</v>
      </c>
      <c r="E1845" s="3">
        <v>31.97</v>
      </c>
      <c r="F1845" s="3">
        <v>32.020000000000003</v>
      </c>
      <c r="G1845" s="3">
        <v>3847439</v>
      </c>
      <c r="H1845" s="8">
        <f t="shared" si="169"/>
        <v>-0.76429226536227457</v>
      </c>
      <c r="I1845">
        <f t="shared" si="170"/>
        <v>32.404000000000003</v>
      </c>
      <c r="J1845" s="6" cm="1">
        <f t="array" ref="J1845">_xlfn.STDEV.S(IF($A:$A=A1845, $F:$F))</f>
        <v>0.34731829781916063</v>
      </c>
      <c r="P1845" s="8">
        <f t="shared" si="171"/>
        <v>-0.76429226536227457</v>
      </c>
      <c r="Q1845" s="8">
        <f t="shared" si="172"/>
        <v>-0.76429226536227457</v>
      </c>
      <c r="R1845" s="8">
        <f t="shared" si="173"/>
        <v>-0.76429226536227457</v>
      </c>
    </row>
    <row r="1846" spans="1:18" x14ac:dyDescent="0.25">
      <c r="A1846" s="7">
        <f t="shared" si="168"/>
        <v>369</v>
      </c>
      <c r="B1846" s="2">
        <v>45616</v>
      </c>
      <c r="C1846" s="3">
        <v>32.07</v>
      </c>
      <c r="D1846" s="3">
        <v>33.11</v>
      </c>
      <c r="E1846" s="3">
        <v>31.97</v>
      </c>
      <c r="F1846" s="3">
        <v>32.46</v>
      </c>
      <c r="G1846" s="3">
        <v>6172887</v>
      </c>
      <c r="H1846" s="8">
        <f t="shared" si="169"/>
        <v>-0.76429226536227457</v>
      </c>
      <c r="I1846">
        <f t="shared" si="170"/>
        <v>32.404000000000003</v>
      </c>
      <c r="J1846" s="6" cm="1">
        <f t="array" ref="J1846">_xlfn.STDEV.S(IF($A:$A=A1846, $F:$F))</f>
        <v>0.34731829781916063</v>
      </c>
      <c r="P1846" s="8">
        <f t="shared" si="171"/>
        <v>-0.76429226536227457</v>
      </c>
      <c r="Q1846" s="8">
        <f t="shared" si="172"/>
        <v>-0.76429226536227457</v>
      </c>
      <c r="R1846" s="8">
        <f t="shared" si="173"/>
        <v>-0.76429226536227457</v>
      </c>
    </row>
    <row r="1847" spans="1:18" x14ac:dyDescent="0.25">
      <c r="A1847" s="7">
        <f t="shared" si="168"/>
        <v>370</v>
      </c>
      <c r="B1847" s="2">
        <v>45617</v>
      </c>
      <c r="C1847" s="3">
        <v>32.46</v>
      </c>
      <c r="D1847" s="3">
        <v>32.96</v>
      </c>
      <c r="E1847" s="3">
        <v>32.409999999999997</v>
      </c>
      <c r="F1847" s="3">
        <v>32.96</v>
      </c>
      <c r="G1847" s="3">
        <v>2791739</v>
      </c>
      <c r="H1847" s="8">
        <f t="shared" si="169"/>
        <v>0.45509708737863641</v>
      </c>
      <c r="I1847">
        <f t="shared" si="170"/>
        <v>33.08</v>
      </c>
      <c r="J1847" s="6" cm="1">
        <f t="array" ref="J1847">_xlfn.STDEV.S(IF($A:$A=A1847, $F:$F))</f>
        <v>0.22527760652137696</v>
      </c>
      <c r="P1847" s="8">
        <f t="shared" si="171"/>
        <v>0.45509708737863641</v>
      </c>
      <c r="Q1847" s="8">
        <f t="shared" si="172"/>
        <v>0.45509708737863641</v>
      </c>
      <c r="R1847" s="8">
        <f t="shared" si="173"/>
        <v>0.45509708737863641</v>
      </c>
    </row>
    <row r="1848" spans="1:18" x14ac:dyDescent="0.25">
      <c r="A1848" s="7">
        <f t="shared" si="168"/>
        <v>370</v>
      </c>
      <c r="B1848" s="2">
        <v>45618</v>
      </c>
      <c r="C1848" s="3">
        <v>32.96</v>
      </c>
      <c r="D1848" s="3">
        <v>33.26</v>
      </c>
      <c r="E1848" s="3">
        <v>32.659999999999997</v>
      </c>
      <c r="F1848" s="3">
        <v>32.76</v>
      </c>
      <c r="G1848" s="3">
        <v>5120258</v>
      </c>
      <c r="H1848" s="8">
        <f t="shared" si="169"/>
        <v>0.45509708737863641</v>
      </c>
      <c r="I1848">
        <f t="shared" si="170"/>
        <v>33.08</v>
      </c>
      <c r="J1848" s="6" cm="1">
        <f t="array" ref="J1848">_xlfn.STDEV.S(IF($A:$A=A1848, $F:$F))</f>
        <v>0.22527760652137696</v>
      </c>
      <c r="P1848" s="8">
        <f t="shared" si="171"/>
        <v>0.45509708737863641</v>
      </c>
      <c r="Q1848" s="8">
        <f t="shared" si="172"/>
        <v>0.45509708737863641</v>
      </c>
      <c r="R1848" s="8">
        <f t="shared" si="173"/>
        <v>0.45509708737863641</v>
      </c>
    </row>
    <row r="1849" spans="1:18" x14ac:dyDescent="0.25">
      <c r="A1849" s="7">
        <f t="shared" si="168"/>
        <v>370</v>
      </c>
      <c r="B1849" s="2">
        <v>45621</v>
      </c>
      <c r="C1849" s="3">
        <v>32.76</v>
      </c>
      <c r="D1849" s="3">
        <v>33.26</v>
      </c>
      <c r="E1849" s="3">
        <v>32.51</v>
      </c>
      <c r="F1849" s="3">
        <v>33.26</v>
      </c>
      <c r="G1849" s="3">
        <v>4905341</v>
      </c>
      <c r="H1849" s="8">
        <f t="shared" si="169"/>
        <v>0.45509708737863641</v>
      </c>
      <c r="I1849">
        <f t="shared" si="170"/>
        <v>33.08</v>
      </c>
      <c r="J1849" s="6" cm="1">
        <f t="array" ref="J1849">_xlfn.STDEV.S(IF($A:$A=A1849, $F:$F))</f>
        <v>0.22527760652137696</v>
      </c>
      <c r="P1849" s="8">
        <f t="shared" si="171"/>
        <v>0.45509708737863641</v>
      </c>
      <c r="Q1849" s="8">
        <f t="shared" si="172"/>
        <v>0.45509708737863641</v>
      </c>
      <c r="R1849" s="8">
        <f t="shared" si="173"/>
        <v>0.45509708737863641</v>
      </c>
    </row>
    <row r="1850" spans="1:18" x14ac:dyDescent="0.25">
      <c r="A1850" s="7">
        <f t="shared" si="168"/>
        <v>370</v>
      </c>
      <c r="B1850" s="2">
        <v>45622</v>
      </c>
      <c r="C1850" s="3">
        <v>33.31</v>
      </c>
      <c r="D1850" s="3">
        <v>33.71</v>
      </c>
      <c r="E1850" s="3">
        <v>33.159999999999997</v>
      </c>
      <c r="F1850" s="3">
        <v>33.31</v>
      </c>
      <c r="G1850" s="3">
        <v>4560280</v>
      </c>
      <c r="H1850" s="8">
        <f t="shared" si="169"/>
        <v>0.45509708737863641</v>
      </c>
      <c r="I1850">
        <f t="shared" si="170"/>
        <v>33.08</v>
      </c>
      <c r="J1850" s="6" cm="1">
        <f t="array" ref="J1850">_xlfn.STDEV.S(IF($A:$A=A1850, $F:$F))</f>
        <v>0.22527760652137696</v>
      </c>
      <c r="P1850" s="8">
        <f t="shared" si="171"/>
        <v>0.45509708737863641</v>
      </c>
      <c r="Q1850" s="8">
        <f t="shared" si="172"/>
        <v>0.45509708737863641</v>
      </c>
      <c r="R1850" s="8">
        <f t="shared" si="173"/>
        <v>0.45509708737863641</v>
      </c>
    </row>
    <row r="1851" spans="1:18" x14ac:dyDescent="0.25">
      <c r="A1851" s="7">
        <f t="shared" si="168"/>
        <v>370</v>
      </c>
      <c r="B1851" s="2">
        <v>45623</v>
      </c>
      <c r="C1851" s="3">
        <v>33.26</v>
      </c>
      <c r="D1851" s="3">
        <v>33.409999999999997</v>
      </c>
      <c r="E1851" s="3">
        <v>32.96</v>
      </c>
      <c r="F1851" s="3">
        <v>33.11</v>
      </c>
      <c r="G1851" s="3">
        <v>2246377</v>
      </c>
      <c r="H1851" s="8">
        <f t="shared" si="169"/>
        <v>0.45509708737863641</v>
      </c>
      <c r="I1851">
        <f t="shared" si="170"/>
        <v>33.08</v>
      </c>
      <c r="J1851" s="6" cm="1">
        <f t="array" ref="J1851">_xlfn.STDEV.S(IF($A:$A=A1851, $F:$F))</f>
        <v>0.22527760652137696</v>
      </c>
      <c r="P1851" s="8">
        <f t="shared" si="171"/>
        <v>0.45509708737863641</v>
      </c>
      <c r="Q1851" s="8">
        <f t="shared" si="172"/>
        <v>0.45509708737863641</v>
      </c>
      <c r="R1851" s="8">
        <f t="shared" si="173"/>
        <v>0.45509708737863641</v>
      </c>
    </row>
    <row r="1852" spans="1:18" x14ac:dyDescent="0.25">
      <c r="A1852" s="7">
        <f t="shared" si="168"/>
        <v>371</v>
      </c>
      <c r="B1852" s="2">
        <v>45624</v>
      </c>
      <c r="C1852" s="3">
        <v>33.56</v>
      </c>
      <c r="D1852" s="3">
        <v>33.56</v>
      </c>
      <c r="E1852" s="3">
        <v>32.81</v>
      </c>
      <c r="F1852" s="3">
        <v>32.81</v>
      </c>
      <c r="G1852" s="3">
        <v>2519076</v>
      </c>
      <c r="H1852" s="8">
        <f t="shared" si="169"/>
        <v>-1.6458396830234658</v>
      </c>
      <c r="I1852">
        <f t="shared" si="170"/>
        <v>32.722000000000001</v>
      </c>
      <c r="J1852" s="6" cm="1">
        <f t="array" ref="J1852">_xlfn.STDEV.S(IF($A:$A=A1852, $F:$F))</f>
        <v>0.25878562556679802</v>
      </c>
      <c r="P1852" s="8">
        <f t="shared" si="171"/>
        <v>-1.6458396830234658</v>
      </c>
      <c r="Q1852" s="8">
        <f t="shared" si="172"/>
        <v>-1.6458396830234658</v>
      </c>
      <c r="R1852" s="8">
        <f t="shared" si="173"/>
        <v>-1.6458396830234658</v>
      </c>
    </row>
    <row r="1853" spans="1:18" x14ac:dyDescent="0.25">
      <c r="A1853" s="7">
        <f t="shared" si="168"/>
        <v>371</v>
      </c>
      <c r="B1853" s="2">
        <v>45625</v>
      </c>
      <c r="C1853" s="3">
        <v>32.81</v>
      </c>
      <c r="D1853" s="3">
        <v>33.11</v>
      </c>
      <c r="E1853" s="3">
        <v>32.61</v>
      </c>
      <c r="F1853" s="3">
        <v>32.86</v>
      </c>
      <c r="G1853" s="3">
        <v>3335241</v>
      </c>
      <c r="H1853" s="8">
        <f t="shared" si="169"/>
        <v>-1.6458396830234658</v>
      </c>
      <c r="I1853">
        <f t="shared" si="170"/>
        <v>32.722000000000001</v>
      </c>
      <c r="J1853" s="6" cm="1">
        <f t="array" ref="J1853">_xlfn.STDEV.S(IF($A:$A=A1853, $F:$F))</f>
        <v>0.25878562556679802</v>
      </c>
      <c r="P1853" s="8">
        <f t="shared" si="171"/>
        <v>-1.6458396830234658</v>
      </c>
      <c r="Q1853" s="8">
        <f t="shared" si="172"/>
        <v>-1.6458396830234658</v>
      </c>
      <c r="R1853" s="8">
        <f t="shared" si="173"/>
        <v>-1.6458396830234658</v>
      </c>
    </row>
    <row r="1854" spans="1:18" x14ac:dyDescent="0.25">
      <c r="A1854" s="7">
        <f t="shared" si="168"/>
        <v>371</v>
      </c>
      <c r="B1854" s="2">
        <v>45628</v>
      </c>
      <c r="C1854" s="3">
        <v>33.36</v>
      </c>
      <c r="D1854" s="3">
        <v>33.36</v>
      </c>
      <c r="E1854" s="3">
        <v>32.86</v>
      </c>
      <c r="F1854" s="3">
        <v>32.909999999999997</v>
      </c>
      <c r="G1854" s="3">
        <v>2531758</v>
      </c>
      <c r="H1854" s="8">
        <f t="shared" si="169"/>
        <v>-1.6458396830234658</v>
      </c>
      <c r="I1854">
        <f t="shared" si="170"/>
        <v>32.722000000000001</v>
      </c>
      <c r="J1854" s="6" cm="1">
        <f t="array" ref="J1854">_xlfn.STDEV.S(IF($A:$A=A1854, $F:$F))</f>
        <v>0.25878562556679802</v>
      </c>
      <c r="P1854" s="8">
        <f t="shared" si="171"/>
        <v>-1.6458396830234658</v>
      </c>
      <c r="Q1854" s="8">
        <f t="shared" si="172"/>
        <v>-1.6458396830234658</v>
      </c>
      <c r="R1854" s="8">
        <f t="shared" si="173"/>
        <v>-1.6458396830234658</v>
      </c>
    </row>
    <row r="1855" spans="1:18" x14ac:dyDescent="0.25">
      <c r="A1855" s="7">
        <f t="shared" si="168"/>
        <v>371</v>
      </c>
      <c r="B1855" s="2">
        <v>45629</v>
      </c>
      <c r="C1855" s="3">
        <v>32.81</v>
      </c>
      <c r="D1855" s="3">
        <v>33.01</v>
      </c>
      <c r="E1855" s="3">
        <v>32.71</v>
      </c>
      <c r="F1855" s="3">
        <v>32.76</v>
      </c>
      <c r="G1855" s="3">
        <v>3288263</v>
      </c>
      <c r="H1855" s="8">
        <f t="shared" si="169"/>
        <v>-1.6458396830234658</v>
      </c>
      <c r="I1855">
        <f t="shared" si="170"/>
        <v>32.722000000000001</v>
      </c>
      <c r="J1855" s="6" cm="1">
        <f t="array" ref="J1855">_xlfn.STDEV.S(IF($A:$A=A1855, $F:$F))</f>
        <v>0.25878562556679802</v>
      </c>
      <c r="P1855" s="8">
        <f t="shared" si="171"/>
        <v>-1.6458396830234658</v>
      </c>
      <c r="Q1855" s="8">
        <f t="shared" si="172"/>
        <v>-1.6458396830234658</v>
      </c>
      <c r="R1855" s="8">
        <f t="shared" si="173"/>
        <v>-1.6458396830234658</v>
      </c>
    </row>
    <row r="1856" spans="1:18" x14ac:dyDescent="0.25">
      <c r="A1856" s="7">
        <f t="shared" si="168"/>
        <v>371</v>
      </c>
      <c r="B1856" s="2">
        <v>45630</v>
      </c>
      <c r="C1856" s="3">
        <v>32.71</v>
      </c>
      <c r="D1856" s="3">
        <v>32.71</v>
      </c>
      <c r="E1856" s="3">
        <v>32.17</v>
      </c>
      <c r="F1856" s="3">
        <v>32.270000000000003</v>
      </c>
      <c r="G1856" s="3">
        <v>5063796</v>
      </c>
      <c r="H1856" s="8">
        <f t="shared" si="169"/>
        <v>-1.6458396830234658</v>
      </c>
      <c r="I1856">
        <f t="shared" si="170"/>
        <v>32.722000000000001</v>
      </c>
      <c r="J1856" s="6" cm="1">
        <f t="array" ref="J1856">_xlfn.STDEV.S(IF($A:$A=A1856, $F:$F))</f>
        <v>0.25878562556679802</v>
      </c>
      <c r="P1856" s="8">
        <f t="shared" si="171"/>
        <v>-1.6458396830234658</v>
      </c>
      <c r="Q1856" s="8">
        <f t="shared" si="172"/>
        <v>-1.6458396830234658</v>
      </c>
      <c r="R1856" s="8">
        <f t="shared" si="173"/>
        <v>-1.6458396830234658</v>
      </c>
    </row>
    <row r="1857" spans="1:18" x14ac:dyDescent="0.25">
      <c r="A1857" s="7">
        <f t="shared" si="168"/>
        <v>372</v>
      </c>
      <c r="B1857" s="2">
        <v>45631</v>
      </c>
      <c r="C1857" s="3">
        <v>32.270000000000003</v>
      </c>
      <c r="D1857" s="3">
        <v>34.5</v>
      </c>
      <c r="E1857" s="3">
        <v>31.87</v>
      </c>
      <c r="F1857" s="3">
        <v>34.5</v>
      </c>
      <c r="G1857" s="3">
        <v>15139799</v>
      </c>
      <c r="H1857" s="8">
        <f t="shared" si="169"/>
        <v>-0.72463768115942029</v>
      </c>
      <c r="I1857">
        <f t="shared" si="170"/>
        <v>34.450000000000003</v>
      </c>
      <c r="J1857" s="6" cm="1">
        <f t="array" ref="J1857">_xlfn.STDEV.S(IF($A:$A=A1857, $F:$F))</f>
        <v>0.14577379737113214</v>
      </c>
      <c r="P1857" s="8">
        <f t="shared" si="171"/>
        <v>-0.72463768115942029</v>
      </c>
      <c r="Q1857" s="8">
        <f t="shared" si="172"/>
        <v>-0.72463768115942029</v>
      </c>
      <c r="R1857" s="8">
        <f t="shared" si="173"/>
        <v>-0.72463768115942029</v>
      </c>
    </row>
    <row r="1858" spans="1:18" x14ac:dyDescent="0.25">
      <c r="A1858" s="7">
        <f t="shared" si="168"/>
        <v>372</v>
      </c>
      <c r="B1858" s="2">
        <v>45632</v>
      </c>
      <c r="C1858" s="3">
        <v>34.6</v>
      </c>
      <c r="D1858" s="3">
        <v>35</v>
      </c>
      <c r="E1858" s="3">
        <v>34.200000000000003</v>
      </c>
      <c r="F1858" s="3">
        <v>34.549999999999997</v>
      </c>
      <c r="G1858" s="3">
        <v>7672124</v>
      </c>
      <c r="H1858" s="8">
        <f t="shared" si="169"/>
        <v>-0.72463768115942029</v>
      </c>
      <c r="I1858">
        <f t="shared" si="170"/>
        <v>34.450000000000003</v>
      </c>
      <c r="J1858" s="6" cm="1">
        <f t="array" ref="J1858">_xlfn.STDEV.S(IF($A:$A=A1858, $F:$F))</f>
        <v>0.14577379737113214</v>
      </c>
      <c r="P1858" s="8">
        <f t="shared" si="171"/>
        <v>-0.72463768115942029</v>
      </c>
      <c r="Q1858" s="8">
        <f t="shared" si="172"/>
        <v>-0.72463768115942029</v>
      </c>
      <c r="R1858" s="8">
        <f t="shared" si="173"/>
        <v>-0.72463768115942029</v>
      </c>
    </row>
    <row r="1859" spans="1:18" x14ac:dyDescent="0.25">
      <c r="A1859" s="7">
        <f t="shared" ref="A1859:A1916" si="174">INT((ROW(A1859)-ROW($A$2))/5) + 1</f>
        <v>372</v>
      </c>
      <c r="B1859" s="2">
        <v>45635</v>
      </c>
      <c r="C1859" s="3">
        <v>34.549999999999997</v>
      </c>
      <c r="D1859" s="3">
        <v>34.700000000000003</v>
      </c>
      <c r="E1859" s="3">
        <v>34.299999999999997</v>
      </c>
      <c r="F1859" s="3">
        <v>34.6</v>
      </c>
      <c r="G1859" s="3">
        <v>5085996</v>
      </c>
      <c r="H1859" s="8">
        <f t="shared" ref="H1859:H1916" si="175">IF(A1859=A1858, H1858, (F1863-F1859)/F1859*100)</f>
        <v>-0.72463768115942029</v>
      </c>
      <c r="I1859">
        <f t="shared" ref="I1859:I1916" si="176">AVERAGEIF($A:$A, A1859, $F:$F)</f>
        <v>34.450000000000003</v>
      </c>
      <c r="J1859" s="6" cm="1">
        <f t="array" ref="J1859">_xlfn.STDEV.S(IF($A:$A=A1859, $F:$F))</f>
        <v>0.14577379737113214</v>
      </c>
      <c r="P1859" s="8">
        <f t="shared" ref="P1859:P1916" si="177">IF(A1859=A1858,P1858,(F1863-F1859)/F1859*100)</f>
        <v>-0.72463768115942029</v>
      </c>
      <c r="Q1859" s="8">
        <f t="shared" ref="Q1859:Q1916" si="178">IF(A1859=A1858,Q1858,(F1863-F1859)/F1859*100)</f>
        <v>-0.72463768115942029</v>
      </c>
      <c r="R1859" s="8">
        <f t="shared" ref="R1859:R1916" si="179">IF(A1859=A1858,R1858,(F1863-F1859)/F1859*100)</f>
        <v>-0.72463768115942029</v>
      </c>
    </row>
    <row r="1860" spans="1:18" x14ac:dyDescent="0.25">
      <c r="A1860" s="7">
        <f t="shared" si="174"/>
        <v>372</v>
      </c>
      <c r="B1860" s="2">
        <v>45636</v>
      </c>
      <c r="C1860" s="3">
        <v>34.549999999999997</v>
      </c>
      <c r="D1860" s="3">
        <v>34.65</v>
      </c>
      <c r="E1860" s="3">
        <v>34.25</v>
      </c>
      <c r="F1860" s="3">
        <v>34.35</v>
      </c>
      <c r="G1860" s="3">
        <v>3818600</v>
      </c>
      <c r="H1860" s="8">
        <f t="shared" si="175"/>
        <v>-0.72463768115942029</v>
      </c>
      <c r="I1860">
        <f t="shared" si="176"/>
        <v>34.450000000000003</v>
      </c>
      <c r="J1860" s="6" cm="1">
        <f t="array" ref="J1860">_xlfn.STDEV.S(IF($A:$A=A1860, $F:$F))</f>
        <v>0.14577379737113214</v>
      </c>
      <c r="P1860" s="8">
        <f t="shared" si="177"/>
        <v>-0.72463768115942029</v>
      </c>
      <c r="Q1860" s="8">
        <f t="shared" si="178"/>
        <v>-0.72463768115942029</v>
      </c>
      <c r="R1860" s="8">
        <f t="shared" si="179"/>
        <v>-0.72463768115942029</v>
      </c>
    </row>
    <row r="1861" spans="1:18" x14ac:dyDescent="0.25">
      <c r="A1861" s="7">
        <f t="shared" si="174"/>
        <v>372</v>
      </c>
      <c r="B1861" s="2">
        <v>45637</v>
      </c>
      <c r="C1861" s="3">
        <v>34.299999999999997</v>
      </c>
      <c r="D1861" s="3">
        <v>34.65</v>
      </c>
      <c r="E1861" s="3">
        <v>33.950000000000003</v>
      </c>
      <c r="F1861" s="3">
        <v>34.25</v>
      </c>
      <c r="G1861" s="3">
        <v>3783559</v>
      </c>
      <c r="H1861" s="8">
        <f t="shared" si="175"/>
        <v>-0.72463768115942029</v>
      </c>
      <c r="I1861">
        <f t="shared" si="176"/>
        <v>34.450000000000003</v>
      </c>
      <c r="J1861" s="6" cm="1">
        <f t="array" ref="J1861">_xlfn.STDEV.S(IF($A:$A=A1861, $F:$F))</f>
        <v>0.14577379737113214</v>
      </c>
      <c r="P1861" s="8">
        <f t="shared" si="177"/>
        <v>-0.72463768115942029</v>
      </c>
      <c r="Q1861" s="8">
        <f t="shared" si="178"/>
        <v>-0.72463768115942029</v>
      </c>
      <c r="R1861" s="8">
        <f t="shared" si="179"/>
        <v>-0.72463768115942029</v>
      </c>
    </row>
    <row r="1862" spans="1:18" x14ac:dyDescent="0.25">
      <c r="A1862" s="7">
        <f t="shared" si="174"/>
        <v>373</v>
      </c>
      <c r="B1862" s="2">
        <v>45638</v>
      </c>
      <c r="C1862" s="3">
        <v>34.299999999999997</v>
      </c>
      <c r="D1862" s="3">
        <v>34.65</v>
      </c>
      <c r="E1862" s="3">
        <v>34.15</v>
      </c>
      <c r="F1862" s="3">
        <v>34.200000000000003</v>
      </c>
      <c r="G1862" s="3">
        <v>4057817</v>
      </c>
      <c r="H1862" s="8">
        <f t="shared" si="175"/>
        <v>0</v>
      </c>
      <c r="I1862">
        <f t="shared" si="176"/>
        <v>34.17</v>
      </c>
      <c r="J1862" s="6" cm="1">
        <f t="array" ref="J1862">_xlfn.STDEV.S(IF($A:$A=A1862, $F:$F))</f>
        <v>0.14404860290887903</v>
      </c>
      <c r="P1862" s="8">
        <f t="shared" si="177"/>
        <v>0</v>
      </c>
      <c r="Q1862" s="8">
        <f t="shared" si="178"/>
        <v>0</v>
      </c>
      <c r="R1862" s="8">
        <f t="shared" si="179"/>
        <v>0</v>
      </c>
    </row>
    <row r="1863" spans="1:18" x14ac:dyDescent="0.25">
      <c r="A1863" s="7">
        <f t="shared" si="174"/>
        <v>373</v>
      </c>
      <c r="B1863" s="2">
        <v>45639</v>
      </c>
      <c r="C1863" s="3">
        <v>33.85</v>
      </c>
      <c r="D1863" s="3">
        <v>34.200000000000003</v>
      </c>
      <c r="E1863" s="3">
        <v>33.71</v>
      </c>
      <c r="F1863" s="3">
        <v>33.950000000000003</v>
      </c>
      <c r="G1863" s="3">
        <v>3448363</v>
      </c>
      <c r="H1863" s="8">
        <f t="shared" si="175"/>
        <v>0</v>
      </c>
      <c r="I1863">
        <f t="shared" si="176"/>
        <v>34.17</v>
      </c>
      <c r="J1863" s="6" cm="1">
        <f t="array" ref="J1863">_xlfn.STDEV.S(IF($A:$A=A1863, $F:$F))</f>
        <v>0.14404860290887903</v>
      </c>
      <c r="P1863" s="8">
        <f t="shared" si="177"/>
        <v>0</v>
      </c>
      <c r="Q1863" s="8">
        <f t="shared" si="178"/>
        <v>0</v>
      </c>
      <c r="R1863" s="8">
        <f t="shared" si="179"/>
        <v>0</v>
      </c>
    </row>
    <row r="1864" spans="1:18" x14ac:dyDescent="0.25">
      <c r="A1864" s="7">
        <f t="shared" si="174"/>
        <v>373</v>
      </c>
      <c r="B1864" s="2">
        <v>45642</v>
      </c>
      <c r="C1864" s="3">
        <v>33.950000000000003</v>
      </c>
      <c r="D1864" s="3">
        <v>34.35</v>
      </c>
      <c r="E1864" s="3">
        <v>33.76</v>
      </c>
      <c r="F1864" s="3">
        <v>34.35</v>
      </c>
      <c r="G1864" s="3">
        <v>2597093</v>
      </c>
      <c r="H1864" s="8">
        <f t="shared" si="175"/>
        <v>0</v>
      </c>
      <c r="I1864">
        <f t="shared" si="176"/>
        <v>34.17</v>
      </c>
      <c r="J1864" s="6" cm="1">
        <f t="array" ref="J1864">_xlfn.STDEV.S(IF($A:$A=A1864, $F:$F))</f>
        <v>0.14404860290887903</v>
      </c>
      <c r="P1864" s="8">
        <f t="shared" si="177"/>
        <v>0</v>
      </c>
      <c r="Q1864" s="8">
        <f t="shared" si="178"/>
        <v>0</v>
      </c>
      <c r="R1864" s="8">
        <f t="shared" si="179"/>
        <v>0</v>
      </c>
    </row>
    <row r="1865" spans="1:18" x14ac:dyDescent="0.25">
      <c r="A1865" s="7">
        <f t="shared" si="174"/>
        <v>373</v>
      </c>
      <c r="B1865" s="2">
        <v>45643</v>
      </c>
      <c r="C1865" s="3">
        <v>34.4</v>
      </c>
      <c r="D1865" s="3">
        <v>34.5</v>
      </c>
      <c r="E1865" s="3">
        <v>34.15</v>
      </c>
      <c r="F1865" s="3">
        <v>34.15</v>
      </c>
      <c r="G1865" s="3">
        <v>2478949</v>
      </c>
      <c r="H1865" s="8">
        <f t="shared" si="175"/>
        <v>0</v>
      </c>
      <c r="I1865">
        <f t="shared" si="176"/>
        <v>34.17</v>
      </c>
      <c r="J1865" s="6" cm="1">
        <f t="array" ref="J1865">_xlfn.STDEV.S(IF($A:$A=A1865, $F:$F))</f>
        <v>0.14404860290887903</v>
      </c>
      <c r="P1865" s="8">
        <f t="shared" si="177"/>
        <v>0</v>
      </c>
      <c r="Q1865" s="8">
        <f t="shared" si="178"/>
        <v>0</v>
      </c>
      <c r="R1865" s="8">
        <f t="shared" si="179"/>
        <v>0</v>
      </c>
    </row>
    <row r="1866" spans="1:18" x14ac:dyDescent="0.25">
      <c r="A1866" s="7">
        <f t="shared" si="174"/>
        <v>373</v>
      </c>
      <c r="B1866" s="2">
        <v>45644</v>
      </c>
      <c r="C1866" s="3">
        <v>34.15</v>
      </c>
      <c r="D1866" s="3">
        <v>34.25</v>
      </c>
      <c r="E1866" s="3">
        <v>33.9</v>
      </c>
      <c r="F1866" s="3">
        <v>34.200000000000003</v>
      </c>
      <c r="G1866" s="3">
        <v>2203003</v>
      </c>
      <c r="H1866" s="8">
        <f t="shared" si="175"/>
        <v>0</v>
      </c>
      <c r="I1866">
        <f t="shared" si="176"/>
        <v>34.17</v>
      </c>
      <c r="J1866" s="6" cm="1">
        <f t="array" ref="J1866">_xlfn.STDEV.S(IF($A:$A=A1866, $F:$F))</f>
        <v>0.14404860290887903</v>
      </c>
      <c r="P1866" s="8">
        <f t="shared" si="177"/>
        <v>0</v>
      </c>
      <c r="Q1866" s="8">
        <f t="shared" si="178"/>
        <v>0</v>
      </c>
      <c r="R1866" s="8">
        <f t="shared" si="179"/>
        <v>0</v>
      </c>
    </row>
    <row r="1867" spans="1:18" x14ac:dyDescent="0.25">
      <c r="A1867" s="7">
        <f t="shared" si="174"/>
        <v>374</v>
      </c>
      <c r="B1867" s="2">
        <v>45645</v>
      </c>
      <c r="C1867" s="3">
        <v>33.76</v>
      </c>
      <c r="D1867" s="3">
        <v>34.15</v>
      </c>
      <c r="E1867" s="3">
        <v>33.36</v>
      </c>
      <c r="F1867" s="3">
        <v>34.15</v>
      </c>
      <c r="G1867" s="3">
        <v>7245369</v>
      </c>
      <c r="H1867" s="8">
        <f t="shared" si="175"/>
        <v>-0.87847730600291996</v>
      </c>
      <c r="I1867">
        <f t="shared" si="176"/>
        <v>33.881999999999998</v>
      </c>
      <c r="J1867" s="6" cm="1">
        <f t="array" ref="J1867">_xlfn.STDEV.S(IF($A:$A=A1867, $F:$F))</f>
        <v>0.26432934002868341</v>
      </c>
      <c r="P1867" s="8">
        <f t="shared" si="177"/>
        <v>-0.87847730600291996</v>
      </c>
      <c r="Q1867" s="8">
        <f t="shared" si="178"/>
        <v>-0.87847730600291996</v>
      </c>
      <c r="R1867" s="8">
        <f t="shared" si="179"/>
        <v>-0.87847730600291996</v>
      </c>
    </row>
    <row r="1868" spans="1:18" x14ac:dyDescent="0.25">
      <c r="A1868" s="7">
        <f t="shared" si="174"/>
        <v>374</v>
      </c>
      <c r="B1868" s="2">
        <v>45646</v>
      </c>
      <c r="C1868" s="3">
        <v>33.85</v>
      </c>
      <c r="D1868" s="3">
        <v>33.950000000000003</v>
      </c>
      <c r="E1868" s="3">
        <v>33.659999999999997</v>
      </c>
      <c r="F1868" s="3">
        <v>33.9</v>
      </c>
      <c r="G1868" s="3">
        <v>3728365</v>
      </c>
      <c r="H1868" s="8">
        <f t="shared" si="175"/>
        <v>-0.87847730600291996</v>
      </c>
      <c r="I1868">
        <f t="shared" si="176"/>
        <v>33.881999999999998</v>
      </c>
      <c r="J1868" s="6" cm="1">
        <f t="array" ref="J1868">_xlfn.STDEV.S(IF($A:$A=A1868, $F:$F))</f>
        <v>0.26432934002868341</v>
      </c>
      <c r="P1868" s="8">
        <f t="shared" si="177"/>
        <v>-0.87847730600291996</v>
      </c>
      <c r="Q1868" s="8">
        <f t="shared" si="178"/>
        <v>-0.87847730600291996</v>
      </c>
      <c r="R1868" s="8">
        <f t="shared" si="179"/>
        <v>-0.87847730600291996</v>
      </c>
    </row>
    <row r="1869" spans="1:18" x14ac:dyDescent="0.25">
      <c r="A1869" s="7">
        <f t="shared" si="174"/>
        <v>374</v>
      </c>
      <c r="B1869" s="2">
        <v>45649</v>
      </c>
      <c r="C1869" s="3">
        <v>34.1</v>
      </c>
      <c r="D1869" s="3">
        <v>34.1</v>
      </c>
      <c r="E1869" s="3">
        <v>33.85</v>
      </c>
      <c r="F1869" s="3">
        <v>34.049999999999997</v>
      </c>
      <c r="G1869" s="3">
        <v>1794869</v>
      </c>
      <c r="H1869" s="8">
        <f t="shared" si="175"/>
        <v>-0.87847730600291996</v>
      </c>
      <c r="I1869">
        <f t="shared" si="176"/>
        <v>33.881999999999998</v>
      </c>
      <c r="J1869" s="6" cm="1">
        <f t="array" ref="J1869">_xlfn.STDEV.S(IF($A:$A=A1869, $F:$F))</f>
        <v>0.26432934002868341</v>
      </c>
      <c r="P1869" s="8">
        <f t="shared" si="177"/>
        <v>-0.87847730600291996</v>
      </c>
      <c r="Q1869" s="8">
        <f t="shared" si="178"/>
        <v>-0.87847730600291996</v>
      </c>
      <c r="R1869" s="8">
        <f t="shared" si="179"/>
        <v>-0.87847730600291996</v>
      </c>
    </row>
    <row r="1870" spans="1:18" x14ac:dyDescent="0.25">
      <c r="A1870" s="7">
        <f t="shared" si="174"/>
        <v>374</v>
      </c>
      <c r="B1870" s="2">
        <v>45650</v>
      </c>
      <c r="C1870" s="3">
        <v>34.049999999999997</v>
      </c>
      <c r="D1870" s="3">
        <v>34.049999999999997</v>
      </c>
      <c r="E1870" s="3">
        <v>33.31</v>
      </c>
      <c r="F1870" s="3">
        <v>33.46</v>
      </c>
      <c r="G1870" s="3">
        <v>3831116</v>
      </c>
      <c r="H1870" s="8">
        <f t="shared" si="175"/>
        <v>-0.87847730600291996</v>
      </c>
      <c r="I1870">
        <f t="shared" si="176"/>
        <v>33.881999999999998</v>
      </c>
      <c r="J1870" s="6" cm="1">
        <f t="array" ref="J1870">_xlfn.STDEV.S(IF($A:$A=A1870, $F:$F))</f>
        <v>0.26432934002868341</v>
      </c>
      <c r="P1870" s="8">
        <f t="shared" si="177"/>
        <v>-0.87847730600291996</v>
      </c>
      <c r="Q1870" s="8">
        <f t="shared" si="178"/>
        <v>-0.87847730600291996</v>
      </c>
      <c r="R1870" s="8">
        <f t="shared" si="179"/>
        <v>-0.87847730600291996</v>
      </c>
    </row>
    <row r="1871" spans="1:18" x14ac:dyDescent="0.25">
      <c r="A1871" s="7">
        <f t="shared" si="174"/>
        <v>374</v>
      </c>
      <c r="B1871" s="2">
        <v>45651</v>
      </c>
      <c r="C1871" s="3">
        <v>33.51</v>
      </c>
      <c r="D1871" s="3">
        <v>34.450000000000003</v>
      </c>
      <c r="E1871" s="3">
        <v>33.51</v>
      </c>
      <c r="F1871" s="3">
        <v>33.85</v>
      </c>
      <c r="G1871" s="3">
        <v>5103297</v>
      </c>
      <c r="H1871" s="8">
        <f t="shared" si="175"/>
        <v>-0.87847730600291996</v>
      </c>
      <c r="I1871">
        <f t="shared" si="176"/>
        <v>33.881999999999998</v>
      </c>
      <c r="J1871" s="6" cm="1">
        <f t="array" ref="J1871">_xlfn.STDEV.S(IF($A:$A=A1871, $F:$F))</f>
        <v>0.26432934002868341</v>
      </c>
      <c r="P1871" s="8">
        <f t="shared" si="177"/>
        <v>-0.87847730600291996</v>
      </c>
      <c r="Q1871" s="8">
        <f t="shared" si="178"/>
        <v>-0.87847730600291996</v>
      </c>
      <c r="R1871" s="8">
        <f t="shared" si="179"/>
        <v>-0.87847730600291996</v>
      </c>
    </row>
    <row r="1872" spans="1:18" x14ac:dyDescent="0.25">
      <c r="A1872" s="7">
        <f t="shared" si="174"/>
        <v>375</v>
      </c>
      <c r="B1872" s="2">
        <v>45652</v>
      </c>
      <c r="C1872" s="3">
        <v>33.85</v>
      </c>
      <c r="D1872" s="3">
        <v>33.950000000000003</v>
      </c>
      <c r="E1872" s="3">
        <v>33.56</v>
      </c>
      <c r="F1872" s="3">
        <v>33.56</v>
      </c>
      <c r="G1872" s="3">
        <v>2560382</v>
      </c>
      <c r="H1872" s="8">
        <f t="shared" si="175"/>
        <v>-0.5959475566150263</v>
      </c>
      <c r="I1872">
        <f t="shared" si="176"/>
        <v>33.35</v>
      </c>
      <c r="J1872" s="6" cm="1">
        <f t="array" ref="J1872">_xlfn.STDEV.S(IF($A:$A=A1872, $F:$F))</f>
        <v>0.23558437978779473</v>
      </c>
      <c r="P1872" s="8">
        <f t="shared" si="177"/>
        <v>-0.5959475566150263</v>
      </c>
      <c r="Q1872" s="8">
        <f t="shared" si="178"/>
        <v>-0.5959475566150263</v>
      </c>
      <c r="R1872" s="8">
        <f t="shared" si="179"/>
        <v>-0.5959475566150263</v>
      </c>
    </row>
    <row r="1873" spans="1:18" x14ac:dyDescent="0.25">
      <c r="A1873" s="7">
        <f t="shared" si="174"/>
        <v>375</v>
      </c>
      <c r="B1873" s="2">
        <v>45653</v>
      </c>
      <c r="C1873" s="3">
        <v>33.659999999999997</v>
      </c>
      <c r="D1873" s="3">
        <v>33.76</v>
      </c>
      <c r="E1873" s="3">
        <v>33.46</v>
      </c>
      <c r="F1873" s="3">
        <v>33.51</v>
      </c>
      <c r="G1873" s="3">
        <v>4347867</v>
      </c>
      <c r="H1873" s="8">
        <f t="shared" si="175"/>
        <v>-0.5959475566150263</v>
      </c>
      <c r="I1873">
        <f t="shared" si="176"/>
        <v>33.35</v>
      </c>
      <c r="J1873" s="6" cm="1">
        <f t="array" ref="J1873">_xlfn.STDEV.S(IF($A:$A=A1873, $F:$F))</f>
        <v>0.23558437978779473</v>
      </c>
      <c r="P1873" s="8">
        <f t="shared" si="177"/>
        <v>-0.5959475566150263</v>
      </c>
      <c r="Q1873" s="8">
        <f t="shared" si="178"/>
        <v>-0.5959475566150263</v>
      </c>
      <c r="R1873" s="8">
        <f t="shared" si="179"/>
        <v>-0.5959475566150263</v>
      </c>
    </row>
    <row r="1874" spans="1:18" x14ac:dyDescent="0.25">
      <c r="A1874" s="7">
        <f t="shared" si="174"/>
        <v>375</v>
      </c>
      <c r="B1874" s="2">
        <v>45656</v>
      </c>
      <c r="C1874" s="3">
        <v>33.659999999999997</v>
      </c>
      <c r="D1874" s="3">
        <v>33.950000000000003</v>
      </c>
      <c r="E1874" s="3">
        <v>33.36</v>
      </c>
      <c r="F1874" s="3">
        <v>33.36</v>
      </c>
      <c r="G1874" s="3">
        <v>2519133</v>
      </c>
      <c r="H1874" s="8">
        <f t="shared" si="175"/>
        <v>-0.5959475566150263</v>
      </c>
      <c r="I1874">
        <f t="shared" si="176"/>
        <v>33.35</v>
      </c>
      <c r="J1874" s="6" cm="1">
        <f t="array" ref="J1874">_xlfn.STDEV.S(IF($A:$A=A1874, $F:$F))</f>
        <v>0.23558437978779473</v>
      </c>
      <c r="P1874" s="8">
        <f t="shared" si="177"/>
        <v>-0.5959475566150263</v>
      </c>
      <c r="Q1874" s="8">
        <f t="shared" si="178"/>
        <v>-0.5959475566150263</v>
      </c>
      <c r="R1874" s="8">
        <f t="shared" si="179"/>
        <v>-0.5959475566150263</v>
      </c>
    </row>
    <row r="1875" spans="1:18" x14ac:dyDescent="0.25">
      <c r="A1875" s="7">
        <f t="shared" si="174"/>
        <v>375</v>
      </c>
      <c r="B1875" s="2">
        <v>45657</v>
      </c>
      <c r="C1875" s="3">
        <v>33.409999999999997</v>
      </c>
      <c r="D1875" s="3">
        <v>33.51</v>
      </c>
      <c r="E1875" s="3">
        <v>32.96</v>
      </c>
      <c r="F1875" s="3">
        <v>32.96</v>
      </c>
      <c r="G1875" s="3">
        <v>2868971</v>
      </c>
      <c r="H1875" s="8">
        <f t="shared" si="175"/>
        <v>-0.5959475566150263</v>
      </c>
      <c r="I1875">
        <f t="shared" si="176"/>
        <v>33.35</v>
      </c>
      <c r="J1875" s="6" cm="1">
        <f t="array" ref="J1875">_xlfn.STDEV.S(IF($A:$A=A1875, $F:$F))</f>
        <v>0.23558437978779473</v>
      </c>
      <c r="P1875" s="8">
        <f t="shared" si="177"/>
        <v>-0.5959475566150263</v>
      </c>
      <c r="Q1875" s="8">
        <f t="shared" si="178"/>
        <v>-0.5959475566150263</v>
      </c>
      <c r="R1875" s="8">
        <f t="shared" si="179"/>
        <v>-0.5959475566150263</v>
      </c>
    </row>
    <row r="1876" spans="1:18" x14ac:dyDescent="0.25">
      <c r="A1876" s="7">
        <f t="shared" si="174"/>
        <v>375</v>
      </c>
      <c r="B1876" s="2">
        <v>45659</v>
      </c>
      <c r="C1876" s="3">
        <v>33.01</v>
      </c>
      <c r="D1876" s="3">
        <v>33.46</v>
      </c>
      <c r="E1876" s="3">
        <v>32.96</v>
      </c>
      <c r="F1876" s="3">
        <v>33.36</v>
      </c>
      <c r="G1876" s="3">
        <v>3358136</v>
      </c>
      <c r="H1876" s="8">
        <f t="shared" si="175"/>
        <v>-0.5959475566150263</v>
      </c>
      <c r="I1876">
        <f t="shared" si="176"/>
        <v>33.35</v>
      </c>
      <c r="J1876" s="6" cm="1">
        <f t="array" ref="J1876">_xlfn.STDEV.S(IF($A:$A=A1876, $F:$F))</f>
        <v>0.23558437978779473</v>
      </c>
      <c r="P1876" s="8">
        <f t="shared" si="177"/>
        <v>-0.5959475566150263</v>
      </c>
      <c r="Q1876" s="8">
        <f t="shared" si="178"/>
        <v>-0.5959475566150263</v>
      </c>
      <c r="R1876" s="8">
        <f t="shared" si="179"/>
        <v>-0.5959475566150263</v>
      </c>
    </row>
    <row r="1877" spans="1:18" x14ac:dyDescent="0.25">
      <c r="A1877" s="7">
        <f t="shared" si="174"/>
        <v>376</v>
      </c>
      <c r="B1877" s="2">
        <v>45660</v>
      </c>
      <c r="C1877" s="3">
        <v>33.31</v>
      </c>
      <c r="D1877" s="3">
        <v>33.36</v>
      </c>
      <c r="E1877" s="3">
        <v>32.56</v>
      </c>
      <c r="F1877" s="3">
        <v>32.56</v>
      </c>
      <c r="G1877" s="3">
        <v>4667371</v>
      </c>
      <c r="H1877" s="8">
        <f t="shared" si="175"/>
        <v>-3.0405405405405466</v>
      </c>
      <c r="I1877">
        <f t="shared" si="176"/>
        <v>31.937999999999999</v>
      </c>
      <c r="J1877" s="6" cm="1">
        <f t="array" ref="J1877">_xlfn.STDEV.S(IF($A:$A=A1877, $F:$F))</f>
        <v>0.41093795152066526</v>
      </c>
      <c r="P1877" s="8">
        <f t="shared" si="177"/>
        <v>-3.0405405405405466</v>
      </c>
      <c r="Q1877" s="8">
        <f t="shared" si="178"/>
        <v>-3.0405405405405466</v>
      </c>
      <c r="R1877" s="8">
        <f t="shared" si="179"/>
        <v>-3.0405405405405466</v>
      </c>
    </row>
    <row r="1878" spans="1:18" x14ac:dyDescent="0.25">
      <c r="A1878" s="7">
        <f t="shared" si="174"/>
        <v>376</v>
      </c>
      <c r="B1878" s="2">
        <v>45663</v>
      </c>
      <c r="C1878" s="3">
        <v>32.61</v>
      </c>
      <c r="D1878" s="3">
        <v>32.81</v>
      </c>
      <c r="E1878" s="3">
        <v>31.87</v>
      </c>
      <c r="F1878" s="3">
        <v>32.07</v>
      </c>
      <c r="G1878" s="3">
        <v>4543715</v>
      </c>
      <c r="H1878" s="8">
        <f t="shared" si="175"/>
        <v>-3.0405405405405466</v>
      </c>
      <c r="I1878">
        <f t="shared" si="176"/>
        <v>31.937999999999999</v>
      </c>
      <c r="J1878" s="6" cm="1">
        <f t="array" ref="J1878">_xlfn.STDEV.S(IF($A:$A=A1878, $F:$F))</f>
        <v>0.41093795152066526</v>
      </c>
      <c r="P1878" s="8">
        <f t="shared" si="177"/>
        <v>-3.0405405405405466</v>
      </c>
      <c r="Q1878" s="8">
        <f t="shared" si="178"/>
        <v>-3.0405405405405466</v>
      </c>
      <c r="R1878" s="8">
        <f t="shared" si="179"/>
        <v>-3.0405405405405466</v>
      </c>
    </row>
    <row r="1879" spans="1:18" x14ac:dyDescent="0.25">
      <c r="A1879" s="7">
        <f t="shared" si="174"/>
        <v>376</v>
      </c>
      <c r="B1879" s="2">
        <v>45664</v>
      </c>
      <c r="C1879" s="3">
        <v>32.270000000000003</v>
      </c>
      <c r="D1879" s="3">
        <v>32.32</v>
      </c>
      <c r="E1879" s="3">
        <v>31.52</v>
      </c>
      <c r="F1879" s="3">
        <v>31.57</v>
      </c>
      <c r="G1879" s="3">
        <v>5079540</v>
      </c>
      <c r="H1879" s="8">
        <f t="shared" si="175"/>
        <v>-3.0405405405405466</v>
      </c>
      <c r="I1879">
        <f t="shared" si="176"/>
        <v>31.937999999999999</v>
      </c>
      <c r="J1879" s="6" cm="1">
        <f t="array" ref="J1879">_xlfn.STDEV.S(IF($A:$A=A1879, $F:$F))</f>
        <v>0.41093795152066526</v>
      </c>
      <c r="P1879" s="8">
        <f t="shared" si="177"/>
        <v>-3.0405405405405466</v>
      </c>
      <c r="Q1879" s="8">
        <f t="shared" si="178"/>
        <v>-3.0405405405405466</v>
      </c>
      <c r="R1879" s="8">
        <f t="shared" si="179"/>
        <v>-3.0405405405405466</v>
      </c>
    </row>
    <row r="1880" spans="1:18" x14ac:dyDescent="0.25">
      <c r="A1880" s="7">
        <f t="shared" si="174"/>
        <v>376</v>
      </c>
      <c r="B1880" s="2">
        <v>45665</v>
      </c>
      <c r="C1880" s="3">
        <v>31.32</v>
      </c>
      <c r="D1880" s="3">
        <v>32.369999999999997</v>
      </c>
      <c r="E1880" s="3">
        <v>31.32</v>
      </c>
      <c r="F1880" s="3">
        <v>31.92</v>
      </c>
      <c r="G1880" s="3">
        <v>3418529</v>
      </c>
      <c r="H1880" s="8">
        <f t="shared" si="175"/>
        <v>-3.0405405405405466</v>
      </c>
      <c r="I1880">
        <f t="shared" si="176"/>
        <v>31.937999999999999</v>
      </c>
      <c r="J1880" s="6" cm="1">
        <f t="array" ref="J1880">_xlfn.STDEV.S(IF($A:$A=A1880, $F:$F))</f>
        <v>0.41093795152066526</v>
      </c>
      <c r="P1880" s="8">
        <f t="shared" si="177"/>
        <v>-3.0405405405405466</v>
      </c>
      <c r="Q1880" s="8">
        <f t="shared" si="178"/>
        <v>-3.0405405405405466</v>
      </c>
      <c r="R1880" s="8">
        <f t="shared" si="179"/>
        <v>-3.0405405405405466</v>
      </c>
    </row>
    <row r="1881" spans="1:18" x14ac:dyDescent="0.25">
      <c r="A1881" s="7">
        <f t="shared" si="174"/>
        <v>376</v>
      </c>
      <c r="B1881" s="2">
        <v>45666</v>
      </c>
      <c r="C1881" s="3">
        <v>31.92</v>
      </c>
      <c r="D1881" s="3">
        <v>32.17</v>
      </c>
      <c r="E1881" s="3">
        <v>31.57</v>
      </c>
      <c r="F1881" s="3">
        <v>31.57</v>
      </c>
      <c r="G1881" s="3">
        <v>1957685</v>
      </c>
      <c r="H1881" s="8">
        <f t="shared" si="175"/>
        <v>-3.0405405405405466</v>
      </c>
      <c r="I1881">
        <f t="shared" si="176"/>
        <v>31.937999999999999</v>
      </c>
      <c r="J1881" s="6" cm="1">
        <f t="array" ref="J1881">_xlfn.STDEV.S(IF($A:$A=A1881, $F:$F))</f>
        <v>0.41093795152066526</v>
      </c>
      <c r="P1881" s="8">
        <f t="shared" si="177"/>
        <v>-3.0405405405405466</v>
      </c>
      <c r="Q1881" s="8">
        <f t="shared" si="178"/>
        <v>-3.0405405405405466</v>
      </c>
      <c r="R1881" s="8">
        <f t="shared" si="179"/>
        <v>-3.0405405405405466</v>
      </c>
    </row>
    <row r="1882" spans="1:18" x14ac:dyDescent="0.25">
      <c r="A1882" s="7">
        <f t="shared" si="174"/>
        <v>377</v>
      </c>
      <c r="B1882" s="2">
        <v>45667</v>
      </c>
      <c r="C1882" s="3">
        <v>31.67</v>
      </c>
      <c r="D1882" s="3">
        <v>32.020000000000003</v>
      </c>
      <c r="E1882" s="3">
        <v>31.27</v>
      </c>
      <c r="F1882" s="3">
        <v>31.27</v>
      </c>
      <c r="G1882" s="3">
        <v>4451367</v>
      </c>
      <c r="H1882" s="8">
        <f t="shared" si="175"/>
        <v>2.878157978893515</v>
      </c>
      <c r="I1882">
        <f t="shared" si="176"/>
        <v>31.76</v>
      </c>
      <c r="J1882" s="6" cm="1">
        <f t="array" ref="J1882">_xlfn.STDEV.S(IF($A:$A=A1882, $F:$F))</f>
        <v>0.33800887562311216</v>
      </c>
      <c r="P1882" s="8">
        <f t="shared" si="177"/>
        <v>2.878157978893515</v>
      </c>
      <c r="Q1882" s="8">
        <f t="shared" si="178"/>
        <v>2.878157978893515</v>
      </c>
      <c r="R1882" s="8">
        <f t="shared" si="179"/>
        <v>2.878157978893515</v>
      </c>
    </row>
    <row r="1883" spans="1:18" x14ac:dyDescent="0.25">
      <c r="A1883" s="7">
        <f t="shared" si="174"/>
        <v>377</v>
      </c>
      <c r="B1883" s="2">
        <v>45670</v>
      </c>
      <c r="C1883" s="3">
        <v>30.98</v>
      </c>
      <c r="D1883" s="3">
        <v>31.92</v>
      </c>
      <c r="E1883" s="3">
        <v>30.73</v>
      </c>
      <c r="F1883" s="3">
        <v>31.92</v>
      </c>
      <c r="G1883" s="3">
        <v>4426891</v>
      </c>
      <c r="H1883" s="8">
        <f t="shared" si="175"/>
        <v>2.878157978893515</v>
      </c>
      <c r="I1883">
        <f t="shared" si="176"/>
        <v>31.76</v>
      </c>
      <c r="J1883" s="6" cm="1">
        <f t="array" ref="J1883">_xlfn.STDEV.S(IF($A:$A=A1883, $F:$F))</f>
        <v>0.33800887562311216</v>
      </c>
      <c r="P1883" s="8">
        <f t="shared" si="177"/>
        <v>2.878157978893515</v>
      </c>
      <c r="Q1883" s="8">
        <f t="shared" si="178"/>
        <v>2.878157978893515</v>
      </c>
      <c r="R1883" s="8">
        <f t="shared" si="179"/>
        <v>2.878157978893515</v>
      </c>
    </row>
    <row r="1884" spans="1:18" x14ac:dyDescent="0.25">
      <c r="A1884" s="7">
        <f t="shared" si="174"/>
        <v>377</v>
      </c>
      <c r="B1884" s="2">
        <v>45671</v>
      </c>
      <c r="C1884" s="3">
        <v>31.77</v>
      </c>
      <c r="D1884" s="3">
        <v>31.97</v>
      </c>
      <c r="E1884" s="3">
        <v>31.62</v>
      </c>
      <c r="F1884" s="3">
        <v>31.62</v>
      </c>
      <c r="G1884" s="3">
        <v>2136638</v>
      </c>
      <c r="H1884" s="8">
        <f t="shared" si="175"/>
        <v>2.878157978893515</v>
      </c>
      <c r="I1884">
        <f t="shared" si="176"/>
        <v>31.76</v>
      </c>
      <c r="J1884" s="6" cm="1">
        <f t="array" ref="J1884">_xlfn.STDEV.S(IF($A:$A=A1884, $F:$F))</f>
        <v>0.33800887562311216</v>
      </c>
      <c r="P1884" s="8">
        <f t="shared" si="177"/>
        <v>2.878157978893515</v>
      </c>
      <c r="Q1884" s="8">
        <f t="shared" si="178"/>
        <v>2.878157978893515</v>
      </c>
      <c r="R1884" s="8">
        <f t="shared" si="179"/>
        <v>2.878157978893515</v>
      </c>
    </row>
    <row r="1885" spans="1:18" x14ac:dyDescent="0.25">
      <c r="A1885" s="7">
        <f t="shared" si="174"/>
        <v>377</v>
      </c>
      <c r="B1885" s="2">
        <v>45672</v>
      </c>
      <c r="C1885" s="3">
        <v>31.67</v>
      </c>
      <c r="D1885" s="3">
        <v>32.119999999999997</v>
      </c>
      <c r="E1885" s="3">
        <v>31.67</v>
      </c>
      <c r="F1885" s="3">
        <v>31.82</v>
      </c>
      <c r="G1885" s="3">
        <v>3140474</v>
      </c>
      <c r="H1885" s="8">
        <f t="shared" si="175"/>
        <v>2.878157978893515</v>
      </c>
      <c r="I1885">
        <f t="shared" si="176"/>
        <v>31.76</v>
      </c>
      <c r="J1885" s="6" cm="1">
        <f t="array" ref="J1885">_xlfn.STDEV.S(IF($A:$A=A1885, $F:$F))</f>
        <v>0.33800887562311216</v>
      </c>
      <c r="P1885" s="8">
        <f t="shared" si="177"/>
        <v>2.878157978893515</v>
      </c>
      <c r="Q1885" s="8">
        <f t="shared" si="178"/>
        <v>2.878157978893515</v>
      </c>
      <c r="R1885" s="8">
        <f t="shared" si="179"/>
        <v>2.878157978893515</v>
      </c>
    </row>
    <row r="1886" spans="1:18" x14ac:dyDescent="0.25">
      <c r="A1886" s="7">
        <f t="shared" si="174"/>
        <v>377</v>
      </c>
      <c r="B1886" s="2">
        <v>45673</v>
      </c>
      <c r="C1886" s="3">
        <v>31.97</v>
      </c>
      <c r="D1886" s="3">
        <v>33.01</v>
      </c>
      <c r="E1886" s="3">
        <v>31.97</v>
      </c>
      <c r="F1886" s="3">
        <v>32.17</v>
      </c>
      <c r="G1886" s="3">
        <v>4630969</v>
      </c>
      <c r="H1886" s="8">
        <f t="shared" si="175"/>
        <v>2.878157978893515</v>
      </c>
      <c r="I1886">
        <f t="shared" si="176"/>
        <v>31.76</v>
      </c>
      <c r="J1886" s="6" cm="1">
        <f t="array" ref="J1886">_xlfn.STDEV.S(IF($A:$A=A1886, $F:$F))</f>
        <v>0.33800887562311216</v>
      </c>
      <c r="P1886" s="8">
        <f t="shared" si="177"/>
        <v>2.878157978893515</v>
      </c>
      <c r="Q1886" s="8">
        <f t="shared" si="178"/>
        <v>2.878157978893515</v>
      </c>
      <c r="R1886" s="8">
        <f t="shared" si="179"/>
        <v>2.878157978893515</v>
      </c>
    </row>
    <row r="1887" spans="1:18" x14ac:dyDescent="0.25">
      <c r="A1887" s="7">
        <f t="shared" si="174"/>
        <v>378</v>
      </c>
      <c r="B1887" s="2">
        <v>45674</v>
      </c>
      <c r="C1887" s="3">
        <v>32.07</v>
      </c>
      <c r="D1887" s="3">
        <v>32.46</v>
      </c>
      <c r="E1887" s="3">
        <v>32.07</v>
      </c>
      <c r="F1887" s="3">
        <v>32.22</v>
      </c>
      <c r="G1887" s="3">
        <v>2041567</v>
      </c>
      <c r="H1887" s="8">
        <f t="shared" si="175"/>
        <v>6.300434512725019</v>
      </c>
      <c r="I1887">
        <f t="shared" si="176"/>
        <v>32.692</v>
      </c>
      <c r="J1887" s="6" cm="1">
        <f t="array" ref="J1887">_xlfn.STDEV.S(IF($A:$A=A1887, $F:$F))</f>
        <v>0.89284377132844428</v>
      </c>
      <c r="P1887" s="8">
        <f t="shared" si="177"/>
        <v>6.300434512725019</v>
      </c>
      <c r="Q1887" s="8">
        <f t="shared" si="178"/>
        <v>6.300434512725019</v>
      </c>
      <c r="R1887" s="8">
        <f t="shared" si="179"/>
        <v>6.300434512725019</v>
      </c>
    </row>
    <row r="1888" spans="1:18" x14ac:dyDescent="0.25">
      <c r="A1888" s="7">
        <f t="shared" si="174"/>
        <v>378</v>
      </c>
      <c r="B1888" s="2">
        <v>45677</v>
      </c>
      <c r="C1888" s="3">
        <v>32.270000000000003</v>
      </c>
      <c r="D1888" s="3">
        <v>32.56</v>
      </c>
      <c r="E1888" s="3">
        <v>31.97</v>
      </c>
      <c r="F1888" s="3">
        <v>32.020000000000003</v>
      </c>
      <c r="G1888" s="3">
        <v>2217140</v>
      </c>
      <c r="H1888" s="8">
        <f t="shared" si="175"/>
        <v>6.300434512725019</v>
      </c>
      <c r="I1888">
        <f t="shared" si="176"/>
        <v>32.692</v>
      </c>
      <c r="J1888" s="6" cm="1">
        <f t="array" ref="J1888">_xlfn.STDEV.S(IF($A:$A=A1888, $F:$F))</f>
        <v>0.89284377132844428</v>
      </c>
      <c r="P1888" s="8">
        <f t="shared" si="177"/>
        <v>6.300434512725019</v>
      </c>
      <c r="Q1888" s="8">
        <f t="shared" si="178"/>
        <v>6.300434512725019</v>
      </c>
      <c r="R1888" s="8">
        <f t="shared" si="179"/>
        <v>6.300434512725019</v>
      </c>
    </row>
    <row r="1889" spans="1:18" x14ac:dyDescent="0.25">
      <c r="A1889" s="7">
        <f t="shared" si="174"/>
        <v>378</v>
      </c>
      <c r="B1889" s="2">
        <v>45678</v>
      </c>
      <c r="C1889" s="3">
        <v>32.020000000000003</v>
      </c>
      <c r="D1889" s="3">
        <v>32.909999999999997</v>
      </c>
      <c r="E1889" s="3">
        <v>32.020000000000003</v>
      </c>
      <c r="F1889" s="3">
        <v>32.51</v>
      </c>
      <c r="G1889" s="3">
        <v>5348983</v>
      </c>
      <c r="H1889" s="8">
        <f t="shared" si="175"/>
        <v>6.300434512725019</v>
      </c>
      <c r="I1889">
        <f t="shared" si="176"/>
        <v>32.692</v>
      </c>
      <c r="J1889" s="6" cm="1">
        <f t="array" ref="J1889">_xlfn.STDEV.S(IF($A:$A=A1889, $F:$F))</f>
        <v>0.89284377132844428</v>
      </c>
      <c r="P1889" s="8">
        <f t="shared" si="177"/>
        <v>6.300434512725019</v>
      </c>
      <c r="Q1889" s="8">
        <f t="shared" si="178"/>
        <v>6.300434512725019</v>
      </c>
      <c r="R1889" s="8">
        <f t="shared" si="179"/>
        <v>6.300434512725019</v>
      </c>
    </row>
    <row r="1890" spans="1:18" x14ac:dyDescent="0.25">
      <c r="A1890" s="7">
        <f t="shared" si="174"/>
        <v>378</v>
      </c>
      <c r="B1890" s="2">
        <v>45679</v>
      </c>
      <c r="C1890" s="3">
        <v>32.81</v>
      </c>
      <c r="D1890" s="3">
        <v>32.81</v>
      </c>
      <c r="E1890" s="3">
        <v>32.46</v>
      </c>
      <c r="F1890" s="3">
        <v>32.46</v>
      </c>
      <c r="G1890" s="3">
        <v>3052844</v>
      </c>
      <c r="H1890" s="8">
        <f t="shared" si="175"/>
        <v>6.300434512725019</v>
      </c>
      <c r="I1890">
        <f t="shared" si="176"/>
        <v>32.692</v>
      </c>
      <c r="J1890" s="6" cm="1">
        <f t="array" ref="J1890">_xlfn.STDEV.S(IF($A:$A=A1890, $F:$F))</f>
        <v>0.89284377132844428</v>
      </c>
      <c r="P1890" s="8">
        <f t="shared" si="177"/>
        <v>6.300434512725019</v>
      </c>
      <c r="Q1890" s="8">
        <f t="shared" si="178"/>
        <v>6.300434512725019</v>
      </c>
      <c r="R1890" s="8">
        <f t="shared" si="179"/>
        <v>6.300434512725019</v>
      </c>
    </row>
    <row r="1891" spans="1:18" x14ac:dyDescent="0.25">
      <c r="A1891" s="7">
        <f t="shared" si="174"/>
        <v>378</v>
      </c>
      <c r="B1891" s="2">
        <v>45680</v>
      </c>
      <c r="C1891" s="3">
        <v>32.71</v>
      </c>
      <c r="D1891" s="3">
        <v>34.65</v>
      </c>
      <c r="E1891" s="3">
        <v>32.56</v>
      </c>
      <c r="F1891" s="3">
        <v>34.25</v>
      </c>
      <c r="G1891" s="3">
        <v>12534499</v>
      </c>
      <c r="H1891" s="8">
        <f t="shared" si="175"/>
        <v>6.300434512725019</v>
      </c>
      <c r="I1891">
        <f t="shared" si="176"/>
        <v>32.692</v>
      </c>
      <c r="J1891" s="6" cm="1">
        <f t="array" ref="J1891">_xlfn.STDEV.S(IF($A:$A=A1891, $F:$F))</f>
        <v>0.89284377132844428</v>
      </c>
      <c r="P1891" s="8">
        <f t="shared" si="177"/>
        <v>6.300434512725019</v>
      </c>
      <c r="Q1891" s="8">
        <f t="shared" si="178"/>
        <v>6.300434512725019</v>
      </c>
      <c r="R1891" s="8">
        <f t="shared" si="179"/>
        <v>6.300434512725019</v>
      </c>
    </row>
    <row r="1892" spans="1:18" x14ac:dyDescent="0.25">
      <c r="A1892" s="7">
        <f t="shared" si="174"/>
        <v>379</v>
      </c>
      <c r="B1892" s="2">
        <v>45681</v>
      </c>
      <c r="C1892" s="3">
        <v>34.200000000000003</v>
      </c>
      <c r="D1892" s="3">
        <v>34.25</v>
      </c>
      <c r="E1892" s="3">
        <v>33.799999999999997</v>
      </c>
      <c r="F1892" s="3">
        <v>34.15</v>
      </c>
      <c r="G1892" s="3">
        <v>4071193</v>
      </c>
      <c r="H1892" s="8">
        <f t="shared" si="175"/>
        <v>0.43923865300145998</v>
      </c>
      <c r="I1892">
        <f t="shared" si="176"/>
        <v>34.379999999999995</v>
      </c>
      <c r="J1892" s="6" cm="1">
        <f t="array" ref="J1892">_xlfn.STDEV.S(IF($A:$A=A1892, $F:$F))</f>
        <v>0.15652475842498603</v>
      </c>
      <c r="P1892" s="8">
        <f t="shared" si="177"/>
        <v>0.43923865300145998</v>
      </c>
      <c r="Q1892" s="8">
        <f t="shared" si="178"/>
        <v>0.43923865300145998</v>
      </c>
      <c r="R1892" s="8">
        <f t="shared" si="179"/>
        <v>0.43923865300145998</v>
      </c>
    </row>
    <row r="1893" spans="1:18" x14ac:dyDescent="0.25">
      <c r="A1893" s="7">
        <f t="shared" si="174"/>
        <v>379</v>
      </c>
      <c r="B1893" s="2">
        <v>45691</v>
      </c>
      <c r="C1893" s="3">
        <v>34.049999999999997</v>
      </c>
      <c r="D1893" s="3">
        <v>34.799999999999997</v>
      </c>
      <c r="E1893" s="3">
        <v>33.56</v>
      </c>
      <c r="F1893" s="3">
        <v>34.450000000000003</v>
      </c>
      <c r="G1893" s="3">
        <v>10738350</v>
      </c>
      <c r="H1893" s="8">
        <f t="shared" si="175"/>
        <v>0.43923865300145998</v>
      </c>
      <c r="I1893">
        <f t="shared" si="176"/>
        <v>34.379999999999995</v>
      </c>
      <c r="J1893" s="6" cm="1">
        <f t="array" ref="J1893">_xlfn.STDEV.S(IF($A:$A=A1893, $F:$F))</f>
        <v>0.15652475842498603</v>
      </c>
      <c r="P1893" s="8">
        <f t="shared" si="177"/>
        <v>0.43923865300145998</v>
      </c>
      <c r="Q1893" s="8">
        <f t="shared" si="178"/>
        <v>0.43923865300145998</v>
      </c>
      <c r="R1893" s="8">
        <f t="shared" si="179"/>
        <v>0.43923865300145998</v>
      </c>
    </row>
    <row r="1894" spans="1:18" x14ac:dyDescent="0.25">
      <c r="A1894" s="7">
        <f t="shared" si="174"/>
        <v>379</v>
      </c>
      <c r="B1894" s="2">
        <v>45692</v>
      </c>
      <c r="C1894" s="3">
        <v>34.799999999999997</v>
      </c>
      <c r="D1894" s="3">
        <v>34.950000000000003</v>
      </c>
      <c r="E1894" s="3">
        <v>34.35</v>
      </c>
      <c r="F1894" s="3">
        <v>34.549999999999997</v>
      </c>
      <c r="G1894" s="3">
        <v>7286274</v>
      </c>
      <c r="H1894" s="8">
        <f t="shared" si="175"/>
        <v>0.43923865300145998</v>
      </c>
      <c r="I1894">
        <f t="shared" si="176"/>
        <v>34.379999999999995</v>
      </c>
      <c r="J1894" s="6" cm="1">
        <f t="array" ref="J1894">_xlfn.STDEV.S(IF($A:$A=A1894, $F:$F))</f>
        <v>0.15652475842498603</v>
      </c>
      <c r="P1894" s="8">
        <f t="shared" si="177"/>
        <v>0.43923865300145998</v>
      </c>
      <c r="Q1894" s="8">
        <f t="shared" si="178"/>
        <v>0.43923865300145998</v>
      </c>
      <c r="R1894" s="8">
        <f t="shared" si="179"/>
        <v>0.43923865300145998</v>
      </c>
    </row>
    <row r="1895" spans="1:18" x14ac:dyDescent="0.25">
      <c r="A1895" s="7">
        <f t="shared" si="174"/>
        <v>379</v>
      </c>
      <c r="B1895" s="2">
        <v>45693</v>
      </c>
      <c r="C1895" s="3">
        <v>34.75</v>
      </c>
      <c r="D1895" s="3">
        <v>34.75</v>
      </c>
      <c r="E1895" s="3">
        <v>34.200000000000003</v>
      </c>
      <c r="F1895" s="3">
        <v>34.450000000000003</v>
      </c>
      <c r="G1895" s="3">
        <v>6850555</v>
      </c>
      <c r="H1895" s="8">
        <f t="shared" si="175"/>
        <v>0.43923865300145998</v>
      </c>
      <c r="I1895">
        <f t="shared" si="176"/>
        <v>34.379999999999995</v>
      </c>
      <c r="J1895" s="6" cm="1">
        <f t="array" ref="J1895">_xlfn.STDEV.S(IF($A:$A=A1895, $F:$F))</f>
        <v>0.15652475842498603</v>
      </c>
      <c r="P1895" s="8">
        <f t="shared" si="177"/>
        <v>0.43923865300145998</v>
      </c>
      <c r="Q1895" s="8">
        <f t="shared" si="178"/>
        <v>0.43923865300145998</v>
      </c>
      <c r="R1895" s="8">
        <f t="shared" si="179"/>
        <v>0.43923865300145998</v>
      </c>
    </row>
    <row r="1896" spans="1:18" x14ac:dyDescent="0.25">
      <c r="A1896" s="7">
        <f t="shared" si="174"/>
        <v>379</v>
      </c>
      <c r="B1896" s="2">
        <v>45694</v>
      </c>
      <c r="C1896" s="3">
        <v>34.6</v>
      </c>
      <c r="D1896" s="3">
        <v>35.15</v>
      </c>
      <c r="E1896" s="3">
        <v>34.299999999999997</v>
      </c>
      <c r="F1896" s="3">
        <v>34.299999999999997</v>
      </c>
      <c r="G1896" s="3">
        <v>8266831</v>
      </c>
      <c r="H1896" s="8">
        <f t="shared" si="175"/>
        <v>0.43923865300145998</v>
      </c>
      <c r="I1896">
        <f t="shared" si="176"/>
        <v>34.379999999999995</v>
      </c>
      <c r="J1896" s="6" cm="1">
        <f t="array" ref="J1896">_xlfn.STDEV.S(IF($A:$A=A1896, $F:$F))</f>
        <v>0.15652475842498603</v>
      </c>
      <c r="P1896" s="8">
        <f t="shared" si="177"/>
        <v>0.43923865300145998</v>
      </c>
      <c r="Q1896" s="8">
        <f t="shared" si="178"/>
        <v>0.43923865300145998</v>
      </c>
      <c r="R1896" s="8">
        <f t="shared" si="179"/>
        <v>0.43923865300145998</v>
      </c>
    </row>
    <row r="1897" spans="1:18" x14ac:dyDescent="0.25">
      <c r="A1897" s="7">
        <f t="shared" si="174"/>
        <v>380</v>
      </c>
      <c r="B1897" s="2">
        <v>45695</v>
      </c>
      <c r="C1897" s="3">
        <v>34.299999999999997</v>
      </c>
      <c r="D1897" s="3">
        <v>34.5</v>
      </c>
      <c r="E1897" s="3">
        <v>34.049999999999997</v>
      </c>
      <c r="F1897" s="3">
        <v>34.4</v>
      </c>
      <c r="G1897" s="3">
        <v>4655289</v>
      </c>
      <c r="H1897" s="8">
        <f t="shared" si="175"/>
        <v>1.4534883720930232</v>
      </c>
      <c r="I1897">
        <f t="shared" si="176"/>
        <v>34.619999999999997</v>
      </c>
      <c r="J1897" s="6" cm="1">
        <f t="array" ref="J1897">_xlfn.STDEV.S(IF($A:$A=A1897, $F:$F))</f>
        <v>0.17888543819998293</v>
      </c>
      <c r="P1897" s="8">
        <f t="shared" si="177"/>
        <v>1.4534883720930232</v>
      </c>
      <c r="Q1897" s="8">
        <f t="shared" si="178"/>
        <v>1.4534883720930232</v>
      </c>
      <c r="R1897" s="8">
        <f t="shared" si="179"/>
        <v>1.4534883720930232</v>
      </c>
    </row>
    <row r="1898" spans="1:18" x14ac:dyDescent="0.25">
      <c r="A1898" s="7">
        <f t="shared" si="174"/>
        <v>380</v>
      </c>
      <c r="B1898" s="2">
        <v>45698</v>
      </c>
      <c r="C1898" s="3">
        <v>34.1</v>
      </c>
      <c r="D1898" s="3">
        <v>35.1</v>
      </c>
      <c r="E1898" s="3">
        <v>34</v>
      </c>
      <c r="F1898" s="3">
        <v>34.6</v>
      </c>
      <c r="G1898" s="3">
        <v>14438626</v>
      </c>
      <c r="H1898" s="8">
        <f t="shared" si="175"/>
        <v>1.4534883720930232</v>
      </c>
      <c r="I1898">
        <f t="shared" si="176"/>
        <v>34.619999999999997</v>
      </c>
      <c r="J1898" s="6" cm="1">
        <f t="array" ref="J1898">_xlfn.STDEV.S(IF($A:$A=A1898, $F:$F))</f>
        <v>0.17888543819998293</v>
      </c>
      <c r="P1898" s="8">
        <f t="shared" si="177"/>
        <v>1.4534883720930232</v>
      </c>
      <c r="Q1898" s="8">
        <f t="shared" si="178"/>
        <v>1.4534883720930232</v>
      </c>
      <c r="R1898" s="8">
        <f t="shared" si="179"/>
        <v>1.4534883720930232</v>
      </c>
    </row>
    <row r="1899" spans="1:18" x14ac:dyDescent="0.25">
      <c r="A1899" s="7">
        <f t="shared" si="174"/>
        <v>380</v>
      </c>
      <c r="B1899" s="2">
        <v>45699</v>
      </c>
      <c r="C1899" s="3">
        <v>34.75</v>
      </c>
      <c r="D1899" s="3">
        <v>35</v>
      </c>
      <c r="E1899" s="3">
        <v>34.5</v>
      </c>
      <c r="F1899" s="3">
        <v>34.6</v>
      </c>
      <c r="G1899" s="3">
        <v>6774455</v>
      </c>
      <c r="H1899" s="8">
        <f t="shared" si="175"/>
        <v>1.4534883720930232</v>
      </c>
      <c r="I1899">
        <f t="shared" si="176"/>
        <v>34.619999999999997</v>
      </c>
      <c r="J1899" s="6" cm="1">
        <f t="array" ref="J1899">_xlfn.STDEV.S(IF($A:$A=A1899, $F:$F))</f>
        <v>0.17888543819998293</v>
      </c>
      <c r="P1899" s="8">
        <f t="shared" si="177"/>
        <v>1.4534883720930232</v>
      </c>
      <c r="Q1899" s="8">
        <f t="shared" si="178"/>
        <v>1.4534883720930232</v>
      </c>
      <c r="R1899" s="8">
        <f t="shared" si="179"/>
        <v>1.4534883720930232</v>
      </c>
    </row>
    <row r="1900" spans="1:18" x14ac:dyDescent="0.25">
      <c r="A1900" s="7">
        <f t="shared" si="174"/>
        <v>380</v>
      </c>
      <c r="B1900" s="2">
        <v>45700</v>
      </c>
      <c r="C1900" s="3">
        <v>34.700000000000003</v>
      </c>
      <c r="D1900" s="3">
        <v>35.15</v>
      </c>
      <c r="E1900" s="3">
        <v>34.6</v>
      </c>
      <c r="F1900" s="3">
        <v>34.6</v>
      </c>
      <c r="G1900" s="3">
        <v>6597223</v>
      </c>
      <c r="H1900" s="8">
        <f t="shared" si="175"/>
        <v>1.4534883720930232</v>
      </c>
      <c r="I1900">
        <f t="shared" si="176"/>
        <v>34.619999999999997</v>
      </c>
      <c r="J1900" s="6" cm="1">
        <f t="array" ref="J1900">_xlfn.STDEV.S(IF($A:$A=A1900, $F:$F))</f>
        <v>0.17888543819998293</v>
      </c>
      <c r="P1900" s="8">
        <f t="shared" si="177"/>
        <v>1.4534883720930232</v>
      </c>
      <c r="Q1900" s="8">
        <f t="shared" si="178"/>
        <v>1.4534883720930232</v>
      </c>
      <c r="R1900" s="8">
        <f t="shared" si="179"/>
        <v>1.4534883720930232</v>
      </c>
    </row>
    <row r="1901" spans="1:18" x14ac:dyDescent="0.25">
      <c r="A1901" s="7">
        <f t="shared" si="174"/>
        <v>380</v>
      </c>
      <c r="B1901" s="2">
        <v>45701</v>
      </c>
      <c r="C1901" s="3">
        <v>34.6</v>
      </c>
      <c r="D1901" s="3">
        <v>34.9</v>
      </c>
      <c r="E1901" s="3">
        <v>34.299999999999997</v>
      </c>
      <c r="F1901" s="3">
        <v>34.9</v>
      </c>
      <c r="G1901" s="3">
        <v>4316232</v>
      </c>
      <c r="H1901" s="8">
        <f t="shared" si="175"/>
        <v>1.4534883720930232</v>
      </c>
      <c r="I1901">
        <f t="shared" si="176"/>
        <v>34.619999999999997</v>
      </c>
      <c r="J1901" s="6" cm="1">
        <f t="array" ref="J1901">_xlfn.STDEV.S(IF($A:$A=A1901, $F:$F))</f>
        <v>0.17888543819998293</v>
      </c>
      <c r="P1901" s="8">
        <f t="shared" si="177"/>
        <v>1.4534883720930232</v>
      </c>
      <c r="Q1901" s="8">
        <f t="shared" si="178"/>
        <v>1.4534883720930232</v>
      </c>
      <c r="R1901" s="8">
        <f t="shared" si="179"/>
        <v>1.4534883720930232</v>
      </c>
    </row>
    <row r="1902" spans="1:18" x14ac:dyDescent="0.25">
      <c r="A1902" s="7">
        <f t="shared" si="174"/>
        <v>381</v>
      </c>
      <c r="B1902" s="2">
        <v>45702</v>
      </c>
      <c r="C1902" s="3">
        <v>35.5</v>
      </c>
      <c r="D1902" s="3">
        <v>35.85</v>
      </c>
      <c r="E1902" s="3">
        <v>35.25</v>
      </c>
      <c r="F1902" s="3">
        <v>35.35</v>
      </c>
      <c r="G1902" s="3">
        <v>12893355</v>
      </c>
      <c r="H1902" s="8">
        <f t="shared" si="175"/>
        <v>2.687411598302675</v>
      </c>
      <c r="I1902">
        <f t="shared" si="176"/>
        <v>35.88000000000001</v>
      </c>
      <c r="J1902" s="6" cm="1">
        <f t="array" ref="J1902">_xlfn.STDEV.S(IF($A:$A=A1902, $F:$F))</f>
        <v>0.43098723879019768</v>
      </c>
      <c r="P1902" s="8">
        <f t="shared" si="177"/>
        <v>2.687411598302675</v>
      </c>
      <c r="Q1902" s="8">
        <f t="shared" si="178"/>
        <v>2.687411598302675</v>
      </c>
      <c r="R1902" s="8">
        <f t="shared" si="179"/>
        <v>2.687411598302675</v>
      </c>
    </row>
    <row r="1903" spans="1:18" x14ac:dyDescent="0.25">
      <c r="A1903" s="7">
        <f t="shared" si="174"/>
        <v>381</v>
      </c>
      <c r="B1903" s="2">
        <v>45705</v>
      </c>
      <c r="C1903" s="3">
        <v>35.450000000000003</v>
      </c>
      <c r="D1903" s="3">
        <v>35.9</v>
      </c>
      <c r="E1903" s="3">
        <v>35.200000000000003</v>
      </c>
      <c r="F1903" s="3">
        <v>35.549999999999997</v>
      </c>
      <c r="G1903" s="3">
        <v>10067465</v>
      </c>
      <c r="H1903" s="8">
        <f t="shared" si="175"/>
        <v>2.687411598302675</v>
      </c>
      <c r="I1903">
        <f t="shared" si="176"/>
        <v>35.88000000000001</v>
      </c>
      <c r="J1903" s="6" cm="1">
        <f t="array" ref="J1903">_xlfn.STDEV.S(IF($A:$A=A1903, $F:$F))</f>
        <v>0.43098723879019768</v>
      </c>
      <c r="P1903" s="8">
        <f t="shared" si="177"/>
        <v>2.687411598302675</v>
      </c>
      <c r="Q1903" s="8">
        <f t="shared" si="178"/>
        <v>2.687411598302675</v>
      </c>
      <c r="R1903" s="8">
        <f t="shared" si="179"/>
        <v>2.687411598302675</v>
      </c>
    </row>
    <row r="1904" spans="1:18" x14ac:dyDescent="0.25">
      <c r="A1904" s="7">
        <f t="shared" si="174"/>
        <v>381</v>
      </c>
      <c r="B1904" s="2">
        <v>45706</v>
      </c>
      <c r="C1904" s="3">
        <v>35.6</v>
      </c>
      <c r="D1904" s="3">
        <v>36.15</v>
      </c>
      <c r="E1904" s="3">
        <v>35.4</v>
      </c>
      <c r="F1904" s="3">
        <v>35.9</v>
      </c>
      <c r="G1904" s="3">
        <v>11041206</v>
      </c>
      <c r="H1904" s="8">
        <f t="shared" si="175"/>
        <v>2.687411598302675</v>
      </c>
      <c r="I1904">
        <f t="shared" si="176"/>
        <v>35.88000000000001</v>
      </c>
      <c r="J1904" s="6" cm="1">
        <f t="array" ref="J1904">_xlfn.STDEV.S(IF($A:$A=A1904, $F:$F))</f>
        <v>0.43098723879019768</v>
      </c>
      <c r="P1904" s="8">
        <f t="shared" si="177"/>
        <v>2.687411598302675</v>
      </c>
      <c r="Q1904" s="8">
        <f t="shared" si="178"/>
        <v>2.687411598302675</v>
      </c>
      <c r="R1904" s="8">
        <f t="shared" si="179"/>
        <v>2.687411598302675</v>
      </c>
    </row>
    <row r="1905" spans="1:18" x14ac:dyDescent="0.25">
      <c r="A1905" s="7">
        <f t="shared" si="174"/>
        <v>381</v>
      </c>
      <c r="B1905" s="2">
        <v>45707</v>
      </c>
      <c r="C1905" s="3">
        <v>36</v>
      </c>
      <c r="D1905" s="3">
        <v>36.35</v>
      </c>
      <c r="E1905" s="3">
        <v>35.799999999999997</v>
      </c>
      <c r="F1905" s="3">
        <v>36.299999999999997</v>
      </c>
      <c r="G1905" s="3">
        <v>7299400</v>
      </c>
      <c r="H1905" s="8">
        <f t="shared" si="175"/>
        <v>2.687411598302675</v>
      </c>
      <c r="I1905">
        <f t="shared" si="176"/>
        <v>35.88000000000001</v>
      </c>
      <c r="J1905" s="6" cm="1">
        <f t="array" ref="J1905">_xlfn.STDEV.S(IF($A:$A=A1905, $F:$F))</f>
        <v>0.43098723879019768</v>
      </c>
      <c r="P1905" s="8">
        <f t="shared" si="177"/>
        <v>2.687411598302675</v>
      </c>
      <c r="Q1905" s="8">
        <f t="shared" si="178"/>
        <v>2.687411598302675</v>
      </c>
      <c r="R1905" s="8">
        <f t="shared" si="179"/>
        <v>2.687411598302675</v>
      </c>
    </row>
    <row r="1906" spans="1:18" x14ac:dyDescent="0.25">
      <c r="A1906" s="7">
        <f t="shared" si="174"/>
        <v>381</v>
      </c>
      <c r="B1906" s="2">
        <v>45708</v>
      </c>
      <c r="C1906" s="3">
        <v>36.5</v>
      </c>
      <c r="D1906" s="3">
        <v>36.6</v>
      </c>
      <c r="E1906" s="3">
        <v>36.049999999999997</v>
      </c>
      <c r="F1906" s="3">
        <v>36.299999999999997</v>
      </c>
      <c r="G1906" s="3">
        <v>8626100</v>
      </c>
      <c r="H1906" s="8">
        <f t="shared" si="175"/>
        <v>2.687411598302675</v>
      </c>
      <c r="I1906">
        <f t="shared" si="176"/>
        <v>35.88000000000001</v>
      </c>
      <c r="J1906" s="6" cm="1">
        <f t="array" ref="J1906">_xlfn.STDEV.S(IF($A:$A=A1906, $F:$F))</f>
        <v>0.43098723879019768</v>
      </c>
      <c r="P1906" s="8">
        <f t="shared" si="177"/>
        <v>2.687411598302675</v>
      </c>
      <c r="Q1906" s="8">
        <f t="shared" si="178"/>
        <v>2.687411598302675</v>
      </c>
      <c r="R1906" s="8">
        <f t="shared" si="179"/>
        <v>2.687411598302675</v>
      </c>
    </row>
    <row r="1907" spans="1:18" x14ac:dyDescent="0.25">
      <c r="A1907" s="7">
        <f t="shared" si="174"/>
        <v>382</v>
      </c>
      <c r="B1907" s="2">
        <v>45709</v>
      </c>
      <c r="C1907" s="3">
        <v>36.15</v>
      </c>
      <c r="D1907" s="3">
        <v>36.299999999999997</v>
      </c>
      <c r="E1907" s="3">
        <v>35.85</v>
      </c>
      <c r="F1907" s="3">
        <v>36.25</v>
      </c>
      <c r="G1907" s="3">
        <v>7671600</v>
      </c>
      <c r="H1907" s="8">
        <f t="shared" si="175"/>
        <v>1.517241379310337</v>
      </c>
      <c r="I1907">
        <f t="shared" si="176"/>
        <v>36.64</v>
      </c>
      <c r="J1907" s="6" cm="1">
        <f t="array" ref="J1907">_xlfn.STDEV.S(IF($A:$A=A1907, $F:$F))</f>
        <v>0.23291629397704128</v>
      </c>
      <c r="P1907" s="8">
        <f t="shared" si="177"/>
        <v>1.517241379310337</v>
      </c>
      <c r="Q1907" s="8">
        <f t="shared" si="178"/>
        <v>1.517241379310337</v>
      </c>
      <c r="R1907" s="8">
        <f t="shared" si="179"/>
        <v>1.517241379310337</v>
      </c>
    </row>
    <row r="1908" spans="1:18" x14ac:dyDescent="0.25">
      <c r="A1908" s="7">
        <f t="shared" si="174"/>
        <v>382</v>
      </c>
      <c r="B1908" s="2">
        <v>45712</v>
      </c>
      <c r="C1908" s="3">
        <v>36.25</v>
      </c>
      <c r="D1908" s="3">
        <v>36.799999999999997</v>
      </c>
      <c r="E1908" s="3">
        <v>36</v>
      </c>
      <c r="F1908" s="3">
        <v>36.75</v>
      </c>
      <c r="G1908" s="3">
        <v>8573000</v>
      </c>
      <c r="H1908" s="8">
        <f t="shared" si="175"/>
        <v>1.517241379310337</v>
      </c>
      <c r="I1908">
        <f t="shared" si="176"/>
        <v>36.64</v>
      </c>
      <c r="J1908" s="6" cm="1">
        <f t="array" ref="J1908">_xlfn.STDEV.S(IF($A:$A=A1908, $F:$F))</f>
        <v>0.23291629397704128</v>
      </c>
      <c r="P1908" s="8">
        <f t="shared" si="177"/>
        <v>1.517241379310337</v>
      </c>
      <c r="Q1908" s="8">
        <f t="shared" si="178"/>
        <v>1.517241379310337</v>
      </c>
      <c r="R1908" s="8">
        <f t="shared" si="179"/>
        <v>1.517241379310337</v>
      </c>
    </row>
    <row r="1909" spans="1:18" x14ac:dyDescent="0.25">
      <c r="A1909" s="7">
        <f t="shared" si="174"/>
        <v>382</v>
      </c>
      <c r="B1909" s="2">
        <v>45713</v>
      </c>
      <c r="C1909" s="3">
        <v>36.950000000000003</v>
      </c>
      <c r="D1909" s="3">
        <v>37.4</v>
      </c>
      <c r="E1909" s="3">
        <v>36.65</v>
      </c>
      <c r="F1909" s="3">
        <v>36.799999999999997</v>
      </c>
      <c r="G1909" s="3">
        <v>13209100</v>
      </c>
      <c r="H1909" s="8">
        <f t="shared" si="175"/>
        <v>1.517241379310337</v>
      </c>
      <c r="I1909">
        <f t="shared" si="176"/>
        <v>36.64</v>
      </c>
      <c r="J1909" s="6" cm="1">
        <f t="array" ref="J1909">_xlfn.STDEV.S(IF($A:$A=A1909, $F:$F))</f>
        <v>0.23291629397704128</v>
      </c>
      <c r="P1909" s="8">
        <f t="shared" si="177"/>
        <v>1.517241379310337</v>
      </c>
      <c r="Q1909" s="8">
        <f t="shared" si="178"/>
        <v>1.517241379310337</v>
      </c>
      <c r="R1909" s="8">
        <f t="shared" si="179"/>
        <v>1.517241379310337</v>
      </c>
    </row>
    <row r="1910" spans="1:18" x14ac:dyDescent="0.25">
      <c r="A1910" s="7">
        <f t="shared" si="174"/>
        <v>382</v>
      </c>
      <c r="B1910" s="2">
        <v>45714</v>
      </c>
      <c r="C1910" s="3">
        <v>36.950000000000003</v>
      </c>
      <c r="D1910" s="3">
        <v>37.200000000000003</v>
      </c>
      <c r="E1910" s="3">
        <v>36.6</v>
      </c>
      <c r="F1910" s="3">
        <v>36.6</v>
      </c>
      <c r="G1910" s="3">
        <v>12293200</v>
      </c>
      <c r="H1910" s="8">
        <f t="shared" si="175"/>
        <v>1.517241379310337</v>
      </c>
      <c r="I1910">
        <f t="shared" si="176"/>
        <v>36.64</v>
      </c>
      <c r="J1910" s="6" cm="1">
        <f t="array" ref="J1910">_xlfn.STDEV.S(IF($A:$A=A1910, $F:$F))</f>
        <v>0.23291629397704128</v>
      </c>
      <c r="P1910" s="8">
        <f t="shared" si="177"/>
        <v>1.517241379310337</v>
      </c>
      <c r="Q1910" s="8">
        <f t="shared" si="178"/>
        <v>1.517241379310337</v>
      </c>
      <c r="R1910" s="8">
        <f t="shared" si="179"/>
        <v>1.517241379310337</v>
      </c>
    </row>
    <row r="1911" spans="1:18" x14ac:dyDescent="0.25">
      <c r="A1911" s="7">
        <f t="shared" si="174"/>
        <v>382</v>
      </c>
      <c r="B1911" s="2">
        <v>45715</v>
      </c>
      <c r="C1911" s="3">
        <v>36.75</v>
      </c>
      <c r="D1911" s="3">
        <v>36.85</v>
      </c>
      <c r="E1911" s="3">
        <v>36.200000000000003</v>
      </c>
      <c r="F1911" s="3">
        <v>36.799999999999997</v>
      </c>
      <c r="G1911" s="3">
        <v>7282100</v>
      </c>
      <c r="H1911" s="8">
        <f t="shared" si="175"/>
        <v>1.517241379310337</v>
      </c>
      <c r="I1911">
        <f t="shared" si="176"/>
        <v>36.64</v>
      </c>
      <c r="J1911" s="6" cm="1">
        <f t="array" ref="J1911">_xlfn.STDEV.S(IF($A:$A=A1911, $F:$F))</f>
        <v>0.23291629397704128</v>
      </c>
      <c r="P1911" s="8">
        <f t="shared" si="177"/>
        <v>1.517241379310337</v>
      </c>
      <c r="Q1911" s="8">
        <f t="shared" si="178"/>
        <v>1.517241379310337</v>
      </c>
      <c r="R1911" s="8">
        <f t="shared" si="179"/>
        <v>1.517241379310337</v>
      </c>
    </row>
    <row r="1912" spans="1:18" x14ac:dyDescent="0.25">
      <c r="A1912" s="7">
        <f t="shared" si="174"/>
        <v>383</v>
      </c>
      <c r="B1912" s="2">
        <v>45716</v>
      </c>
      <c r="C1912" s="3">
        <v>36.65</v>
      </c>
      <c r="D1912" s="3">
        <v>37.1</v>
      </c>
      <c r="E1912" s="3">
        <v>36.450000000000003</v>
      </c>
      <c r="F1912" s="3">
        <v>36.450000000000003</v>
      </c>
      <c r="G1912" s="3">
        <v>6514800</v>
      </c>
      <c r="H1912" s="8">
        <f t="shared" si="175"/>
        <v>5.6241426611796905</v>
      </c>
      <c r="I1912">
        <f t="shared" si="176"/>
        <v>37.36</v>
      </c>
      <c r="J1912" s="6" cm="1">
        <f t="array" ref="J1912">_xlfn.STDEV.S(IF($A:$A=A1912, $F:$F))</f>
        <v>0.74279876144215451</v>
      </c>
      <c r="P1912" s="8">
        <f t="shared" si="177"/>
        <v>5.6241426611796905</v>
      </c>
      <c r="Q1912" s="8">
        <f t="shared" si="178"/>
        <v>5.6241426611796905</v>
      </c>
      <c r="R1912" s="8">
        <f t="shared" si="179"/>
        <v>5.6241426611796905</v>
      </c>
    </row>
    <row r="1913" spans="1:18" x14ac:dyDescent="0.25">
      <c r="A1913" s="7">
        <f t="shared" si="174"/>
        <v>383</v>
      </c>
      <c r="B1913" s="2">
        <v>45719</v>
      </c>
      <c r="C1913" s="3">
        <v>36.5</v>
      </c>
      <c r="D1913" s="3">
        <v>37.799999999999997</v>
      </c>
      <c r="E1913" s="3">
        <v>36.25</v>
      </c>
      <c r="F1913" s="3">
        <v>37.299999999999997</v>
      </c>
      <c r="G1913" s="3">
        <v>12212700</v>
      </c>
      <c r="H1913" s="8">
        <f t="shared" si="175"/>
        <v>5.6241426611796905</v>
      </c>
      <c r="I1913">
        <f t="shared" si="176"/>
        <v>37.36</v>
      </c>
      <c r="J1913" s="6" cm="1">
        <f t="array" ref="J1913">_xlfn.STDEV.S(IF($A:$A=A1913, $F:$F))</f>
        <v>0.74279876144215451</v>
      </c>
      <c r="P1913" s="8">
        <f t="shared" si="177"/>
        <v>5.6241426611796905</v>
      </c>
      <c r="Q1913" s="8">
        <f t="shared" si="178"/>
        <v>5.6241426611796905</v>
      </c>
      <c r="R1913" s="8">
        <f t="shared" si="179"/>
        <v>5.6241426611796905</v>
      </c>
    </row>
    <row r="1914" spans="1:18" x14ac:dyDescent="0.25">
      <c r="A1914" s="7">
        <f t="shared" si="174"/>
        <v>383</v>
      </c>
      <c r="B1914" s="2">
        <v>45720</v>
      </c>
      <c r="C1914" s="3">
        <v>37.200000000000003</v>
      </c>
      <c r="D1914" s="3">
        <v>37.5</v>
      </c>
      <c r="E1914" s="3">
        <v>36.6</v>
      </c>
      <c r="F1914" s="3">
        <v>37.450000000000003</v>
      </c>
      <c r="G1914" s="3">
        <v>8147400</v>
      </c>
      <c r="H1914" s="8">
        <f t="shared" si="175"/>
        <v>5.6241426611796905</v>
      </c>
      <c r="I1914">
        <f t="shared" si="176"/>
        <v>37.36</v>
      </c>
      <c r="J1914" s="6" cm="1">
        <f t="array" ref="J1914">_xlfn.STDEV.S(IF($A:$A=A1914, $F:$F))</f>
        <v>0.74279876144215451</v>
      </c>
      <c r="P1914" s="8">
        <f t="shared" si="177"/>
        <v>5.6241426611796905</v>
      </c>
      <c r="Q1914" s="8">
        <f t="shared" si="178"/>
        <v>5.6241426611796905</v>
      </c>
      <c r="R1914" s="8">
        <f t="shared" si="179"/>
        <v>5.6241426611796905</v>
      </c>
    </row>
    <row r="1915" spans="1:18" x14ac:dyDescent="0.25">
      <c r="A1915" s="7">
        <f t="shared" si="174"/>
        <v>383</v>
      </c>
      <c r="B1915" s="2">
        <v>45721</v>
      </c>
      <c r="C1915" s="3">
        <v>37.4</v>
      </c>
      <c r="D1915" s="3">
        <v>37.85</v>
      </c>
      <c r="E1915" s="3">
        <v>37</v>
      </c>
      <c r="F1915" s="3">
        <v>37.1</v>
      </c>
      <c r="G1915" s="3">
        <v>8992400</v>
      </c>
      <c r="H1915" s="8">
        <f t="shared" si="175"/>
        <v>5.6241426611796905</v>
      </c>
      <c r="I1915">
        <f t="shared" si="176"/>
        <v>37.36</v>
      </c>
      <c r="J1915" s="6" cm="1">
        <f t="array" ref="J1915">_xlfn.STDEV.S(IF($A:$A=A1915, $F:$F))</f>
        <v>0.74279876144215451</v>
      </c>
      <c r="P1915" s="8">
        <f t="shared" si="177"/>
        <v>5.6241426611796905</v>
      </c>
      <c r="Q1915" s="8">
        <f t="shared" si="178"/>
        <v>5.6241426611796905</v>
      </c>
      <c r="R1915" s="8">
        <f t="shared" si="179"/>
        <v>5.6241426611796905</v>
      </c>
    </row>
    <row r="1916" spans="1:18" x14ac:dyDescent="0.25">
      <c r="A1916" s="7">
        <f t="shared" si="174"/>
        <v>383</v>
      </c>
      <c r="B1916" s="2">
        <v>45722</v>
      </c>
      <c r="C1916" s="3">
        <v>37.15</v>
      </c>
      <c r="D1916" s="3">
        <v>38.5</v>
      </c>
      <c r="E1916" s="3">
        <v>37.15</v>
      </c>
      <c r="F1916" s="3">
        <v>38.5</v>
      </c>
      <c r="G1916" s="3">
        <v>13621300</v>
      </c>
      <c r="H1916" s="8">
        <f t="shared" si="175"/>
        <v>5.6241426611796905</v>
      </c>
      <c r="I1916">
        <f t="shared" si="176"/>
        <v>37.36</v>
      </c>
      <c r="J1916" s="6" cm="1">
        <f t="array" ref="J1916">_xlfn.STDEV.S(IF($A:$A=A1916, $F:$F))</f>
        <v>0.74279876144215451</v>
      </c>
      <c r="P1916" s="8">
        <f t="shared" si="177"/>
        <v>5.6241426611796905</v>
      </c>
      <c r="Q1916" s="8">
        <f t="shared" si="178"/>
        <v>5.6241426611796905</v>
      </c>
      <c r="R1916" s="8">
        <f t="shared" si="179"/>
        <v>5.6241426611796905</v>
      </c>
    </row>
  </sheetData>
  <conditionalFormatting sqref="P2:P1916">
    <cfRule type="expression" dxfId="13" priority="8">
      <formula>P2&lt;$N$2</formula>
    </cfRule>
    <cfRule type="expression" dxfId="8" priority="7">
      <formula>P2&gt;$O$2</formula>
    </cfRule>
  </conditionalFormatting>
  <conditionalFormatting sqref="Q2:Q1916">
    <cfRule type="expression" dxfId="12" priority="10">
      <formula>Q2&lt;$N$3</formula>
    </cfRule>
    <cfRule type="expression" dxfId="11" priority="9">
      <formula>Q2&gt;$O$3</formula>
    </cfRule>
  </conditionalFormatting>
  <conditionalFormatting sqref="R2:R1916">
    <cfRule type="expression" dxfId="10" priority="2">
      <formula>R2&gt;$O$4</formula>
    </cfRule>
    <cfRule type="expression" dxfId="9" priority="1">
      <formula>R2&lt;$N$4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Châu Nguyễn</dc:creator>
  <cp:lastModifiedBy>Minh Châu Nguyễn</cp:lastModifiedBy>
  <dcterms:created xsi:type="dcterms:W3CDTF">2025-03-11T16:00:26Z</dcterms:created>
  <dcterms:modified xsi:type="dcterms:W3CDTF">2025-03-29T08:29:34Z</dcterms:modified>
</cp:coreProperties>
</file>